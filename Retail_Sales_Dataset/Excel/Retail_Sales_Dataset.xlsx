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HP\Desktop\divyansh\project\"/>
    </mc:Choice>
  </mc:AlternateContent>
  <xr:revisionPtr revIDLastSave="0" documentId="13_ncr:1_{82099345-3B68-4F37-9EB3-8C0C2AB57CA8}" xr6:coauthVersionLast="47" xr6:coauthVersionMax="47" xr10:uidLastSave="{00000000-0000-0000-0000-000000000000}"/>
  <bookViews>
    <workbookView xWindow="-120" yWindow="-120" windowWidth="29040" windowHeight="15720" firstSheet="1" activeTab="6" xr2:uid="{00000000-000D-0000-FFFF-FFFF00000000}"/>
  </bookViews>
  <sheets>
    <sheet name="README" sheetId="1" r:id="rId1"/>
    <sheet name="Orders" sheetId="2" r:id="rId2"/>
    <sheet name="Products" sheetId="3" r:id="rId3"/>
    <sheet name="Customers" sheetId="4" r:id="rId4"/>
    <sheet name="Sheet3" sheetId="8" r:id="rId5"/>
    <sheet name="pivot_table" sheetId="7" r:id="rId6"/>
    <sheet name="Dashboard" sheetId="6" r:id="rId7"/>
    <sheet name="Monthly_Targets_2025" sheetId="5" r:id="rId8"/>
  </sheets>
  <definedNames>
    <definedName name="Slicer_Category">#N/A</definedName>
    <definedName name="Slicer_Months">#N/A</definedName>
    <definedName name="Slicer_Region">#N/A</definedName>
    <definedName name="Slicer_Ship_Mode">#N/A</definedName>
    <definedName name="Slicer_Status">#N/A</definedName>
    <definedName name="Slicer_year">#N/A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 i="2" l="1"/>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M53" i="2"/>
  <c r="M68" i="2"/>
  <c r="M77" i="2"/>
  <c r="M80" i="2"/>
  <c r="M131" i="2"/>
  <c r="M133" i="2"/>
  <c r="M135" i="2"/>
  <c r="M160" i="2"/>
  <c r="M161" i="2"/>
  <c r="M164" i="2"/>
  <c r="M208" i="2"/>
  <c r="M220" i="2"/>
  <c r="M227" i="2"/>
  <c r="M250" i="2"/>
  <c r="M251" i="2"/>
  <c r="M299" i="2"/>
  <c r="M318" i="2"/>
  <c r="M327" i="2"/>
  <c r="M347" i="2"/>
  <c r="M366" i="2"/>
  <c r="M368" i="2"/>
  <c r="M390" i="2"/>
  <c r="M399" i="2"/>
  <c r="M459" i="2"/>
  <c r="M461" i="2"/>
  <c r="M500" i="2"/>
  <c r="M515" i="2"/>
  <c r="M524" i="2"/>
  <c r="M536" i="2"/>
  <c r="M537" i="2"/>
  <c r="M563" i="2"/>
  <c r="M587" i="2"/>
  <c r="M592" i="2"/>
  <c r="M635" i="2"/>
  <c r="M699" i="2"/>
  <c r="M711" i="2"/>
  <c r="M736" i="2"/>
  <c r="M773" i="2"/>
  <c r="M776" i="2"/>
  <c r="M779" i="2"/>
  <c r="M784" i="2"/>
  <c r="M803" i="2"/>
  <c r="M832" i="2"/>
  <c r="M844" i="2"/>
  <c r="M893" i="2"/>
  <c r="M906" i="2"/>
  <c r="M908" i="2"/>
  <c r="M947" i="2"/>
  <c r="M961" i="2"/>
  <c r="M1038" i="2"/>
  <c r="M1066" i="2"/>
  <c r="M1088" i="2"/>
  <c r="M1113" i="2"/>
  <c r="M1156" i="2"/>
  <c r="M1163" i="2"/>
  <c r="P15" i="2"/>
  <c r="M15" i="2" s="1"/>
  <c r="P20" i="2"/>
  <c r="M20" i="2" s="1"/>
  <c r="P30" i="2"/>
  <c r="M30" i="2" s="1"/>
  <c r="P31" i="2"/>
  <c r="P44" i="2"/>
  <c r="M44" i="2" s="1"/>
  <c r="P52" i="2"/>
  <c r="P54" i="2"/>
  <c r="P63" i="2"/>
  <c r="P64" i="2"/>
  <c r="P65" i="2"/>
  <c r="P68" i="2"/>
  <c r="P77" i="2"/>
  <c r="P79" i="2"/>
  <c r="P80" i="2"/>
  <c r="P87" i="2"/>
  <c r="P92" i="2"/>
  <c r="M92" i="2" s="1"/>
  <c r="P97" i="2"/>
  <c r="P102" i="2"/>
  <c r="P103" i="2"/>
  <c r="P111" i="2"/>
  <c r="P112" i="2"/>
  <c r="P121" i="2"/>
  <c r="P125" i="2"/>
  <c r="P126" i="2"/>
  <c r="P136" i="2"/>
  <c r="P140" i="2"/>
  <c r="M140" i="2" s="1"/>
  <c r="P164" i="2"/>
  <c r="P169" i="2"/>
  <c r="P171" i="2"/>
  <c r="M171" i="2" s="1"/>
  <c r="P184" i="2"/>
  <c r="M184" i="2" s="1"/>
  <c r="P193" i="2"/>
  <c r="P207" i="2"/>
  <c r="P212" i="2"/>
  <c r="P221" i="2"/>
  <c r="P226" i="2"/>
  <c r="P232" i="2"/>
  <c r="P244" i="2"/>
  <c r="P245" i="2"/>
  <c r="P255" i="2"/>
  <c r="P256" i="2"/>
  <c r="P272" i="2"/>
  <c r="P289" i="2"/>
  <c r="M289" i="2" s="1"/>
  <c r="P291" i="2"/>
  <c r="M291" i="2" s="1"/>
  <c r="P295" i="2"/>
  <c r="P303" i="2"/>
  <c r="M303" i="2" s="1"/>
  <c r="P304" i="2"/>
  <c r="M304" i="2" s="1"/>
  <c r="P313" i="2"/>
  <c r="P317" i="2"/>
  <c r="P318" i="2"/>
  <c r="P327" i="2"/>
  <c r="P328" i="2"/>
  <c r="M328" i="2" s="1"/>
  <c r="P332" i="2"/>
  <c r="P341" i="2"/>
  <c r="P343" i="2"/>
  <c r="P351" i="2"/>
  <c r="M351" i="2" s="1"/>
  <c r="P352" i="2"/>
  <c r="P356" i="2"/>
  <c r="M356" i="2" s="1"/>
  <c r="P364" i="2"/>
  <c r="P367" i="2"/>
  <c r="P376" i="2"/>
  <c r="P391" i="2"/>
  <c r="P392" i="2"/>
  <c r="P404" i="2"/>
  <c r="M404" i="2" s="1"/>
  <c r="P415" i="2"/>
  <c r="P428" i="2"/>
  <c r="M428" i="2" s="1"/>
  <c r="P437" i="2"/>
  <c r="P439" i="2"/>
  <c r="P440" i="2"/>
  <c r="P448" i="2"/>
  <c r="P457" i="2"/>
  <c r="P462" i="2"/>
  <c r="M462" i="2" s="1"/>
  <c r="P463" i="2"/>
  <c r="P466" i="2"/>
  <c r="P471" i="2"/>
  <c r="M471" i="2" s="1"/>
  <c r="P472" i="2"/>
  <c r="M472" i="2" s="1"/>
  <c r="P481" i="2"/>
  <c r="P495" i="2"/>
  <c r="M495" i="2" s="1"/>
  <c r="P496" i="2"/>
  <c r="M496" i="2" s="1"/>
  <c r="P497" i="2"/>
  <c r="M497" i="2" s="1"/>
  <c r="P500" i="2"/>
  <c r="P511" i="2"/>
  <c r="P512" i="2"/>
  <c r="M512" i="2" s="1"/>
  <c r="P520" i="2"/>
  <c r="P524" i="2"/>
  <c r="P529" i="2"/>
  <c r="P543" i="2"/>
  <c r="P544" i="2"/>
  <c r="P548" i="2"/>
  <c r="M548" i="2" s="1"/>
  <c r="P557" i="2"/>
  <c r="P559" i="2"/>
  <c r="P568" i="2"/>
  <c r="M568" i="2" s="1"/>
  <c r="P569" i="2"/>
  <c r="P572" i="2"/>
  <c r="M572" i="2" s="1"/>
  <c r="P580" i="2"/>
  <c r="M580" i="2" s="1"/>
  <c r="P584" i="2"/>
  <c r="P596" i="2"/>
  <c r="M596" i="2" s="1"/>
  <c r="P605" i="2"/>
  <c r="P615" i="2"/>
  <c r="M615" i="2" s="1"/>
  <c r="P616" i="2"/>
  <c r="P629" i="2"/>
  <c r="M629" i="2" s="1"/>
  <c r="P630" i="2"/>
  <c r="P640" i="2"/>
  <c r="M640" i="2" s="1"/>
  <c r="P644" i="2"/>
  <c r="M644" i="2" s="1"/>
  <c r="P651" i="2"/>
  <c r="P664" i="2"/>
  <c r="P668" i="2"/>
  <c r="M668" i="2" s="1"/>
  <c r="P673" i="2"/>
  <c r="P677" i="2"/>
  <c r="P687" i="2"/>
  <c r="M687" i="2" s="1"/>
  <c r="P691" i="2"/>
  <c r="P692" i="2"/>
  <c r="M692" i="2" s="1"/>
  <c r="P702" i="2"/>
  <c r="P716" i="2"/>
  <c r="M716" i="2" s="1"/>
  <c r="P735" i="2"/>
  <c r="M735" i="2" s="1"/>
  <c r="P740" i="2"/>
  <c r="P752" i="2"/>
  <c r="M752" i="2" s="1"/>
  <c r="P760" i="2"/>
  <c r="P764" i="2"/>
  <c r="M764" i="2" s="1"/>
  <c r="P783" i="2"/>
  <c r="M783" i="2" s="1"/>
  <c r="P793" i="2"/>
  <c r="P796" i="2"/>
  <c r="P797" i="2"/>
  <c r="P807" i="2"/>
  <c r="P819" i="2"/>
  <c r="P821" i="2"/>
  <c r="P822" i="2"/>
  <c r="P831" i="2"/>
  <c r="P841" i="2"/>
  <c r="M841" i="2" s="1"/>
  <c r="P856" i="2"/>
  <c r="M856" i="2" s="1"/>
  <c r="P868" i="2"/>
  <c r="P879" i="2"/>
  <c r="P880" i="2"/>
  <c r="M880" i="2" s="1"/>
  <c r="P883" i="2"/>
  <c r="P896" i="2"/>
  <c r="P899" i="2"/>
  <c r="P913" i="2"/>
  <c r="P916" i="2"/>
  <c r="P917" i="2"/>
  <c r="P919" i="2"/>
  <c r="P926" i="2"/>
  <c r="P927" i="2"/>
  <c r="M927" i="2" s="1"/>
  <c r="P928" i="2"/>
  <c r="M928" i="2" s="1"/>
  <c r="P937" i="2"/>
  <c r="M937" i="2" s="1"/>
  <c r="P940" i="2"/>
  <c r="M940" i="2" s="1"/>
  <c r="P941" i="2"/>
  <c r="P943" i="2"/>
  <c r="P951" i="2"/>
  <c r="P952" i="2"/>
  <c r="P963" i="2"/>
  <c r="P964" i="2"/>
  <c r="P970" i="2"/>
  <c r="P971" i="2"/>
  <c r="P975" i="2"/>
  <c r="M975" i="2" s="1"/>
  <c r="P976" i="2"/>
  <c r="P985" i="2"/>
  <c r="M985" i="2" s="1"/>
  <c r="P990" i="2"/>
  <c r="P995" i="2"/>
  <c r="P1000" i="2"/>
  <c r="P1012" i="2"/>
  <c r="M1012" i="2" s="1"/>
  <c r="P1018" i="2"/>
  <c r="P1019" i="2"/>
  <c r="P1039" i="2"/>
  <c r="P1043" i="2"/>
  <c r="P1047" i="2"/>
  <c r="M1047" i="2" s="1"/>
  <c r="P1048" i="2"/>
  <c r="M1048" i="2" s="1"/>
  <c r="P1049" i="2"/>
  <c r="P1072" i="2"/>
  <c r="P1086" i="2"/>
  <c r="M1086" i="2" s="1"/>
  <c r="P1087" i="2"/>
  <c r="P1096" i="2"/>
  <c r="M1096" i="2" s="1"/>
  <c r="P1110" i="2"/>
  <c r="M1110" i="2" s="1"/>
  <c r="P1111" i="2"/>
  <c r="P1117" i="2"/>
  <c r="M1117" i="2" s="1"/>
  <c r="P1120" i="2"/>
  <c r="P1129" i="2"/>
  <c r="P1135" i="2"/>
  <c r="P1144" i="2"/>
  <c r="P1147" i="2"/>
  <c r="P1159" i="2"/>
  <c r="P1160" i="2"/>
  <c r="P1168" i="2"/>
  <c r="M1168" i="2" s="1"/>
  <c r="P1184" i="2"/>
  <c r="M1184" i="2" s="1"/>
  <c r="P1186" i="2"/>
  <c r="M1186" i="2" s="1"/>
  <c r="P1192" i="2"/>
  <c r="M1192" i="2" s="1"/>
  <c r="K5" i="2"/>
  <c r="K2" i="2"/>
  <c r="K3" i="2"/>
  <c r="K4" i="2"/>
  <c r="K6" i="2"/>
  <c r="K7" i="2"/>
  <c r="K8" i="2"/>
  <c r="P8" i="2" s="1"/>
  <c r="K9" i="2"/>
  <c r="K10" i="2"/>
  <c r="P10" i="2" s="1"/>
  <c r="K11" i="2"/>
  <c r="K12" i="2"/>
  <c r="K13" i="2"/>
  <c r="P13" i="2" s="1"/>
  <c r="M13" i="2" s="1"/>
  <c r="K14" i="2"/>
  <c r="P14" i="2" s="1"/>
  <c r="K15" i="2"/>
  <c r="K16" i="2"/>
  <c r="P16" i="2" s="1"/>
  <c r="M16" i="2" s="1"/>
  <c r="K17" i="2"/>
  <c r="P17" i="2" s="1"/>
  <c r="K18" i="2"/>
  <c r="K19" i="2"/>
  <c r="K20" i="2"/>
  <c r="K21" i="2"/>
  <c r="K22" i="2"/>
  <c r="K23" i="2"/>
  <c r="P23" i="2" s="1"/>
  <c r="K24" i="2"/>
  <c r="P24" i="2" s="1"/>
  <c r="K25" i="2"/>
  <c r="P25" i="2" s="1"/>
  <c r="K26" i="2"/>
  <c r="K27" i="2"/>
  <c r="P27" i="2" s="1"/>
  <c r="M27" i="2" s="1"/>
  <c r="K28" i="2"/>
  <c r="K29" i="2"/>
  <c r="P29" i="2" s="1"/>
  <c r="K30" i="2"/>
  <c r="K31" i="2"/>
  <c r="K32" i="2"/>
  <c r="K33" i="2"/>
  <c r="K34" i="2"/>
  <c r="K35" i="2"/>
  <c r="K36" i="2"/>
  <c r="K37" i="2"/>
  <c r="K38" i="2"/>
  <c r="P38" i="2" s="1"/>
  <c r="K39" i="2"/>
  <c r="P39" i="2" s="1"/>
  <c r="K40" i="2"/>
  <c r="P40" i="2" s="1"/>
  <c r="K41" i="2"/>
  <c r="K42" i="2"/>
  <c r="P42" i="2" s="1"/>
  <c r="M42" i="2" s="1"/>
  <c r="K43" i="2"/>
  <c r="K44" i="2"/>
  <c r="K45" i="2"/>
  <c r="K46" i="2"/>
  <c r="K47" i="2"/>
  <c r="K48" i="2"/>
  <c r="K49" i="2"/>
  <c r="K50" i="2"/>
  <c r="K51" i="2"/>
  <c r="P51" i="2" s="1"/>
  <c r="M51" i="2" s="1"/>
  <c r="K52" i="2"/>
  <c r="K53" i="2"/>
  <c r="P53" i="2" s="1"/>
  <c r="K54" i="2"/>
  <c r="K55" i="2"/>
  <c r="K56" i="2"/>
  <c r="K57" i="2"/>
  <c r="K58" i="2"/>
  <c r="K59" i="2"/>
  <c r="K60" i="2"/>
  <c r="K61" i="2"/>
  <c r="P61" i="2" s="1"/>
  <c r="K62" i="2"/>
  <c r="K63" i="2"/>
  <c r="K64" i="2"/>
  <c r="K65" i="2"/>
  <c r="M65" i="2" s="1"/>
  <c r="K66" i="2"/>
  <c r="P66" i="2" s="1"/>
  <c r="K67" i="2"/>
  <c r="K68" i="2"/>
  <c r="K69" i="2"/>
  <c r="P69" i="2" s="1"/>
  <c r="K70" i="2"/>
  <c r="K71" i="2"/>
  <c r="P71" i="2" s="1"/>
  <c r="K72" i="2"/>
  <c r="K73" i="2"/>
  <c r="K74" i="2"/>
  <c r="K75" i="2"/>
  <c r="P75" i="2" s="1"/>
  <c r="K76" i="2"/>
  <c r="P76" i="2" s="1"/>
  <c r="K77" i="2"/>
  <c r="K78" i="2"/>
  <c r="P78" i="2" s="1"/>
  <c r="K79" i="2"/>
  <c r="K80" i="2"/>
  <c r="K81" i="2"/>
  <c r="K82" i="2"/>
  <c r="P82" i="2" s="1"/>
  <c r="K83" i="2"/>
  <c r="P83" i="2" s="1"/>
  <c r="K84" i="2"/>
  <c r="P84" i="2" s="1"/>
  <c r="K85" i="2"/>
  <c r="P85" i="2" s="1"/>
  <c r="K86" i="2"/>
  <c r="K87" i="2"/>
  <c r="K88" i="2"/>
  <c r="P88" i="2" s="1"/>
  <c r="K89" i="2"/>
  <c r="K90" i="2"/>
  <c r="K91" i="2"/>
  <c r="K92" i="2"/>
  <c r="K93" i="2"/>
  <c r="K94" i="2"/>
  <c r="K95" i="2"/>
  <c r="K96" i="2"/>
  <c r="P96" i="2" s="1"/>
  <c r="K97" i="2"/>
  <c r="K98" i="2"/>
  <c r="K99" i="2"/>
  <c r="K100" i="2"/>
  <c r="K101" i="2"/>
  <c r="K102" i="2"/>
  <c r="K103" i="2"/>
  <c r="K104" i="2"/>
  <c r="P104" i="2" s="1"/>
  <c r="K105" i="2"/>
  <c r="K106" i="2"/>
  <c r="P106" i="2" s="1"/>
  <c r="M106" i="2" s="1"/>
  <c r="K107" i="2"/>
  <c r="P107" i="2" s="1"/>
  <c r="K108" i="2"/>
  <c r="P108" i="2" s="1"/>
  <c r="K109" i="2"/>
  <c r="P109" i="2" s="1"/>
  <c r="K110" i="2"/>
  <c r="K111" i="2"/>
  <c r="M111" i="2" s="1"/>
  <c r="K112" i="2"/>
  <c r="K113" i="2"/>
  <c r="P113" i="2" s="1"/>
  <c r="K114" i="2"/>
  <c r="K115" i="2"/>
  <c r="K116" i="2"/>
  <c r="P116" i="2" s="1"/>
  <c r="M116" i="2" s="1"/>
  <c r="K117" i="2"/>
  <c r="K118" i="2"/>
  <c r="K119" i="2"/>
  <c r="K120" i="2"/>
  <c r="P120" i="2" s="1"/>
  <c r="K121" i="2"/>
  <c r="K122" i="2"/>
  <c r="K123" i="2"/>
  <c r="P123" i="2" s="1"/>
  <c r="K124" i="2"/>
  <c r="P124" i="2" s="1"/>
  <c r="K125" i="2"/>
  <c r="K126" i="2"/>
  <c r="K127" i="2"/>
  <c r="P127" i="2" s="1"/>
  <c r="K128" i="2"/>
  <c r="P128" i="2" s="1"/>
  <c r="K129" i="2"/>
  <c r="P129" i="2" s="1"/>
  <c r="K130" i="2"/>
  <c r="P130" i="2" s="1"/>
  <c r="K131" i="2"/>
  <c r="P131" i="2" s="1"/>
  <c r="K132" i="2"/>
  <c r="P132" i="2" s="1"/>
  <c r="K133" i="2"/>
  <c r="P133" i="2" s="1"/>
  <c r="K134" i="2"/>
  <c r="P134" i="2" s="1"/>
  <c r="K135" i="2"/>
  <c r="P135" i="2" s="1"/>
  <c r="K136" i="2"/>
  <c r="K137" i="2"/>
  <c r="P137" i="2" s="1"/>
  <c r="K138" i="2"/>
  <c r="P138" i="2" s="1"/>
  <c r="K139" i="2"/>
  <c r="P139" i="2" s="1"/>
  <c r="K140" i="2"/>
  <c r="K141" i="2"/>
  <c r="P141" i="2" s="1"/>
  <c r="K142" i="2"/>
  <c r="P142" i="2" s="1"/>
  <c r="K143" i="2"/>
  <c r="P143" i="2" s="1"/>
  <c r="K144" i="2"/>
  <c r="K145" i="2"/>
  <c r="K146" i="2"/>
  <c r="K147" i="2"/>
  <c r="P147" i="2" s="1"/>
  <c r="M147" i="2" s="1"/>
  <c r="K148" i="2"/>
  <c r="P148" i="2" s="1"/>
  <c r="K149" i="2"/>
  <c r="P149" i="2" s="1"/>
  <c r="K150" i="2"/>
  <c r="P150" i="2" s="1"/>
  <c r="K151" i="2"/>
  <c r="P151" i="2" s="1"/>
  <c r="K152" i="2"/>
  <c r="P152" i="2" s="1"/>
  <c r="K153" i="2"/>
  <c r="K154" i="2"/>
  <c r="K155" i="2"/>
  <c r="K156" i="2"/>
  <c r="P156" i="2" s="1"/>
  <c r="K157" i="2"/>
  <c r="P157" i="2" s="1"/>
  <c r="K158" i="2"/>
  <c r="K159" i="2"/>
  <c r="P159" i="2" s="1"/>
  <c r="M159" i="2" s="1"/>
  <c r="K160" i="2"/>
  <c r="P160" i="2" s="1"/>
  <c r="K161" i="2"/>
  <c r="P161" i="2" s="1"/>
  <c r="K162" i="2"/>
  <c r="K163" i="2"/>
  <c r="K164" i="2"/>
  <c r="K165" i="2"/>
  <c r="K166" i="2"/>
  <c r="K167" i="2"/>
  <c r="K168" i="2"/>
  <c r="P168" i="2" s="1"/>
  <c r="K169" i="2"/>
  <c r="K170" i="2"/>
  <c r="P170" i="2" s="1"/>
  <c r="K171" i="2"/>
  <c r="K172" i="2"/>
  <c r="P172" i="2" s="1"/>
  <c r="M172" i="2" s="1"/>
  <c r="K173" i="2"/>
  <c r="P173" i="2" s="1"/>
  <c r="K174" i="2"/>
  <c r="P174" i="2" s="1"/>
  <c r="K175" i="2"/>
  <c r="K176" i="2"/>
  <c r="K177" i="2"/>
  <c r="K178" i="2"/>
  <c r="K179" i="2"/>
  <c r="K180" i="2"/>
  <c r="K181" i="2"/>
  <c r="P181" i="2" s="1"/>
  <c r="K182" i="2"/>
  <c r="P182" i="2" s="1"/>
  <c r="K183" i="2"/>
  <c r="P183" i="2" s="1"/>
  <c r="K184" i="2"/>
  <c r="K185" i="2"/>
  <c r="K186" i="2"/>
  <c r="K187" i="2"/>
  <c r="P187" i="2" s="1"/>
  <c r="K188" i="2"/>
  <c r="K189" i="2"/>
  <c r="P189" i="2" s="1"/>
  <c r="K190" i="2"/>
  <c r="P190" i="2" s="1"/>
  <c r="K191" i="2"/>
  <c r="K192" i="2"/>
  <c r="P192" i="2" s="1"/>
  <c r="K193" i="2"/>
  <c r="K194" i="2"/>
  <c r="P194" i="2" s="1"/>
  <c r="M194" i="2" s="1"/>
  <c r="K195" i="2"/>
  <c r="P195" i="2" s="1"/>
  <c r="K196" i="2"/>
  <c r="P196" i="2" s="1"/>
  <c r="K197" i="2"/>
  <c r="P197" i="2" s="1"/>
  <c r="M197" i="2" s="1"/>
  <c r="K198" i="2"/>
  <c r="K199" i="2"/>
  <c r="K200" i="2"/>
  <c r="K201" i="2"/>
  <c r="P201" i="2" s="1"/>
  <c r="K202" i="2"/>
  <c r="P202" i="2" s="1"/>
  <c r="K203" i="2"/>
  <c r="P203" i="2" s="1"/>
  <c r="K204" i="2"/>
  <c r="P204" i="2" s="1"/>
  <c r="K205" i="2"/>
  <c r="K206" i="2"/>
  <c r="K207" i="2"/>
  <c r="M207" i="2" s="1"/>
  <c r="K208" i="2"/>
  <c r="P208" i="2" s="1"/>
  <c r="K209" i="2"/>
  <c r="P209" i="2" s="1"/>
  <c r="K210" i="2"/>
  <c r="P210" i="2" s="1"/>
  <c r="K211" i="2"/>
  <c r="K212" i="2"/>
  <c r="M212" i="2" s="1"/>
  <c r="K213" i="2"/>
  <c r="K214" i="2"/>
  <c r="K215" i="2"/>
  <c r="K216" i="2"/>
  <c r="K217" i="2"/>
  <c r="K218" i="2"/>
  <c r="P218" i="2" s="1"/>
  <c r="K219" i="2"/>
  <c r="P219" i="2" s="1"/>
  <c r="K220" i="2"/>
  <c r="P220" i="2" s="1"/>
  <c r="K221" i="2"/>
  <c r="K222" i="2"/>
  <c r="P222" i="2" s="1"/>
  <c r="K223" i="2"/>
  <c r="K224" i="2"/>
  <c r="K225" i="2"/>
  <c r="P225" i="2" s="1"/>
  <c r="K226" i="2"/>
  <c r="K227" i="2"/>
  <c r="P227" i="2" s="1"/>
  <c r="K228" i="2"/>
  <c r="P228" i="2" s="1"/>
  <c r="K229" i="2"/>
  <c r="P229" i="2" s="1"/>
  <c r="M229" i="2" s="1"/>
  <c r="K230" i="2"/>
  <c r="P230" i="2" s="1"/>
  <c r="K231" i="2"/>
  <c r="P231" i="2" s="1"/>
  <c r="K232" i="2"/>
  <c r="K233" i="2"/>
  <c r="P233" i="2" s="1"/>
  <c r="K234" i="2"/>
  <c r="K235" i="2"/>
  <c r="K236" i="2"/>
  <c r="P236" i="2" s="1"/>
  <c r="M236" i="2" s="1"/>
  <c r="K237" i="2"/>
  <c r="K238" i="2"/>
  <c r="K239" i="2"/>
  <c r="P239" i="2" s="1"/>
  <c r="K240" i="2"/>
  <c r="P240" i="2" s="1"/>
  <c r="K241" i="2"/>
  <c r="K242" i="2"/>
  <c r="P242" i="2" s="1"/>
  <c r="M242" i="2" s="1"/>
  <c r="K243" i="2"/>
  <c r="P243" i="2" s="1"/>
  <c r="K244" i="2"/>
  <c r="K245" i="2"/>
  <c r="K246" i="2"/>
  <c r="P246" i="2" s="1"/>
  <c r="K247" i="2"/>
  <c r="P247" i="2" s="1"/>
  <c r="K248" i="2"/>
  <c r="K249" i="2"/>
  <c r="P249" i="2" s="1"/>
  <c r="K250" i="2"/>
  <c r="P250" i="2" s="1"/>
  <c r="K251" i="2"/>
  <c r="P251" i="2" s="1"/>
  <c r="K252" i="2"/>
  <c r="P252" i="2" s="1"/>
  <c r="K253" i="2"/>
  <c r="P253" i="2" s="1"/>
  <c r="M253" i="2" s="1"/>
  <c r="K254" i="2"/>
  <c r="P254" i="2" s="1"/>
  <c r="K255" i="2"/>
  <c r="K256" i="2"/>
  <c r="K257" i="2"/>
  <c r="K258" i="2"/>
  <c r="K259" i="2"/>
  <c r="K260" i="2"/>
  <c r="P260" i="2" s="1"/>
  <c r="M260" i="2" s="1"/>
  <c r="K261" i="2"/>
  <c r="K262" i="2"/>
  <c r="K263" i="2"/>
  <c r="K264" i="2"/>
  <c r="K265" i="2"/>
  <c r="P265" i="2" s="1"/>
  <c r="K266" i="2"/>
  <c r="K267" i="2"/>
  <c r="P267" i="2" s="1"/>
  <c r="K268" i="2"/>
  <c r="P268" i="2" s="1"/>
  <c r="K269" i="2"/>
  <c r="K270" i="2"/>
  <c r="K271" i="2"/>
  <c r="P271" i="2" s="1"/>
  <c r="K272" i="2"/>
  <c r="K273" i="2"/>
  <c r="P273" i="2" s="1"/>
  <c r="K274" i="2"/>
  <c r="K275" i="2"/>
  <c r="K276" i="2"/>
  <c r="K277" i="2"/>
  <c r="P277" i="2" s="1"/>
  <c r="K278" i="2"/>
  <c r="K279" i="2"/>
  <c r="K280" i="2"/>
  <c r="P280" i="2" s="1"/>
  <c r="K281" i="2"/>
  <c r="P281" i="2" s="1"/>
  <c r="K282" i="2"/>
  <c r="K283" i="2"/>
  <c r="K284" i="2"/>
  <c r="P284" i="2" s="1"/>
  <c r="M284" i="2" s="1"/>
  <c r="K285" i="2"/>
  <c r="K286" i="2"/>
  <c r="P286" i="2" s="1"/>
  <c r="M286" i="2" s="1"/>
  <c r="K287" i="2"/>
  <c r="P287" i="2" s="1"/>
  <c r="K288" i="2"/>
  <c r="P288" i="2" s="1"/>
  <c r="K289" i="2"/>
  <c r="K290" i="2"/>
  <c r="P290" i="2" s="1"/>
  <c r="K291" i="2"/>
  <c r="K292" i="2"/>
  <c r="P292" i="2" s="1"/>
  <c r="M292" i="2" s="1"/>
  <c r="K293" i="2"/>
  <c r="P293" i="2" s="1"/>
  <c r="K294" i="2"/>
  <c r="K295" i="2"/>
  <c r="K296" i="2"/>
  <c r="K297" i="2"/>
  <c r="K298" i="2"/>
  <c r="K299" i="2"/>
  <c r="P299" i="2" s="1"/>
  <c r="K300" i="2"/>
  <c r="K301" i="2"/>
  <c r="P301" i="2" s="1"/>
  <c r="K302" i="2"/>
  <c r="K303" i="2"/>
  <c r="K304" i="2"/>
  <c r="K305" i="2"/>
  <c r="P305" i="2" s="1"/>
  <c r="M305" i="2" s="1"/>
  <c r="K306" i="2"/>
  <c r="P306" i="2" s="1"/>
  <c r="K307" i="2"/>
  <c r="K308" i="2"/>
  <c r="P308" i="2" s="1"/>
  <c r="M308" i="2" s="1"/>
  <c r="K309" i="2"/>
  <c r="K310" i="2"/>
  <c r="K311" i="2"/>
  <c r="K312" i="2"/>
  <c r="P312" i="2" s="1"/>
  <c r="M312" i="2" s="1"/>
  <c r="K313" i="2"/>
  <c r="K314" i="2"/>
  <c r="P314" i="2" s="1"/>
  <c r="M314" i="2" s="1"/>
  <c r="K315" i="2"/>
  <c r="P315" i="2" s="1"/>
  <c r="K316" i="2"/>
  <c r="P316" i="2" s="1"/>
  <c r="K317" i="2"/>
  <c r="K318" i="2"/>
  <c r="K319" i="2"/>
  <c r="P319" i="2" s="1"/>
  <c r="K320" i="2"/>
  <c r="K321" i="2"/>
  <c r="K322" i="2"/>
  <c r="K323" i="2"/>
  <c r="K324" i="2"/>
  <c r="K325" i="2"/>
  <c r="P325" i="2" s="1"/>
  <c r="K326" i="2"/>
  <c r="K327" i="2"/>
  <c r="K328" i="2"/>
  <c r="K329" i="2"/>
  <c r="P329" i="2" s="1"/>
  <c r="K330" i="2"/>
  <c r="P330" i="2" s="1"/>
  <c r="K331" i="2"/>
  <c r="K332" i="2"/>
  <c r="M332" i="2" s="1"/>
  <c r="K333" i="2"/>
  <c r="P333" i="2" s="1"/>
  <c r="K334" i="2"/>
  <c r="P334" i="2" s="1"/>
  <c r="K335" i="2"/>
  <c r="K336" i="2"/>
  <c r="K337" i="2"/>
  <c r="K338" i="2"/>
  <c r="P338" i="2" s="1"/>
  <c r="M338" i="2" s="1"/>
  <c r="K339" i="2"/>
  <c r="K340" i="2"/>
  <c r="K341" i="2"/>
  <c r="K342" i="2"/>
  <c r="P342" i="2" s="1"/>
  <c r="K343" i="2"/>
  <c r="K344" i="2"/>
  <c r="K345" i="2"/>
  <c r="K346" i="2"/>
  <c r="P346" i="2" s="1"/>
  <c r="K347" i="2"/>
  <c r="P347" i="2" s="1"/>
  <c r="K348" i="2"/>
  <c r="P348" i="2" s="1"/>
  <c r="K349" i="2"/>
  <c r="K350" i="2"/>
  <c r="K351" i="2"/>
  <c r="K352" i="2"/>
  <c r="K353" i="2"/>
  <c r="P353" i="2" s="1"/>
  <c r="K354" i="2"/>
  <c r="P354" i="2" s="1"/>
  <c r="K355" i="2"/>
  <c r="P355" i="2" s="1"/>
  <c r="K356" i="2"/>
  <c r="K357" i="2"/>
  <c r="K358" i="2"/>
  <c r="P358" i="2" s="1"/>
  <c r="K359" i="2"/>
  <c r="P359" i="2" s="1"/>
  <c r="K360" i="2"/>
  <c r="P360" i="2" s="1"/>
  <c r="K361" i="2"/>
  <c r="K362" i="2"/>
  <c r="K363" i="2"/>
  <c r="P363" i="2" s="1"/>
  <c r="K364" i="2"/>
  <c r="M364" i="2" s="1"/>
  <c r="K365" i="2"/>
  <c r="P365" i="2" s="1"/>
  <c r="M365" i="2" s="1"/>
  <c r="K366" i="2"/>
  <c r="P366" i="2" s="1"/>
  <c r="K367" i="2"/>
  <c r="K368" i="2"/>
  <c r="P368" i="2" s="1"/>
  <c r="K369" i="2"/>
  <c r="P369" i="2" s="1"/>
  <c r="K370" i="2"/>
  <c r="P370" i="2" s="1"/>
  <c r="K371" i="2"/>
  <c r="P371" i="2" s="1"/>
  <c r="K372" i="2"/>
  <c r="K373" i="2"/>
  <c r="P373" i="2" s="1"/>
  <c r="K374" i="2"/>
  <c r="K375" i="2"/>
  <c r="K376" i="2"/>
  <c r="K377" i="2"/>
  <c r="P377" i="2" s="1"/>
  <c r="M377" i="2" s="1"/>
  <c r="K378" i="2"/>
  <c r="K379" i="2"/>
  <c r="K380" i="2"/>
  <c r="P380" i="2" s="1"/>
  <c r="M380" i="2" s="1"/>
  <c r="K381" i="2"/>
  <c r="K382" i="2"/>
  <c r="K383" i="2"/>
  <c r="K384" i="2"/>
  <c r="P384" i="2" s="1"/>
  <c r="K385" i="2"/>
  <c r="P385" i="2" s="1"/>
  <c r="K386" i="2"/>
  <c r="K387" i="2"/>
  <c r="P387" i="2" s="1"/>
  <c r="K388" i="2"/>
  <c r="K389" i="2"/>
  <c r="K390" i="2"/>
  <c r="P390" i="2" s="1"/>
  <c r="K391" i="2"/>
  <c r="K392" i="2"/>
  <c r="K393" i="2"/>
  <c r="K394" i="2"/>
  <c r="P394" i="2" s="1"/>
  <c r="K395" i="2"/>
  <c r="K396" i="2"/>
  <c r="P396" i="2" s="1"/>
  <c r="K397" i="2"/>
  <c r="P397" i="2" s="1"/>
  <c r="M397" i="2" s="1"/>
  <c r="K398" i="2"/>
  <c r="K399" i="2"/>
  <c r="P399" i="2" s="1"/>
  <c r="K400" i="2"/>
  <c r="K401" i="2"/>
  <c r="K402" i="2"/>
  <c r="P402" i="2" s="1"/>
  <c r="K403" i="2"/>
  <c r="P403" i="2" s="1"/>
  <c r="K404" i="2"/>
  <c r="K405" i="2"/>
  <c r="P405" i="2" s="1"/>
  <c r="K406" i="2"/>
  <c r="P406" i="2" s="1"/>
  <c r="K407" i="2"/>
  <c r="P407" i="2" s="1"/>
  <c r="K408" i="2"/>
  <c r="P408" i="2" s="1"/>
  <c r="K409" i="2"/>
  <c r="P409" i="2" s="1"/>
  <c r="K410" i="2"/>
  <c r="P410" i="2" s="1"/>
  <c r="K411" i="2"/>
  <c r="K412" i="2"/>
  <c r="P412" i="2" s="1"/>
  <c r="K413" i="2"/>
  <c r="P413" i="2" s="1"/>
  <c r="K414" i="2"/>
  <c r="K415" i="2"/>
  <c r="K416" i="2"/>
  <c r="K417" i="2"/>
  <c r="K418" i="2"/>
  <c r="K419" i="2"/>
  <c r="K420" i="2"/>
  <c r="K421" i="2"/>
  <c r="K422" i="2"/>
  <c r="P422" i="2" s="1"/>
  <c r="K423" i="2"/>
  <c r="P423" i="2" s="1"/>
  <c r="M423" i="2" s="1"/>
  <c r="K424" i="2"/>
  <c r="K425" i="2"/>
  <c r="P425" i="2" s="1"/>
  <c r="K426" i="2"/>
  <c r="K427" i="2"/>
  <c r="K428" i="2"/>
  <c r="K429" i="2"/>
  <c r="K430" i="2"/>
  <c r="K431" i="2"/>
  <c r="P431" i="2" s="1"/>
  <c r="K432" i="2"/>
  <c r="K433" i="2"/>
  <c r="K434" i="2"/>
  <c r="K435" i="2"/>
  <c r="P435" i="2" s="1"/>
  <c r="K436" i="2"/>
  <c r="P436" i="2" s="1"/>
  <c r="M436" i="2" s="1"/>
  <c r="K437" i="2"/>
  <c r="K438" i="2"/>
  <c r="P438" i="2" s="1"/>
  <c r="M438" i="2" s="1"/>
  <c r="K439" i="2"/>
  <c r="K440" i="2"/>
  <c r="K441" i="2"/>
  <c r="P441" i="2" s="1"/>
  <c r="K442" i="2"/>
  <c r="P442" i="2" s="1"/>
  <c r="K443" i="2"/>
  <c r="P443" i="2" s="1"/>
  <c r="K444" i="2"/>
  <c r="P444" i="2" s="1"/>
  <c r="K445" i="2"/>
  <c r="P445" i="2" s="1"/>
  <c r="M445" i="2" s="1"/>
  <c r="K446" i="2"/>
  <c r="P446" i="2" s="1"/>
  <c r="K447" i="2"/>
  <c r="K448" i="2"/>
  <c r="K449" i="2"/>
  <c r="P449" i="2" s="1"/>
  <c r="K450" i="2"/>
  <c r="K451" i="2"/>
  <c r="K452" i="2"/>
  <c r="P452" i="2" s="1"/>
  <c r="M452" i="2" s="1"/>
  <c r="K453" i="2"/>
  <c r="K454" i="2"/>
  <c r="K455" i="2"/>
  <c r="K456" i="2"/>
  <c r="K457" i="2"/>
  <c r="K458" i="2"/>
  <c r="K459" i="2"/>
  <c r="P459" i="2" s="1"/>
  <c r="K460" i="2"/>
  <c r="P460" i="2" s="1"/>
  <c r="K461" i="2"/>
  <c r="P461" i="2" s="1"/>
  <c r="K462" i="2"/>
  <c r="K463" i="2"/>
  <c r="K464" i="2"/>
  <c r="P464" i="2" s="1"/>
  <c r="K465" i="2"/>
  <c r="P465" i="2" s="1"/>
  <c r="K466" i="2"/>
  <c r="K467" i="2"/>
  <c r="K468" i="2"/>
  <c r="P468" i="2" s="1"/>
  <c r="K469" i="2"/>
  <c r="K470" i="2"/>
  <c r="P470" i="2" s="1"/>
  <c r="K471" i="2"/>
  <c r="K472" i="2"/>
  <c r="K473" i="2"/>
  <c r="P473" i="2" s="1"/>
  <c r="K474" i="2"/>
  <c r="P474" i="2" s="1"/>
  <c r="K475" i="2"/>
  <c r="K476" i="2"/>
  <c r="P476" i="2" s="1"/>
  <c r="M476" i="2" s="1"/>
  <c r="K477" i="2"/>
  <c r="K478" i="2"/>
  <c r="P478" i="2" s="1"/>
  <c r="K479" i="2"/>
  <c r="K480" i="2"/>
  <c r="K481" i="2"/>
  <c r="K482" i="2"/>
  <c r="P482" i="2" s="1"/>
  <c r="K483" i="2"/>
  <c r="P483" i="2" s="1"/>
  <c r="K484" i="2"/>
  <c r="K485" i="2"/>
  <c r="P485" i="2" s="1"/>
  <c r="K486" i="2"/>
  <c r="P486" i="2" s="1"/>
  <c r="K487" i="2"/>
  <c r="P487" i="2" s="1"/>
  <c r="K488" i="2"/>
  <c r="K489" i="2"/>
  <c r="K490" i="2"/>
  <c r="K491" i="2"/>
  <c r="K492" i="2"/>
  <c r="P492" i="2" s="1"/>
  <c r="K493" i="2"/>
  <c r="P493" i="2" s="1"/>
  <c r="K494" i="2"/>
  <c r="K495" i="2"/>
  <c r="K496" i="2"/>
  <c r="K497" i="2"/>
  <c r="K498" i="2"/>
  <c r="K499" i="2"/>
  <c r="K500" i="2"/>
  <c r="K501" i="2"/>
  <c r="K502" i="2"/>
  <c r="K503" i="2"/>
  <c r="K504" i="2"/>
  <c r="P504" i="2" s="1"/>
  <c r="K505" i="2"/>
  <c r="K506" i="2"/>
  <c r="K507" i="2"/>
  <c r="K508" i="2"/>
  <c r="K509" i="2"/>
  <c r="P509" i="2" s="1"/>
  <c r="K510" i="2"/>
  <c r="P510" i="2" s="1"/>
  <c r="K511" i="2"/>
  <c r="K512" i="2"/>
  <c r="K513" i="2"/>
  <c r="P513" i="2" s="1"/>
  <c r="M513" i="2" s="1"/>
  <c r="K514" i="2"/>
  <c r="K515" i="2"/>
  <c r="P515" i="2" s="1"/>
  <c r="K516" i="2"/>
  <c r="P516" i="2" s="1"/>
  <c r="K517" i="2"/>
  <c r="P517" i="2" s="1"/>
  <c r="M517" i="2" s="1"/>
  <c r="K518" i="2"/>
  <c r="K519" i="2"/>
  <c r="P519" i="2" s="1"/>
  <c r="K520" i="2"/>
  <c r="K521" i="2"/>
  <c r="K522" i="2"/>
  <c r="K523" i="2"/>
  <c r="P523" i="2" s="1"/>
  <c r="K524" i="2"/>
  <c r="K525" i="2"/>
  <c r="P525" i="2" s="1"/>
  <c r="K526" i="2"/>
  <c r="P526" i="2" s="1"/>
  <c r="K527" i="2"/>
  <c r="P527" i="2" s="1"/>
  <c r="K528" i="2"/>
  <c r="P528" i="2" s="1"/>
  <c r="K529" i="2"/>
  <c r="K530" i="2"/>
  <c r="K531" i="2"/>
  <c r="K532" i="2"/>
  <c r="K533" i="2"/>
  <c r="K534" i="2"/>
  <c r="P534" i="2" s="1"/>
  <c r="K535" i="2"/>
  <c r="K536" i="2"/>
  <c r="P536" i="2" s="1"/>
  <c r="K537" i="2"/>
  <c r="P537" i="2" s="1"/>
  <c r="K538" i="2"/>
  <c r="P538" i="2" s="1"/>
  <c r="K539" i="2"/>
  <c r="K540" i="2"/>
  <c r="P540" i="2" s="1"/>
  <c r="K541" i="2"/>
  <c r="K542" i="2"/>
  <c r="K543" i="2"/>
  <c r="M543" i="2" s="1"/>
  <c r="K544" i="2"/>
  <c r="K545" i="2"/>
  <c r="P545" i="2" s="1"/>
  <c r="K546" i="2"/>
  <c r="K547" i="2"/>
  <c r="K548" i="2"/>
  <c r="K549" i="2"/>
  <c r="P549" i="2" s="1"/>
  <c r="K550" i="2"/>
  <c r="P550" i="2" s="1"/>
  <c r="K551" i="2"/>
  <c r="K552" i="2"/>
  <c r="K553" i="2"/>
  <c r="P553" i="2" s="1"/>
  <c r="M553" i="2" s="1"/>
  <c r="K554" i="2"/>
  <c r="P554" i="2" s="1"/>
  <c r="M554" i="2" s="1"/>
  <c r="K555" i="2"/>
  <c r="P555" i="2" s="1"/>
  <c r="K556" i="2"/>
  <c r="P556" i="2" s="1"/>
  <c r="M556" i="2" s="1"/>
  <c r="K557" i="2"/>
  <c r="K558" i="2"/>
  <c r="K559" i="2"/>
  <c r="K560" i="2"/>
  <c r="K561" i="2"/>
  <c r="K562" i="2"/>
  <c r="K563" i="2"/>
  <c r="P563" i="2" s="1"/>
  <c r="K564" i="2"/>
  <c r="P564" i="2" s="1"/>
  <c r="K565" i="2"/>
  <c r="P565" i="2" s="1"/>
  <c r="K566" i="2"/>
  <c r="K567" i="2"/>
  <c r="P567" i="2" s="1"/>
  <c r="M567" i="2" s="1"/>
  <c r="K568" i="2"/>
  <c r="K569" i="2"/>
  <c r="M569" i="2" s="1"/>
  <c r="K570" i="2"/>
  <c r="P570" i="2" s="1"/>
  <c r="K571" i="2"/>
  <c r="K572" i="2"/>
  <c r="K573" i="2"/>
  <c r="K574" i="2"/>
  <c r="P574" i="2" s="1"/>
  <c r="K575" i="2"/>
  <c r="P575" i="2" s="1"/>
  <c r="K576" i="2"/>
  <c r="K577" i="2"/>
  <c r="P577" i="2" s="1"/>
  <c r="K578" i="2"/>
  <c r="K579" i="2"/>
  <c r="P579" i="2" s="1"/>
  <c r="K580" i="2"/>
  <c r="K581" i="2"/>
  <c r="P581" i="2" s="1"/>
  <c r="K582" i="2"/>
  <c r="P582" i="2" s="1"/>
  <c r="M582" i="2" s="1"/>
  <c r="K583" i="2"/>
  <c r="K584" i="2"/>
  <c r="K585" i="2"/>
  <c r="K586" i="2"/>
  <c r="P586" i="2" s="1"/>
  <c r="K587" i="2"/>
  <c r="P587" i="2" s="1"/>
  <c r="K588" i="2"/>
  <c r="P588" i="2" s="1"/>
  <c r="K589" i="2"/>
  <c r="K590" i="2"/>
  <c r="P590" i="2" s="1"/>
  <c r="K591" i="2"/>
  <c r="P591" i="2" s="1"/>
  <c r="M591" i="2" s="1"/>
  <c r="K592" i="2"/>
  <c r="P592" i="2" s="1"/>
  <c r="K593" i="2"/>
  <c r="P593" i="2" s="1"/>
  <c r="M593" i="2" s="1"/>
  <c r="K594" i="2"/>
  <c r="P594" i="2" s="1"/>
  <c r="K595" i="2"/>
  <c r="K596" i="2"/>
  <c r="K597" i="2"/>
  <c r="K598" i="2"/>
  <c r="K599" i="2"/>
  <c r="K600" i="2"/>
  <c r="P600" i="2" s="1"/>
  <c r="K601" i="2"/>
  <c r="P601" i="2" s="1"/>
  <c r="K602" i="2"/>
  <c r="P602" i="2" s="1"/>
  <c r="K603" i="2"/>
  <c r="P603" i="2" s="1"/>
  <c r="K604" i="2"/>
  <c r="K605" i="2"/>
  <c r="K606" i="2"/>
  <c r="P606" i="2" s="1"/>
  <c r="M606" i="2" s="1"/>
  <c r="K607" i="2"/>
  <c r="K608" i="2"/>
  <c r="K609" i="2"/>
  <c r="P609" i="2" s="1"/>
  <c r="K610" i="2"/>
  <c r="K611" i="2"/>
  <c r="K612" i="2"/>
  <c r="P612" i="2" s="1"/>
  <c r="K613" i="2"/>
  <c r="P613" i="2" s="1"/>
  <c r="K614" i="2"/>
  <c r="P614" i="2" s="1"/>
  <c r="K615" i="2"/>
  <c r="K616" i="2"/>
  <c r="K617" i="2"/>
  <c r="P617" i="2" s="1"/>
  <c r="K618" i="2"/>
  <c r="P618" i="2" s="1"/>
  <c r="K619" i="2"/>
  <c r="K620" i="2"/>
  <c r="P620" i="2" s="1"/>
  <c r="M620" i="2" s="1"/>
  <c r="K621" i="2"/>
  <c r="P621" i="2" s="1"/>
  <c r="K622" i="2"/>
  <c r="P622" i="2" s="1"/>
  <c r="K623" i="2"/>
  <c r="K624" i="2"/>
  <c r="K625" i="2"/>
  <c r="K626" i="2"/>
  <c r="P626" i="2" s="1"/>
  <c r="K627" i="2"/>
  <c r="P627" i="2" s="1"/>
  <c r="K628" i="2"/>
  <c r="P628" i="2" s="1"/>
  <c r="K629" i="2"/>
  <c r="K630" i="2"/>
  <c r="M630" i="2" s="1"/>
  <c r="K631" i="2"/>
  <c r="P631" i="2" s="1"/>
  <c r="K632" i="2"/>
  <c r="P632" i="2" s="1"/>
  <c r="M632" i="2" s="1"/>
  <c r="K633" i="2"/>
  <c r="K634" i="2"/>
  <c r="K635" i="2"/>
  <c r="P635" i="2" s="1"/>
  <c r="K636" i="2"/>
  <c r="K637" i="2"/>
  <c r="P637" i="2" s="1"/>
  <c r="K638" i="2"/>
  <c r="K639" i="2"/>
  <c r="P639" i="2" s="1"/>
  <c r="M639" i="2" s="1"/>
  <c r="K640" i="2"/>
  <c r="K641" i="2"/>
  <c r="K642" i="2"/>
  <c r="K643" i="2"/>
  <c r="K644" i="2"/>
  <c r="K645" i="2"/>
  <c r="P645" i="2" s="1"/>
  <c r="M645" i="2" s="1"/>
  <c r="K646" i="2"/>
  <c r="P646" i="2" s="1"/>
  <c r="K647" i="2"/>
  <c r="P647" i="2" s="1"/>
  <c r="K648" i="2"/>
  <c r="P648" i="2" s="1"/>
  <c r="K649" i="2"/>
  <c r="K650" i="2"/>
  <c r="K651" i="2"/>
  <c r="K652" i="2"/>
  <c r="P652" i="2" s="1"/>
  <c r="K653" i="2"/>
  <c r="P653" i="2" s="1"/>
  <c r="K654" i="2"/>
  <c r="K655" i="2"/>
  <c r="K656" i="2"/>
  <c r="P656" i="2" s="1"/>
  <c r="K657" i="2"/>
  <c r="P657" i="2" s="1"/>
  <c r="K658" i="2"/>
  <c r="P658" i="2" s="1"/>
  <c r="K659" i="2"/>
  <c r="P659" i="2" s="1"/>
  <c r="K660" i="2"/>
  <c r="P660" i="2" s="1"/>
  <c r="K661" i="2"/>
  <c r="P661" i="2" s="1"/>
  <c r="K662" i="2"/>
  <c r="K663" i="2"/>
  <c r="P663" i="2" s="1"/>
  <c r="K664" i="2"/>
  <c r="K665" i="2"/>
  <c r="P665" i="2" s="1"/>
  <c r="K666" i="2"/>
  <c r="P666" i="2" s="1"/>
  <c r="K667" i="2"/>
  <c r="K668" i="2"/>
  <c r="K669" i="2"/>
  <c r="P669" i="2" s="1"/>
  <c r="K670" i="2"/>
  <c r="P670" i="2" s="1"/>
  <c r="M670" i="2" s="1"/>
  <c r="K671" i="2"/>
  <c r="K672" i="2"/>
  <c r="P672" i="2" s="1"/>
  <c r="K673" i="2"/>
  <c r="K674" i="2"/>
  <c r="K675" i="2"/>
  <c r="K676" i="2"/>
  <c r="P676" i="2" s="1"/>
  <c r="K677" i="2"/>
  <c r="K678" i="2"/>
  <c r="P678" i="2" s="1"/>
  <c r="K679" i="2"/>
  <c r="P679" i="2" s="1"/>
  <c r="K680" i="2"/>
  <c r="P680" i="2" s="1"/>
  <c r="K681" i="2"/>
  <c r="P681" i="2" s="1"/>
  <c r="K682" i="2"/>
  <c r="K683" i="2"/>
  <c r="P683" i="2" s="1"/>
  <c r="K684" i="2"/>
  <c r="P684" i="2" s="1"/>
  <c r="K685" i="2"/>
  <c r="K686" i="2"/>
  <c r="K687" i="2"/>
  <c r="K688" i="2"/>
  <c r="P688" i="2" s="1"/>
  <c r="K689" i="2"/>
  <c r="K690" i="2"/>
  <c r="P690" i="2" s="1"/>
  <c r="K691" i="2"/>
  <c r="K692" i="2"/>
  <c r="K693" i="2"/>
  <c r="P693" i="2" s="1"/>
  <c r="K694" i="2"/>
  <c r="P694" i="2" s="1"/>
  <c r="K695" i="2"/>
  <c r="K696" i="2"/>
  <c r="P696" i="2" s="1"/>
  <c r="K697" i="2"/>
  <c r="P697" i="2" s="1"/>
  <c r="K698" i="2"/>
  <c r="P698" i="2" s="1"/>
  <c r="M698" i="2" s="1"/>
  <c r="K699" i="2"/>
  <c r="P699" i="2" s="1"/>
  <c r="K700" i="2"/>
  <c r="P700" i="2" s="1"/>
  <c r="K701" i="2"/>
  <c r="K702" i="2"/>
  <c r="K703" i="2"/>
  <c r="K704" i="2"/>
  <c r="K705" i="2"/>
  <c r="P705" i="2" s="1"/>
  <c r="K706" i="2"/>
  <c r="P706" i="2" s="1"/>
  <c r="K707" i="2"/>
  <c r="P707" i="2" s="1"/>
  <c r="K708" i="2"/>
  <c r="K709" i="2"/>
  <c r="P709" i="2" s="1"/>
  <c r="K710" i="2"/>
  <c r="K711" i="2"/>
  <c r="P711" i="2" s="1"/>
  <c r="K712" i="2"/>
  <c r="P712" i="2" s="1"/>
  <c r="K713" i="2"/>
  <c r="K714" i="2"/>
  <c r="K715" i="2"/>
  <c r="K716" i="2"/>
  <c r="K717" i="2"/>
  <c r="K718" i="2"/>
  <c r="K719" i="2"/>
  <c r="K720" i="2"/>
  <c r="K721" i="2"/>
  <c r="P721" i="2" s="1"/>
  <c r="M721" i="2" s="1"/>
  <c r="K722" i="2"/>
  <c r="K723" i="2"/>
  <c r="K724" i="2"/>
  <c r="P724" i="2" s="1"/>
  <c r="K725" i="2"/>
  <c r="K726" i="2"/>
  <c r="P726" i="2" s="1"/>
  <c r="K727" i="2"/>
  <c r="K728" i="2"/>
  <c r="P728" i="2" s="1"/>
  <c r="K729" i="2"/>
  <c r="P729" i="2" s="1"/>
  <c r="K730" i="2"/>
  <c r="P730" i="2" s="1"/>
  <c r="K731" i="2"/>
  <c r="P731" i="2" s="1"/>
  <c r="K732" i="2"/>
  <c r="K733" i="2"/>
  <c r="P733" i="2" s="1"/>
  <c r="M733" i="2" s="1"/>
  <c r="K734" i="2"/>
  <c r="P734" i="2" s="1"/>
  <c r="K735" i="2"/>
  <c r="K736" i="2"/>
  <c r="P736" i="2" s="1"/>
  <c r="K737" i="2"/>
  <c r="K738" i="2"/>
  <c r="P738" i="2" s="1"/>
  <c r="K739" i="2"/>
  <c r="K740" i="2"/>
  <c r="M740" i="2" s="1"/>
  <c r="K741" i="2"/>
  <c r="K742" i="2"/>
  <c r="K743" i="2"/>
  <c r="K744" i="2"/>
  <c r="P744" i="2" s="1"/>
  <c r="K745" i="2"/>
  <c r="K746" i="2"/>
  <c r="P746" i="2" s="1"/>
  <c r="K747" i="2"/>
  <c r="K748" i="2"/>
  <c r="P748" i="2" s="1"/>
  <c r="K749" i="2"/>
  <c r="K750" i="2"/>
  <c r="K751" i="2"/>
  <c r="P751" i="2" s="1"/>
  <c r="K752" i="2"/>
  <c r="K753" i="2"/>
  <c r="P753" i="2" s="1"/>
  <c r="K754" i="2"/>
  <c r="P754" i="2" s="1"/>
  <c r="K755" i="2"/>
  <c r="K756" i="2"/>
  <c r="P756" i="2" s="1"/>
  <c r="K757" i="2"/>
  <c r="P757" i="2" s="1"/>
  <c r="K758" i="2"/>
  <c r="K759" i="2"/>
  <c r="P759" i="2" s="1"/>
  <c r="K760" i="2"/>
  <c r="K761" i="2"/>
  <c r="K762" i="2"/>
  <c r="K763" i="2"/>
  <c r="K764" i="2"/>
  <c r="K765" i="2"/>
  <c r="K766" i="2"/>
  <c r="K767" i="2"/>
  <c r="K768" i="2"/>
  <c r="K769" i="2"/>
  <c r="P769" i="2" s="1"/>
  <c r="K770" i="2"/>
  <c r="K771" i="2"/>
  <c r="P771" i="2" s="1"/>
  <c r="K772" i="2"/>
  <c r="P772" i="2" s="1"/>
  <c r="M772" i="2" s="1"/>
  <c r="K773" i="2"/>
  <c r="P773" i="2" s="1"/>
  <c r="K774" i="2"/>
  <c r="P774" i="2" s="1"/>
  <c r="K775" i="2"/>
  <c r="K776" i="2"/>
  <c r="P776" i="2" s="1"/>
  <c r="K777" i="2"/>
  <c r="P777" i="2" s="1"/>
  <c r="K778" i="2"/>
  <c r="K779" i="2"/>
  <c r="P779" i="2" s="1"/>
  <c r="K780" i="2"/>
  <c r="P780" i="2" s="1"/>
  <c r="K781" i="2"/>
  <c r="P781" i="2" s="1"/>
  <c r="K782" i="2"/>
  <c r="P782" i="2" s="1"/>
  <c r="K783" i="2"/>
  <c r="K784" i="2"/>
  <c r="P784" i="2" s="1"/>
  <c r="K785" i="2"/>
  <c r="K786" i="2"/>
  <c r="P786" i="2" s="1"/>
  <c r="K787" i="2"/>
  <c r="K788" i="2"/>
  <c r="P788" i="2" s="1"/>
  <c r="K789" i="2"/>
  <c r="P789" i="2" s="1"/>
  <c r="K790" i="2"/>
  <c r="P790" i="2" s="1"/>
  <c r="K791" i="2"/>
  <c r="K792" i="2"/>
  <c r="K793" i="2"/>
  <c r="K794" i="2"/>
  <c r="P794" i="2" s="1"/>
  <c r="K795" i="2"/>
  <c r="P795" i="2" s="1"/>
  <c r="K796" i="2"/>
  <c r="M796" i="2" s="1"/>
  <c r="K797" i="2"/>
  <c r="K798" i="2"/>
  <c r="P798" i="2" s="1"/>
  <c r="K799" i="2"/>
  <c r="K800" i="2"/>
  <c r="P800" i="2" s="1"/>
  <c r="K801" i="2"/>
  <c r="P801" i="2" s="1"/>
  <c r="K802" i="2"/>
  <c r="P802" i="2" s="1"/>
  <c r="K803" i="2"/>
  <c r="P803" i="2" s="1"/>
  <c r="K804" i="2"/>
  <c r="P804" i="2" s="1"/>
  <c r="K805" i="2"/>
  <c r="K806" i="2"/>
  <c r="P806" i="2" s="1"/>
  <c r="K807" i="2"/>
  <c r="K808" i="2"/>
  <c r="P808" i="2" s="1"/>
  <c r="K809" i="2"/>
  <c r="P809" i="2" s="1"/>
  <c r="K810" i="2"/>
  <c r="K811" i="2"/>
  <c r="K812" i="2"/>
  <c r="P812" i="2" s="1"/>
  <c r="M812" i="2" s="1"/>
  <c r="K813" i="2"/>
  <c r="K814" i="2"/>
  <c r="K815" i="2"/>
  <c r="K816" i="2"/>
  <c r="P816" i="2" s="1"/>
  <c r="K817" i="2"/>
  <c r="K818" i="2"/>
  <c r="K819" i="2"/>
  <c r="K820" i="2"/>
  <c r="P820" i="2" s="1"/>
  <c r="K821" i="2"/>
  <c r="K822" i="2"/>
  <c r="K823" i="2"/>
  <c r="K824" i="2"/>
  <c r="P824" i="2" s="1"/>
  <c r="K825" i="2"/>
  <c r="P825" i="2" s="1"/>
  <c r="K826" i="2"/>
  <c r="P826" i="2" s="1"/>
  <c r="K827" i="2"/>
  <c r="P827" i="2" s="1"/>
  <c r="K828" i="2"/>
  <c r="P828" i="2" s="1"/>
  <c r="K829" i="2"/>
  <c r="K830" i="2"/>
  <c r="K831" i="2"/>
  <c r="K832" i="2"/>
  <c r="P832" i="2" s="1"/>
  <c r="K833" i="2"/>
  <c r="P833" i="2" s="1"/>
  <c r="K834" i="2"/>
  <c r="K835" i="2"/>
  <c r="K836" i="2"/>
  <c r="P836" i="2" s="1"/>
  <c r="M836" i="2" s="1"/>
  <c r="K837" i="2"/>
  <c r="P837" i="2" s="1"/>
  <c r="K838" i="2"/>
  <c r="P838" i="2" s="1"/>
  <c r="K839" i="2"/>
  <c r="P839" i="2" s="1"/>
  <c r="K840" i="2"/>
  <c r="P840" i="2" s="1"/>
  <c r="K841" i="2"/>
  <c r="K842" i="2"/>
  <c r="P842" i="2" s="1"/>
  <c r="M842" i="2" s="1"/>
  <c r="K843" i="2"/>
  <c r="P843" i="2" s="1"/>
  <c r="K844" i="2"/>
  <c r="P844" i="2" s="1"/>
  <c r="K845" i="2"/>
  <c r="P845" i="2" s="1"/>
  <c r="K846" i="2"/>
  <c r="K847" i="2"/>
  <c r="K848" i="2"/>
  <c r="P848" i="2" s="1"/>
  <c r="K849" i="2"/>
  <c r="P849" i="2" s="1"/>
  <c r="K850" i="2"/>
  <c r="K851" i="2"/>
  <c r="P851" i="2" s="1"/>
  <c r="M851" i="2" s="1"/>
  <c r="K852" i="2"/>
  <c r="P852" i="2" s="1"/>
  <c r="K853" i="2"/>
  <c r="P853" i="2" s="1"/>
  <c r="K854" i="2"/>
  <c r="P854" i="2" s="1"/>
  <c r="K855" i="2"/>
  <c r="P855" i="2" s="1"/>
  <c r="M855" i="2" s="1"/>
  <c r="K856" i="2"/>
  <c r="K857" i="2"/>
  <c r="P857" i="2" s="1"/>
  <c r="M857" i="2" s="1"/>
  <c r="K858" i="2"/>
  <c r="P858" i="2" s="1"/>
  <c r="K859" i="2"/>
  <c r="P859" i="2" s="1"/>
  <c r="K860" i="2"/>
  <c r="P860" i="2" s="1"/>
  <c r="M860" i="2" s="1"/>
  <c r="K861" i="2"/>
  <c r="P861" i="2" s="1"/>
  <c r="K862" i="2"/>
  <c r="P862" i="2" s="1"/>
  <c r="K863" i="2"/>
  <c r="P863" i="2" s="1"/>
  <c r="K864" i="2"/>
  <c r="P864" i="2" s="1"/>
  <c r="K865" i="2"/>
  <c r="K866" i="2"/>
  <c r="K867" i="2"/>
  <c r="P867" i="2" s="1"/>
  <c r="K868" i="2"/>
  <c r="K869" i="2"/>
  <c r="K870" i="2"/>
  <c r="P870" i="2" s="1"/>
  <c r="K871" i="2"/>
  <c r="K872" i="2"/>
  <c r="K873" i="2"/>
  <c r="K874" i="2"/>
  <c r="K875" i="2"/>
  <c r="P875" i="2" s="1"/>
  <c r="K876" i="2"/>
  <c r="P876" i="2" s="1"/>
  <c r="K877" i="2"/>
  <c r="P877" i="2" s="1"/>
  <c r="K878" i="2"/>
  <c r="P878" i="2" s="1"/>
  <c r="K879" i="2"/>
  <c r="M879" i="2" s="1"/>
  <c r="K880" i="2"/>
  <c r="K881" i="2"/>
  <c r="P881" i="2" s="1"/>
  <c r="K882" i="2"/>
  <c r="K883" i="2"/>
  <c r="K884" i="2"/>
  <c r="P884" i="2" s="1"/>
  <c r="M884" i="2" s="1"/>
  <c r="K885" i="2"/>
  <c r="K886" i="2"/>
  <c r="K887" i="2"/>
  <c r="K888" i="2"/>
  <c r="K889" i="2"/>
  <c r="K890" i="2"/>
  <c r="K891" i="2"/>
  <c r="K892" i="2"/>
  <c r="P892" i="2" s="1"/>
  <c r="K893" i="2"/>
  <c r="P893" i="2" s="1"/>
  <c r="K894" i="2"/>
  <c r="P894" i="2" s="1"/>
  <c r="K895" i="2"/>
  <c r="K896" i="2"/>
  <c r="K897" i="2"/>
  <c r="K898" i="2"/>
  <c r="K899" i="2"/>
  <c r="K900" i="2"/>
  <c r="P900" i="2" s="1"/>
  <c r="K901" i="2"/>
  <c r="P901" i="2" s="1"/>
  <c r="M901" i="2" s="1"/>
  <c r="K902" i="2"/>
  <c r="K903" i="2"/>
  <c r="P903" i="2" s="1"/>
  <c r="K904" i="2"/>
  <c r="P904" i="2" s="1"/>
  <c r="K905" i="2"/>
  <c r="P905" i="2" s="1"/>
  <c r="K906" i="2"/>
  <c r="P906" i="2" s="1"/>
  <c r="K907" i="2"/>
  <c r="P907" i="2" s="1"/>
  <c r="K908" i="2"/>
  <c r="P908" i="2" s="1"/>
  <c r="K909" i="2"/>
  <c r="K910" i="2"/>
  <c r="K911" i="2"/>
  <c r="K912" i="2"/>
  <c r="K913" i="2"/>
  <c r="K914" i="2"/>
  <c r="K915" i="2"/>
  <c r="K916" i="2"/>
  <c r="K917" i="2"/>
  <c r="K918" i="2"/>
  <c r="P918" i="2" s="1"/>
  <c r="K919" i="2"/>
  <c r="K920" i="2"/>
  <c r="K921" i="2"/>
  <c r="K922" i="2"/>
  <c r="K923" i="2"/>
  <c r="K924" i="2"/>
  <c r="K925" i="2"/>
  <c r="P925" i="2" s="1"/>
  <c r="K926" i="2"/>
  <c r="K927" i="2"/>
  <c r="K928" i="2"/>
  <c r="K929" i="2"/>
  <c r="P929" i="2" s="1"/>
  <c r="M929" i="2" s="1"/>
  <c r="K930" i="2"/>
  <c r="P930" i="2" s="1"/>
  <c r="K931" i="2"/>
  <c r="K932" i="2"/>
  <c r="P932" i="2" s="1"/>
  <c r="M932" i="2" s="1"/>
  <c r="K933" i="2"/>
  <c r="K934" i="2"/>
  <c r="P934" i="2" s="1"/>
  <c r="K935" i="2"/>
  <c r="K936" i="2"/>
  <c r="K937" i="2"/>
  <c r="K938" i="2"/>
  <c r="P938" i="2" s="1"/>
  <c r="K939" i="2"/>
  <c r="P939" i="2" s="1"/>
  <c r="K940" i="2"/>
  <c r="K941" i="2"/>
  <c r="K942" i="2"/>
  <c r="P942" i="2" s="1"/>
  <c r="K943" i="2"/>
  <c r="K944" i="2"/>
  <c r="K945" i="2"/>
  <c r="P945" i="2" s="1"/>
  <c r="K946" i="2"/>
  <c r="P946" i="2" s="1"/>
  <c r="M946" i="2" s="1"/>
  <c r="K947" i="2"/>
  <c r="P947" i="2" s="1"/>
  <c r="K948" i="2"/>
  <c r="K949" i="2"/>
  <c r="P949" i="2" s="1"/>
  <c r="K950" i="2"/>
  <c r="K951" i="2"/>
  <c r="K952" i="2"/>
  <c r="K953" i="2"/>
  <c r="P953" i="2" s="1"/>
  <c r="K954" i="2"/>
  <c r="K955" i="2"/>
  <c r="K956" i="2"/>
  <c r="P956" i="2" s="1"/>
  <c r="K957" i="2"/>
  <c r="K958" i="2"/>
  <c r="K959" i="2"/>
  <c r="K960" i="2"/>
  <c r="K961" i="2"/>
  <c r="P961" i="2" s="1"/>
  <c r="K962" i="2"/>
  <c r="P962" i="2" s="1"/>
  <c r="K963" i="2"/>
  <c r="K964" i="2"/>
  <c r="K965" i="2"/>
  <c r="P965" i="2" s="1"/>
  <c r="K966" i="2"/>
  <c r="P966" i="2" s="1"/>
  <c r="M966" i="2" s="1"/>
  <c r="K967" i="2"/>
  <c r="P967" i="2" s="1"/>
  <c r="K968" i="2"/>
  <c r="P968" i="2" s="1"/>
  <c r="K969" i="2"/>
  <c r="P969" i="2" s="1"/>
  <c r="K970" i="2"/>
  <c r="K971" i="2"/>
  <c r="K972" i="2"/>
  <c r="K973" i="2"/>
  <c r="P973" i="2" s="1"/>
  <c r="M973" i="2" s="1"/>
  <c r="K974" i="2"/>
  <c r="K975" i="2"/>
  <c r="K976" i="2"/>
  <c r="K977" i="2"/>
  <c r="K978" i="2"/>
  <c r="K979" i="2"/>
  <c r="K980" i="2"/>
  <c r="P980" i="2" s="1"/>
  <c r="M980" i="2" s="1"/>
  <c r="K981" i="2"/>
  <c r="P981" i="2" s="1"/>
  <c r="K982" i="2"/>
  <c r="K983" i="2"/>
  <c r="K984" i="2"/>
  <c r="P984" i="2" s="1"/>
  <c r="M984" i="2" s="1"/>
  <c r="K985" i="2"/>
  <c r="K986" i="2"/>
  <c r="P986" i="2" s="1"/>
  <c r="K987" i="2"/>
  <c r="P987" i="2" s="1"/>
  <c r="K988" i="2"/>
  <c r="P988" i="2" s="1"/>
  <c r="K989" i="2"/>
  <c r="K990" i="2"/>
  <c r="K991" i="2"/>
  <c r="K992" i="2"/>
  <c r="K993" i="2"/>
  <c r="K994" i="2"/>
  <c r="K995" i="2"/>
  <c r="K996" i="2"/>
  <c r="P996" i="2" s="1"/>
  <c r="K997" i="2"/>
  <c r="P997" i="2" s="1"/>
  <c r="M997" i="2" s="1"/>
  <c r="K998" i="2"/>
  <c r="K999" i="2"/>
  <c r="P999" i="2" s="1"/>
  <c r="M999" i="2" s="1"/>
  <c r="K1000" i="2"/>
  <c r="K1001" i="2"/>
  <c r="K1002" i="2"/>
  <c r="K1003" i="2"/>
  <c r="K1004" i="2"/>
  <c r="P1004" i="2" s="1"/>
  <c r="M1004" i="2" s="1"/>
  <c r="K1005" i="2"/>
  <c r="K1006" i="2"/>
  <c r="P1006" i="2" s="1"/>
  <c r="K1007" i="2"/>
  <c r="K1008" i="2"/>
  <c r="K1009" i="2"/>
  <c r="P1009" i="2" s="1"/>
  <c r="M1009" i="2" s="1"/>
  <c r="K1010" i="2"/>
  <c r="P1010" i="2" s="1"/>
  <c r="M1010" i="2" s="1"/>
  <c r="K1011" i="2"/>
  <c r="P1011" i="2" s="1"/>
  <c r="K1012" i="2"/>
  <c r="K1013" i="2"/>
  <c r="P1013" i="2" s="1"/>
  <c r="K1014" i="2"/>
  <c r="P1014" i="2" s="1"/>
  <c r="M1014" i="2" s="1"/>
  <c r="K1015" i="2"/>
  <c r="K1016" i="2"/>
  <c r="P1016" i="2" s="1"/>
  <c r="K1017" i="2"/>
  <c r="P1017" i="2" s="1"/>
  <c r="K1018" i="2"/>
  <c r="K1019" i="2"/>
  <c r="K1020" i="2"/>
  <c r="K1021" i="2"/>
  <c r="P1021" i="2" s="1"/>
  <c r="M1021" i="2" s="1"/>
  <c r="K1022" i="2"/>
  <c r="P1022" i="2" s="1"/>
  <c r="K1023" i="2"/>
  <c r="P1023" i="2" s="1"/>
  <c r="M1023" i="2" s="1"/>
  <c r="K1024" i="2"/>
  <c r="P1024" i="2" s="1"/>
  <c r="M1024" i="2" s="1"/>
  <c r="K1025" i="2"/>
  <c r="P1025" i="2" s="1"/>
  <c r="K1026" i="2"/>
  <c r="K1027" i="2"/>
  <c r="K1028" i="2"/>
  <c r="P1028" i="2" s="1"/>
  <c r="M1028" i="2" s="1"/>
  <c r="K1029" i="2"/>
  <c r="K1030" i="2"/>
  <c r="K1031" i="2"/>
  <c r="K1032" i="2"/>
  <c r="K1033" i="2"/>
  <c r="P1033" i="2" s="1"/>
  <c r="K1034" i="2"/>
  <c r="P1034" i="2" s="1"/>
  <c r="M1034" i="2" s="1"/>
  <c r="K1035" i="2"/>
  <c r="K1036" i="2"/>
  <c r="P1036" i="2" s="1"/>
  <c r="M1036" i="2" s="1"/>
  <c r="K1037" i="2"/>
  <c r="P1037" i="2" s="1"/>
  <c r="K1038" i="2"/>
  <c r="P1038" i="2" s="1"/>
  <c r="K1039" i="2"/>
  <c r="K1040" i="2"/>
  <c r="K1041" i="2"/>
  <c r="K1042" i="2"/>
  <c r="K1043" i="2"/>
  <c r="K1044" i="2"/>
  <c r="P1044" i="2" s="1"/>
  <c r="K1045" i="2"/>
  <c r="K1046" i="2"/>
  <c r="K1047" i="2"/>
  <c r="K1048" i="2"/>
  <c r="K1049" i="2"/>
  <c r="M1049" i="2" s="1"/>
  <c r="K1050" i="2"/>
  <c r="K1051" i="2"/>
  <c r="P1051" i="2" s="1"/>
  <c r="K1052" i="2"/>
  <c r="P1052" i="2" s="1"/>
  <c r="M1052" i="2" s="1"/>
  <c r="K1053" i="2"/>
  <c r="K1054" i="2"/>
  <c r="P1054" i="2" s="1"/>
  <c r="K1055" i="2"/>
  <c r="K1056" i="2"/>
  <c r="K1057" i="2"/>
  <c r="K1058" i="2"/>
  <c r="P1058" i="2" s="1"/>
  <c r="K1059" i="2"/>
  <c r="P1059" i="2" s="1"/>
  <c r="K1060" i="2"/>
  <c r="P1060" i="2" s="1"/>
  <c r="M1060" i="2" s="1"/>
  <c r="K1061" i="2"/>
  <c r="P1061" i="2" s="1"/>
  <c r="K1062" i="2"/>
  <c r="P1062" i="2" s="1"/>
  <c r="K1063" i="2"/>
  <c r="K1064" i="2"/>
  <c r="K1065" i="2"/>
  <c r="K1066" i="2"/>
  <c r="P1066" i="2" s="1"/>
  <c r="K1067" i="2"/>
  <c r="P1067" i="2" s="1"/>
  <c r="K1068" i="2"/>
  <c r="P1068" i="2" s="1"/>
  <c r="K1069" i="2"/>
  <c r="P1069" i="2" s="1"/>
  <c r="K1070" i="2"/>
  <c r="K1071" i="2"/>
  <c r="P1071" i="2" s="1"/>
  <c r="M1071" i="2" s="1"/>
  <c r="K1072" i="2"/>
  <c r="K1073" i="2"/>
  <c r="P1073" i="2" s="1"/>
  <c r="M1073" i="2" s="1"/>
  <c r="K1074" i="2"/>
  <c r="P1074" i="2" s="1"/>
  <c r="K1075" i="2"/>
  <c r="K1076" i="2"/>
  <c r="P1076" i="2" s="1"/>
  <c r="M1076" i="2" s="1"/>
  <c r="K1077" i="2"/>
  <c r="K1078" i="2"/>
  <c r="K1079" i="2"/>
  <c r="K1080" i="2"/>
  <c r="K1081" i="2"/>
  <c r="K1082" i="2"/>
  <c r="K1083" i="2"/>
  <c r="P1083" i="2" s="1"/>
  <c r="K1084" i="2"/>
  <c r="P1084" i="2" s="1"/>
  <c r="M1084" i="2" s="1"/>
  <c r="K1085" i="2"/>
  <c r="K1086" i="2"/>
  <c r="K1087" i="2"/>
  <c r="K1088" i="2"/>
  <c r="P1088" i="2" s="1"/>
  <c r="K1089" i="2"/>
  <c r="K1090" i="2"/>
  <c r="P1090" i="2" s="1"/>
  <c r="K1091" i="2"/>
  <c r="K1092" i="2"/>
  <c r="K1093" i="2"/>
  <c r="P1093" i="2" s="1"/>
  <c r="K1094" i="2"/>
  <c r="P1094" i="2" s="1"/>
  <c r="K1095" i="2"/>
  <c r="P1095" i="2" s="1"/>
  <c r="K1096" i="2"/>
  <c r="K1097" i="2"/>
  <c r="P1097" i="2" s="1"/>
  <c r="K1098" i="2"/>
  <c r="K1099" i="2"/>
  <c r="P1099" i="2" s="1"/>
  <c r="K1100" i="2"/>
  <c r="P1100" i="2" s="1"/>
  <c r="M1100" i="2" s="1"/>
  <c r="K1101" i="2"/>
  <c r="P1101" i="2" s="1"/>
  <c r="K1102" i="2"/>
  <c r="P1102" i="2" s="1"/>
  <c r="K1103" i="2"/>
  <c r="K1104" i="2"/>
  <c r="K1105" i="2"/>
  <c r="K1106" i="2"/>
  <c r="P1106" i="2" s="1"/>
  <c r="K1107" i="2"/>
  <c r="K1108" i="2"/>
  <c r="P1108" i="2" s="1"/>
  <c r="K1109" i="2"/>
  <c r="P1109" i="2" s="1"/>
  <c r="K1110" i="2"/>
  <c r="K1111" i="2"/>
  <c r="K1112" i="2"/>
  <c r="P1112" i="2" s="1"/>
  <c r="M1112" i="2" s="1"/>
  <c r="K1113" i="2"/>
  <c r="P1113" i="2" s="1"/>
  <c r="K1114" i="2"/>
  <c r="P1114" i="2" s="1"/>
  <c r="M1114" i="2" s="1"/>
  <c r="K1115" i="2"/>
  <c r="P1115" i="2" s="1"/>
  <c r="K1116" i="2"/>
  <c r="P1116" i="2" s="1"/>
  <c r="K1117" i="2"/>
  <c r="K1118" i="2"/>
  <c r="K1119" i="2"/>
  <c r="P1119" i="2" s="1"/>
  <c r="K1120" i="2"/>
  <c r="K1121" i="2"/>
  <c r="P1121" i="2" s="1"/>
  <c r="M1121" i="2" s="1"/>
  <c r="K1122" i="2"/>
  <c r="K1123" i="2"/>
  <c r="P1123" i="2" s="1"/>
  <c r="K1124" i="2"/>
  <c r="P1124" i="2" s="1"/>
  <c r="M1124" i="2" s="1"/>
  <c r="K1125" i="2"/>
  <c r="K1126" i="2"/>
  <c r="K1127" i="2"/>
  <c r="K1128" i="2"/>
  <c r="K1129" i="2"/>
  <c r="K1130" i="2"/>
  <c r="K1131" i="2"/>
  <c r="P1131" i="2" s="1"/>
  <c r="K1132" i="2"/>
  <c r="K1133" i="2"/>
  <c r="P1133" i="2" s="1"/>
  <c r="M1133" i="2" s="1"/>
  <c r="K1134" i="2"/>
  <c r="P1134" i="2" s="1"/>
  <c r="M1134" i="2" s="1"/>
  <c r="K1135" i="2"/>
  <c r="K1136" i="2"/>
  <c r="P1136" i="2" s="1"/>
  <c r="M1136" i="2" s="1"/>
  <c r="K1137" i="2"/>
  <c r="K1138" i="2"/>
  <c r="P1138" i="2" s="1"/>
  <c r="K1139" i="2"/>
  <c r="K1140" i="2"/>
  <c r="K1141" i="2"/>
  <c r="P1141" i="2" s="1"/>
  <c r="M1141" i="2" s="1"/>
  <c r="K1142" i="2"/>
  <c r="P1142" i="2" s="1"/>
  <c r="K1143" i="2"/>
  <c r="P1143" i="2" s="1"/>
  <c r="M1143" i="2" s="1"/>
  <c r="K1144" i="2"/>
  <c r="K1145" i="2"/>
  <c r="P1145" i="2" s="1"/>
  <c r="K1146" i="2"/>
  <c r="P1146" i="2" s="1"/>
  <c r="K1147" i="2"/>
  <c r="K1148" i="2"/>
  <c r="P1148" i="2" s="1"/>
  <c r="K1149" i="2"/>
  <c r="P1149" i="2" s="1"/>
  <c r="K1150" i="2"/>
  <c r="P1150" i="2" s="1"/>
  <c r="K1151" i="2"/>
  <c r="P1151" i="2" s="1"/>
  <c r="K1152" i="2"/>
  <c r="P1152" i="2" s="1"/>
  <c r="K1153" i="2"/>
  <c r="K1154" i="2"/>
  <c r="K1155" i="2"/>
  <c r="K1156" i="2"/>
  <c r="P1156" i="2" s="1"/>
  <c r="K1157" i="2"/>
  <c r="K1158" i="2"/>
  <c r="P1158" i="2" s="1"/>
  <c r="K1159" i="2"/>
  <c r="K1160" i="2"/>
  <c r="K1161" i="2"/>
  <c r="P1161" i="2" s="1"/>
  <c r="K1162" i="2"/>
  <c r="P1162" i="2" s="1"/>
  <c r="K1163" i="2"/>
  <c r="P1163" i="2" s="1"/>
  <c r="K1164" i="2"/>
  <c r="P1164" i="2" s="1"/>
  <c r="K1165" i="2"/>
  <c r="P1165" i="2" s="1"/>
  <c r="K1166" i="2"/>
  <c r="P1166" i="2" s="1"/>
  <c r="K1167" i="2"/>
  <c r="P1167" i="2" s="1"/>
  <c r="K1168" i="2"/>
  <c r="K1169" i="2"/>
  <c r="P1169" i="2" s="1"/>
  <c r="K1170" i="2"/>
  <c r="K1171" i="2"/>
  <c r="K1172" i="2"/>
  <c r="P1172" i="2" s="1"/>
  <c r="M1172" i="2" s="1"/>
  <c r="K1173" i="2"/>
  <c r="K1174" i="2"/>
  <c r="K1175" i="2"/>
  <c r="K1176" i="2"/>
  <c r="K1177" i="2"/>
  <c r="P1177" i="2" s="1"/>
  <c r="M1177" i="2" s="1"/>
  <c r="K1178" i="2"/>
  <c r="K1179" i="2"/>
  <c r="K1180" i="2"/>
  <c r="K1181" i="2"/>
  <c r="P1181" i="2" s="1"/>
  <c r="K1182" i="2"/>
  <c r="K1183" i="2"/>
  <c r="P1183" i="2" s="1"/>
  <c r="K1184" i="2"/>
  <c r="K1185" i="2"/>
  <c r="K1186" i="2"/>
  <c r="K1187" i="2"/>
  <c r="P1187" i="2" s="1"/>
  <c r="K1188" i="2"/>
  <c r="P1188" i="2" s="1"/>
  <c r="K1189" i="2"/>
  <c r="P1189" i="2" s="1"/>
  <c r="K1190" i="2"/>
  <c r="K1191" i="2"/>
  <c r="K1192" i="2"/>
  <c r="K1193" i="2"/>
  <c r="P1193" i="2" s="1"/>
  <c r="K1194" i="2"/>
  <c r="P1194" i="2" s="1"/>
  <c r="K1195" i="2"/>
  <c r="P1195" i="2" s="1"/>
  <c r="K1196" i="2"/>
  <c r="P1196" i="2" s="1"/>
  <c r="M1196" i="2" s="1"/>
  <c r="K1197" i="2"/>
  <c r="K1198" i="2"/>
  <c r="K1199" i="2"/>
  <c r="K1200" i="2"/>
  <c r="K120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L3" i="2"/>
  <c r="N3" i="2" s="1"/>
  <c r="L4" i="2"/>
  <c r="N4" i="2" s="1"/>
  <c r="L5" i="2"/>
  <c r="N5" i="2" s="1"/>
  <c r="L6" i="2"/>
  <c r="N6" i="2" s="1"/>
  <c r="L7" i="2"/>
  <c r="N7" i="2" s="1"/>
  <c r="L8" i="2"/>
  <c r="N8" i="2" s="1"/>
  <c r="L9" i="2"/>
  <c r="N9" i="2" s="1"/>
  <c r="L10" i="2"/>
  <c r="N10" i="2" s="1"/>
  <c r="L11" i="2"/>
  <c r="N11" i="2" s="1"/>
  <c r="L12" i="2"/>
  <c r="N12" i="2" s="1"/>
  <c r="L13" i="2"/>
  <c r="N13" i="2" s="1"/>
  <c r="L14" i="2"/>
  <c r="N14" i="2" s="1"/>
  <c r="L15" i="2"/>
  <c r="N15" i="2" s="1"/>
  <c r="L16" i="2"/>
  <c r="N16" i="2" s="1"/>
  <c r="L17" i="2"/>
  <c r="N17" i="2" s="1"/>
  <c r="L18" i="2"/>
  <c r="N18" i="2" s="1"/>
  <c r="L19" i="2"/>
  <c r="N19" i="2" s="1"/>
  <c r="L20" i="2"/>
  <c r="N20" i="2" s="1"/>
  <c r="L21" i="2"/>
  <c r="N21" i="2" s="1"/>
  <c r="L22" i="2"/>
  <c r="N22" i="2" s="1"/>
  <c r="L23" i="2"/>
  <c r="N23" i="2" s="1"/>
  <c r="L24" i="2"/>
  <c r="N24" i="2" s="1"/>
  <c r="L25" i="2"/>
  <c r="N25" i="2" s="1"/>
  <c r="L26" i="2"/>
  <c r="N26" i="2" s="1"/>
  <c r="L27" i="2"/>
  <c r="N27" i="2" s="1"/>
  <c r="L28" i="2"/>
  <c r="N28" i="2" s="1"/>
  <c r="L29" i="2"/>
  <c r="N29" i="2" s="1"/>
  <c r="L30" i="2"/>
  <c r="N30" i="2" s="1"/>
  <c r="L31" i="2"/>
  <c r="N31" i="2" s="1"/>
  <c r="L32" i="2"/>
  <c r="N32" i="2" s="1"/>
  <c r="L33" i="2"/>
  <c r="N33" i="2" s="1"/>
  <c r="L34" i="2"/>
  <c r="N34" i="2" s="1"/>
  <c r="L35" i="2"/>
  <c r="N35" i="2" s="1"/>
  <c r="L36" i="2"/>
  <c r="N36" i="2" s="1"/>
  <c r="L37" i="2"/>
  <c r="N37" i="2" s="1"/>
  <c r="L38" i="2"/>
  <c r="N38" i="2" s="1"/>
  <c r="L39" i="2"/>
  <c r="N39" i="2" s="1"/>
  <c r="L40" i="2"/>
  <c r="N40" i="2" s="1"/>
  <c r="L41" i="2"/>
  <c r="N41" i="2" s="1"/>
  <c r="L42" i="2"/>
  <c r="N42" i="2" s="1"/>
  <c r="L43" i="2"/>
  <c r="N43" i="2" s="1"/>
  <c r="L44" i="2"/>
  <c r="N44" i="2" s="1"/>
  <c r="L45" i="2"/>
  <c r="N45" i="2" s="1"/>
  <c r="L46" i="2"/>
  <c r="N46" i="2" s="1"/>
  <c r="L47" i="2"/>
  <c r="N47" i="2" s="1"/>
  <c r="L48" i="2"/>
  <c r="N48" i="2" s="1"/>
  <c r="L49" i="2"/>
  <c r="N49" i="2" s="1"/>
  <c r="L50" i="2"/>
  <c r="N50" i="2" s="1"/>
  <c r="L51" i="2"/>
  <c r="N51" i="2" s="1"/>
  <c r="L52" i="2"/>
  <c r="N52" i="2" s="1"/>
  <c r="L53" i="2"/>
  <c r="N53" i="2" s="1"/>
  <c r="L54" i="2"/>
  <c r="N54" i="2" s="1"/>
  <c r="L55" i="2"/>
  <c r="N55" i="2" s="1"/>
  <c r="L56" i="2"/>
  <c r="N56" i="2" s="1"/>
  <c r="L57" i="2"/>
  <c r="N57" i="2" s="1"/>
  <c r="L58" i="2"/>
  <c r="N58" i="2" s="1"/>
  <c r="L59" i="2"/>
  <c r="N59" i="2" s="1"/>
  <c r="L60" i="2"/>
  <c r="N60" i="2" s="1"/>
  <c r="L61" i="2"/>
  <c r="N61" i="2" s="1"/>
  <c r="L62" i="2"/>
  <c r="N62" i="2" s="1"/>
  <c r="L63" i="2"/>
  <c r="N63" i="2" s="1"/>
  <c r="L64" i="2"/>
  <c r="N64" i="2" s="1"/>
  <c r="L65" i="2"/>
  <c r="N65" i="2" s="1"/>
  <c r="L66" i="2"/>
  <c r="N66" i="2" s="1"/>
  <c r="L67" i="2"/>
  <c r="N67" i="2" s="1"/>
  <c r="L68" i="2"/>
  <c r="N68" i="2" s="1"/>
  <c r="L69" i="2"/>
  <c r="N69" i="2" s="1"/>
  <c r="L70" i="2"/>
  <c r="N70" i="2" s="1"/>
  <c r="L71" i="2"/>
  <c r="N71" i="2" s="1"/>
  <c r="L72" i="2"/>
  <c r="N72" i="2" s="1"/>
  <c r="L73" i="2"/>
  <c r="N73" i="2" s="1"/>
  <c r="L74" i="2"/>
  <c r="N74" i="2" s="1"/>
  <c r="L75" i="2"/>
  <c r="N75" i="2" s="1"/>
  <c r="L76" i="2"/>
  <c r="N76" i="2" s="1"/>
  <c r="L77" i="2"/>
  <c r="N77" i="2" s="1"/>
  <c r="L78" i="2"/>
  <c r="N78" i="2" s="1"/>
  <c r="L79" i="2"/>
  <c r="N79" i="2" s="1"/>
  <c r="L80" i="2"/>
  <c r="N80" i="2" s="1"/>
  <c r="L81" i="2"/>
  <c r="N81" i="2" s="1"/>
  <c r="L82" i="2"/>
  <c r="N82" i="2" s="1"/>
  <c r="L83" i="2"/>
  <c r="N83" i="2" s="1"/>
  <c r="L84" i="2"/>
  <c r="N84" i="2" s="1"/>
  <c r="L85" i="2"/>
  <c r="N85" i="2" s="1"/>
  <c r="L86" i="2"/>
  <c r="N86" i="2" s="1"/>
  <c r="L87" i="2"/>
  <c r="N87" i="2" s="1"/>
  <c r="L88" i="2"/>
  <c r="N88" i="2" s="1"/>
  <c r="L89" i="2"/>
  <c r="N89" i="2" s="1"/>
  <c r="L90" i="2"/>
  <c r="N90" i="2" s="1"/>
  <c r="L91" i="2"/>
  <c r="N91" i="2" s="1"/>
  <c r="L92" i="2"/>
  <c r="N92" i="2" s="1"/>
  <c r="L93" i="2"/>
  <c r="N93" i="2" s="1"/>
  <c r="L94" i="2"/>
  <c r="N94" i="2" s="1"/>
  <c r="L95" i="2"/>
  <c r="N95" i="2" s="1"/>
  <c r="L96" i="2"/>
  <c r="N96" i="2" s="1"/>
  <c r="L97" i="2"/>
  <c r="N97" i="2" s="1"/>
  <c r="L98" i="2"/>
  <c r="N98" i="2" s="1"/>
  <c r="L99" i="2"/>
  <c r="N99" i="2" s="1"/>
  <c r="L100" i="2"/>
  <c r="N100" i="2" s="1"/>
  <c r="L101" i="2"/>
  <c r="N101" i="2" s="1"/>
  <c r="L102" i="2"/>
  <c r="N102" i="2" s="1"/>
  <c r="L103" i="2"/>
  <c r="N103" i="2" s="1"/>
  <c r="L104" i="2"/>
  <c r="N104" i="2" s="1"/>
  <c r="L105" i="2"/>
  <c r="N105" i="2" s="1"/>
  <c r="L106" i="2"/>
  <c r="N106" i="2" s="1"/>
  <c r="L107" i="2"/>
  <c r="N107" i="2" s="1"/>
  <c r="L108" i="2"/>
  <c r="N108" i="2" s="1"/>
  <c r="L109" i="2"/>
  <c r="N109" i="2" s="1"/>
  <c r="L110" i="2"/>
  <c r="N110" i="2" s="1"/>
  <c r="L111" i="2"/>
  <c r="N111" i="2" s="1"/>
  <c r="L112" i="2"/>
  <c r="N112" i="2" s="1"/>
  <c r="L113" i="2"/>
  <c r="N113" i="2" s="1"/>
  <c r="L114" i="2"/>
  <c r="N114" i="2" s="1"/>
  <c r="L115" i="2"/>
  <c r="N115" i="2" s="1"/>
  <c r="L116" i="2"/>
  <c r="N116" i="2" s="1"/>
  <c r="L117" i="2"/>
  <c r="N117" i="2" s="1"/>
  <c r="L118" i="2"/>
  <c r="N118" i="2" s="1"/>
  <c r="L119" i="2"/>
  <c r="N119" i="2" s="1"/>
  <c r="L120" i="2"/>
  <c r="N120" i="2" s="1"/>
  <c r="L121" i="2"/>
  <c r="N121" i="2" s="1"/>
  <c r="L122" i="2"/>
  <c r="N122" i="2" s="1"/>
  <c r="L123" i="2"/>
  <c r="N123" i="2" s="1"/>
  <c r="L124" i="2"/>
  <c r="N124" i="2" s="1"/>
  <c r="L125" i="2"/>
  <c r="N125" i="2" s="1"/>
  <c r="L126" i="2"/>
  <c r="N126" i="2" s="1"/>
  <c r="L127" i="2"/>
  <c r="N127" i="2" s="1"/>
  <c r="L128" i="2"/>
  <c r="N128" i="2" s="1"/>
  <c r="L129" i="2"/>
  <c r="N129" i="2" s="1"/>
  <c r="L130" i="2"/>
  <c r="N130" i="2" s="1"/>
  <c r="L131" i="2"/>
  <c r="N131" i="2" s="1"/>
  <c r="L132" i="2"/>
  <c r="N132" i="2" s="1"/>
  <c r="L133" i="2"/>
  <c r="N133" i="2" s="1"/>
  <c r="L134" i="2"/>
  <c r="N134" i="2" s="1"/>
  <c r="L135" i="2"/>
  <c r="N135" i="2" s="1"/>
  <c r="L136" i="2"/>
  <c r="N136" i="2" s="1"/>
  <c r="L137" i="2"/>
  <c r="N137" i="2" s="1"/>
  <c r="L138" i="2"/>
  <c r="N138" i="2" s="1"/>
  <c r="L139" i="2"/>
  <c r="N139" i="2" s="1"/>
  <c r="L140" i="2"/>
  <c r="N140" i="2" s="1"/>
  <c r="L141" i="2"/>
  <c r="N141" i="2" s="1"/>
  <c r="L142" i="2"/>
  <c r="N142" i="2" s="1"/>
  <c r="L143" i="2"/>
  <c r="N143" i="2" s="1"/>
  <c r="L144" i="2"/>
  <c r="N144" i="2" s="1"/>
  <c r="L145" i="2"/>
  <c r="N145" i="2" s="1"/>
  <c r="L146" i="2"/>
  <c r="N146" i="2" s="1"/>
  <c r="L147" i="2"/>
  <c r="N147" i="2" s="1"/>
  <c r="L148" i="2"/>
  <c r="N148" i="2" s="1"/>
  <c r="L149" i="2"/>
  <c r="N149" i="2" s="1"/>
  <c r="L150" i="2"/>
  <c r="N150" i="2" s="1"/>
  <c r="L151" i="2"/>
  <c r="N151" i="2" s="1"/>
  <c r="L152" i="2"/>
  <c r="N152" i="2" s="1"/>
  <c r="L153" i="2"/>
  <c r="N153" i="2" s="1"/>
  <c r="L154" i="2"/>
  <c r="N154" i="2" s="1"/>
  <c r="L155" i="2"/>
  <c r="N155" i="2" s="1"/>
  <c r="L156" i="2"/>
  <c r="N156" i="2" s="1"/>
  <c r="L157" i="2"/>
  <c r="N157" i="2" s="1"/>
  <c r="L158" i="2"/>
  <c r="N158" i="2" s="1"/>
  <c r="L159" i="2"/>
  <c r="N159" i="2" s="1"/>
  <c r="L160" i="2"/>
  <c r="N160" i="2" s="1"/>
  <c r="L161" i="2"/>
  <c r="N161" i="2" s="1"/>
  <c r="L162" i="2"/>
  <c r="N162" i="2" s="1"/>
  <c r="L163" i="2"/>
  <c r="N163" i="2" s="1"/>
  <c r="L164" i="2"/>
  <c r="N164" i="2" s="1"/>
  <c r="L165" i="2"/>
  <c r="N165" i="2" s="1"/>
  <c r="L166" i="2"/>
  <c r="N166" i="2" s="1"/>
  <c r="L167" i="2"/>
  <c r="N167" i="2" s="1"/>
  <c r="L168" i="2"/>
  <c r="N168" i="2" s="1"/>
  <c r="L169" i="2"/>
  <c r="N169" i="2" s="1"/>
  <c r="L170" i="2"/>
  <c r="N170" i="2" s="1"/>
  <c r="L171" i="2"/>
  <c r="N171" i="2" s="1"/>
  <c r="L172" i="2"/>
  <c r="N172" i="2" s="1"/>
  <c r="L173" i="2"/>
  <c r="N173" i="2" s="1"/>
  <c r="L174" i="2"/>
  <c r="N174" i="2" s="1"/>
  <c r="L175" i="2"/>
  <c r="N175" i="2" s="1"/>
  <c r="L176" i="2"/>
  <c r="N176" i="2" s="1"/>
  <c r="L177" i="2"/>
  <c r="N177" i="2" s="1"/>
  <c r="L178" i="2"/>
  <c r="N178" i="2" s="1"/>
  <c r="L179" i="2"/>
  <c r="N179" i="2" s="1"/>
  <c r="L180" i="2"/>
  <c r="N180" i="2" s="1"/>
  <c r="L181" i="2"/>
  <c r="N181" i="2" s="1"/>
  <c r="L182" i="2"/>
  <c r="N182" i="2" s="1"/>
  <c r="L183" i="2"/>
  <c r="N183" i="2" s="1"/>
  <c r="L184" i="2"/>
  <c r="N184" i="2" s="1"/>
  <c r="L185" i="2"/>
  <c r="N185" i="2" s="1"/>
  <c r="L186" i="2"/>
  <c r="N186" i="2" s="1"/>
  <c r="L187" i="2"/>
  <c r="N187" i="2" s="1"/>
  <c r="L188" i="2"/>
  <c r="N188" i="2" s="1"/>
  <c r="L189" i="2"/>
  <c r="N189" i="2" s="1"/>
  <c r="L190" i="2"/>
  <c r="N190" i="2" s="1"/>
  <c r="L191" i="2"/>
  <c r="N191" i="2" s="1"/>
  <c r="L192" i="2"/>
  <c r="N192" i="2" s="1"/>
  <c r="L193" i="2"/>
  <c r="N193" i="2" s="1"/>
  <c r="L194" i="2"/>
  <c r="N194" i="2" s="1"/>
  <c r="L195" i="2"/>
  <c r="N195" i="2" s="1"/>
  <c r="L196" i="2"/>
  <c r="N196" i="2" s="1"/>
  <c r="L197" i="2"/>
  <c r="N197" i="2" s="1"/>
  <c r="L198" i="2"/>
  <c r="N198" i="2" s="1"/>
  <c r="L199" i="2"/>
  <c r="N199" i="2" s="1"/>
  <c r="L200" i="2"/>
  <c r="N200" i="2" s="1"/>
  <c r="L201" i="2"/>
  <c r="N201" i="2" s="1"/>
  <c r="L202" i="2"/>
  <c r="N202" i="2" s="1"/>
  <c r="L203" i="2"/>
  <c r="N203" i="2" s="1"/>
  <c r="L204" i="2"/>
  <c r="N204" i="2" s="1"/>
  <c r="L205" i="2"/>
  <c r="N205" i="2" s="1"/>
  <c r="L206" i="2"/>
  <c r="N206" i="2" s="1"/>
  <c r="L207" i="2"/>
  <c r="N207" i="2" s="1"/>
  <c r="L208" i="2"/>
  <c r="N208" i="2" s="1"/>
  <c r="L209" i="2"/>
  <c r="N209" i="2" s="1"/>
  <c r="L210" i="2"/>
  <c r="N210" i="2" s="1"/>
  <c r="L211" i="2"/>
  <c r="N211" i="2" s="1"/>
  <c r="L212" i="2"/>
  <c r="N212" i="2" s="1"/>
  <c r="L213" i="2"/>
  <c r="N213" i="2" s="1"/>
  <c r="L214" i="2"/>
  <c r="N214" i="2" s="1"/>
  <c r="L215" i="2"/>
  <c r="N215" i="2" s="1"/>
  <c r="L216" i="2"/>
  <c r="N216" i="2" s="1"/>
  <c r="L217" i="2"/>
  <c r="N217" i="2" s="1"/>
  <c r="L218" i="2"/>
  <c r="N218" i="2" s="1"/>
  <c r="L219" i="2"/>
  <c r="N219" i="2" s="1"/>
  <c r="L220" i="2"/>
  <c r="N220" i="2" s="1"/>
  <c r="L221" i="2"/>
  <c r="N221" i="2" s="1"/>
  <c r="L222" i="2"/>
  <c r="N222" i="2" s="1"/>
  <c r="L223" i="2"/>
  <c r="N223" i="2" s="1"/>
  <c r="L224" i="2"/>
  <c r="N224" i="2" s="1"/>
  <c r="L225" i="2"/>
  <c r="N225" i="2" s="1"/>
  <c r="L226" i="2"/>
  <c r="N226" i="2" s="1"/>
  <c r="L227" i="2"/>
  <c r="N227" i="2" s="1"/>
  <c r="L228" i="2"/>
  <c r="N228" i="2" s="1"/>
  <c r="L229" i="2"/>
  <c r="N229" i="2" s="1"/>
  <c r="L230" i="2"/>
  <c r="N230" i="2" s="1"/>
  <c r="L231" i="2"/>
  <c r="N231" i="2" s="1"/>
  <c r="L232" i="2"/>
  <c r="N232" i="2" s="1"/>
  <c r="L233" i="2"/>
  <c r="N233" i="2" s="1"/>
  <c r="L234" i="2"/>
  <c r="N234" i="2" s="1"/>
  <c r="L235" i="2"/>
  <c r="N235" i="2" s="1"/>
  <c r="L236" i="2"/>
  <c r="N236" i="2" s="1"/>
  <c r="L237" i="2"/>
  <c r="N237" i="2" s="1"/>
  <c r="L238" i="2"/>
  <c r="N238" i="2" s="1"/>
  <c r="L239" i="2"/>
  <c r="N239" i="2" s="1"/>
  <c r="L240" i="2"/>
  <c r="N240" i="2" s="1"/>
  <c r="L241" i="2"/>
  <c r="N241" i="2" s="1"/>
  <c r="L242" i="2"/>
  <c r="N242" i="2" s="1"/>
  <c r="L243" i="2"/>
  <c r="N243" i="2" s="1"/>
  <c r="L244" i="2"/>
  <c r="N244" i="2" s="1"/>
  <c r="L245" i="2"/>
  <c r="N245" i="2" s="1"/>
  <c r="L246" i="2"/>
  <c r="N246" i="2" s="1"/>
  <c r="L247" i="2"/>
  <c r="N247" i="2" s="1"/>
  <c r="L248" i="2"/>
  <c r="N248" i="2" s="1"/>
  <c r="L249" i="2"/>
  <c r="N249" i="2" s="1"/>
  <c r="L250" i="2"/>
  <c r="N250" i="2" s="1"/>
  <c r="L251" i="2"/>
  <c r="N251" i="2" s="1"/>
  <c r="L252" i="2"/>
  <c r="N252" i="2" s="1"/>
  <c r="L253" i="2"/>
  <c r="N253" i="2" s="1"/>
  <c r="L254" i="2"/>
  <c r="N254" i="2" s="1"/>
  <c r="L255" i="2"/>
  <c r="N255" i="2" s="1"/>
  <c r="L256" i="2"/>
  <c r="N256" i="2" s="1"/>
  <c r="L257" i="2"/>
  <c r="N257" i="2" s="1"/>
  <c r="L258" i="2"/>
  <c r="N258" i="2" s="1"/>
  <c r="L259" i="2"/>
  <c r="N259" i="2" s="1"/>
  <c r="L260" i="2"/>
  <c r="N260" i="2" s="1"/>
  <c r="L261" i="2"/>
  <c r="N261" i="2" s="1"/>
  <c r="L262" i="2"/>
  <c r="N262" i="2" s="1"/>
  <c r="L263" i="2"/>
  <c r="N263" i="2" s="1"/>
  <c r="L264" i="2"/>
  <c r="N264" i="2" s="1"/>
  <c r="L265" i="2"/>
  <c r="N265" i="2" s="1"/>
  <c r="L266" i="2"/>
  <c r="N266" i="2" s="1"/>
  <c r="L267" i="2"/>
  <c r="N267" i="2" s="1"/>
  <c r="L268" i="2"/>
  <c r="N268" i="2" s="1"/>
  <c r="L269" i="2"/>
  <c r="N269" i="2" s="1"/>
  <c r="L270" i="2"/>
  <c r="N270" i="2" s="1"/>
  <c r="L271" i="2"/>
  <c r="N271" i="2" s="1"/>
  <c r="L272" i="2"/>
  <c r="N272" i="2" s="1"/>
  <c r="L273" i="2"/>
  <c r="N273" i="2" s="1"/>
  <c r="L274" i="2"/>
  <c r="N274" i="2" s="1"/>
  <c r="L275" i="2"/>
  <c r="N275" i="2" s="1"/>
  <c r="L276" i="2"/>
  <c r="N276" i="2" s="1"/>
  <c r="L277" i="2"/>
  <c r="N277" i="2" s="1"/>
  <c r="L278" i="2"/>
  <c r="N278" i="2" s="1"/>
  <c r="L279" i="2"/>
  <c r="N279" i="2" s="1"/>
  <c r="L280" i="2"/>
  <c r="N280" i="2" s="1"/>
  <c r="L281" i="2"/>
  <c r="N281" i="2" s="1"/>
  <c r="L282" i="2"/>
  <c r="N282" i="2" s="1"/>
  <c r="L283" i="2"/>
  <c r="N283" i="2" s="1"/>
  <c r="L284" i="2"/>
  <c r="N284" i="2" s="1"/>
  <c r="L285" i="2"/>
  <c r="N285" i="2" s="1"/>
  <c r="L286" i="2"/>
  <c r="N286" i="2" s="1"/>
  <c r="L287" i="2"/>
  <c r="N287" i="2" s="1"/>
  <c r="L288" i="2"/>
  <c r="N288" i="2" s="1"/>
  <c r="L289" i="2"/>
  <c r="N289" i="2" s="1"/>
  <c r="L290" i="2"/>
  <c r="N290" i="2" s="1"/>
  <c r="L291" i="2"/>
  <c r="N291" i="2" s="1"/>
  <c r="L292" i="2"/>
  <c r="N292" i="2" s="1"/>
  <c r="L293" i="2"/>
  <c r="N293" i="2" s="1"/>
  <c r="L294" i="2"/>
  <c r="N294" i="2" s="1"/>
  <c r="L295" i="2"/>
  <c r="N295" i="2" s="1"/>
  <c r="L296" i="2"/>
  <c r="N296" i="2" s="1"/>
  <c r="L297" i="2"/>
  <c r="N297" i="2" s="1"/>
  <c r="L298" i="2"/>
  <c r="N298" i="2" s="1"/>
  <c r="L299" i="2"/>
  <c r="N299" i="2" s="1"/>
  <c r="L300" i="2"/>
  <c r="N300" i="2" s="1"/>
  <c r="L301" i="2"/>
  <c r="N301" i="2" s="1"/>
  <c r="L302" i="2"/>
  <c r="N302" i="2" s="1"/>
  <c r="L303" i="2"/>
  <c r="N303" i="2" s="1"/>
  <c r="L304" i="2"/>
  <c r="N304" i="2" s="1"/>
  <c r="L305" i="2"/>
  <c r="N305" i="2" s="1"/>
  <c r="L306" i="2"/>
  <c r="N306" i="2" s="1"/>
  <c r="L307" i="2"/>
  <c r="N307" i="2" s="1"/>
  <c r="L308" i="2"/>
  <c r="N308" i="2" s="1"/>
  <c r="L309" i="2"/>
  <c r="N309" i="2" s="1"/>
  <c r="L310" i="2"/>
  <c r="N310" i="2" s="1"/>
  <c r="L311" i="2"/>
  <c r="N311" i="2" s="1"/>
  <c r="L312" i="2"/>
  <c r="N312" i="2" s="1"/>
  <c r="L313" i="2"/>
  <c r="N313" i="2" s="1"/>
  <c r="L314" i="2"/>
  <c r="N314" i="2" s="1"/>
  <c r="L315" i="2"/>
  <c r="N315" i="2" s="1"/>
  <c r="L316" i="2"/>
  <c r="N316" i="2" s="1"/>
  <c r="L317" i="2"/>
  <c r="N317" i="2" s="1"/>
  <c r="L318" i="2"/>
  <c r="N318" i="2" s="1"/>
  <c r="L319" i="2"/>
  <c r="N319" i="2" s="1"/>
  <c r="L320" i="2"/>
  <c r="N320" i="2" s="1"/>
  <c r="L321" i="2"/>
  <c r="N321" i="2" s="1"/>
  <c r="L322" i="2"/>
  <c r="N322" i="2" s="1"/>
  <c r="L323" i="2"/>
  <c r="N323" i="2" s="1"/>
  <c r="L324" i="2"/>
  <c r="N324" i="2" s="1"/>
  <c r="L325" i="2"/>
  <c r="N325" i="2" s="1"/>
  <c r="L326" i="2"/>
  <c r="N326" i="2" s="1"/>
  <c r="L327" i="2"/>
  <c r="N327" i="2" s="1"/>
  <c r="L328" i="2"/>
  <c r="N328" i="2" s="1"/>
  <c r="L329" i="2"/>
  <c r="N329" i="2" s="1"/>
  <c r="L330" i="2"/>
  <c r="N330" i="2" s="1"/>
  <c r="L331" i="2"/>
  <c r="N331" i="2" s="1"/>
  <c r="L332" i="2"/>
  <c r="N332" i="2" s="1"/>
  <c r="L333" i="2"/>
  <c r="N333" i="2" s="1"/>
  <c r="L334" i="2"/>
  <c r="N334" i="2" s="1"/>
  <c r="L335" i="2"/>
  <c r="N335" i="2" s="1"/>
  <c r="L336" i="2"/>
  <c r="N336" i="2" s="1"/>
  <c r="L337" i="2"/>
  <c r="N337" i="2" s="1"/>
  <c r="L338" i="2"/>
  <c r="N338" i="2" s="1"/>
  <c r="L339" i="2"/>
  <c r="N339" i="2" s="1"/>
  <c r="L340" i="2"/>
  <c r="N340" i="2" s="1"/>
  <c r="L341" i="2"/>
  <c r="N341" i="2" s="1"/>
  <c r="L342" i="2"/>
  <c r="N342" i="2" s="1"/>
  <c r="L343" i="2"/>
  <c r="N343" i="2" s="1"/>
  <c r="L344" i="2"/>
  <c r="N344" i="2" s="1"/>
  <c r="L345" i="2"/>
  <c r="N345" i="2" s="1"/>
  <c r="L346" i="2"/>
  <c r="N346" i="2" s="1"/>
  <c r="L347" i="2"/>
  <c r="N347" i="2" s="1"/>
  <c r="L348" i="2"/>
  <c r="N348" i="2" s="1"/>
  <c r="L349" i="2"/>
  <c r="N349" i="2" s="1"/>
  <c r="L350" i="2"/>
  <c r="N350" i="2" s="1"/>
  <c r="L351" i="2"/>
  <c r="N351" i="2" s="1"/>
  <c r="L352" i="2"/>
  <c r="N352" i="2" s="1"/>
  <c r="L353" i="2"/>
  <c r="N353" i="2" s="1"/>
  <c r="L354" i="2"/>
  <c r="N354" i="2" s="1"/>
  <c r="L355" i="2"/>
  <c r="N355" i="2" s="1"/>
  <c r="L356" i="2"/>
  <c r="N356" i="2" s="1"/>
  <c r="L357" i="2"/>
  <c r="N357" i="2" s="1"/>
  <c r="L358" i="2"/>
  <c r="N358" i="2" s="1"/>
  <c r="L359" i="2"/>
  <c r="N359" i="2" s="1"/>
  <c r="L360" i="2"/>
  <c r="N360" i="2" s="1"/>
  <c r="L361" i="2"/>
  <c r="N361" i="2" s="1"/>
  <c r="L362" i="2"/>
  <c r="N362" i="2" s="1"/>
  <c r="L363" i="2"/>
  <c r="N363" i="2" s="1"/>
  <c r="L364" i="2"/>
  <c r="N364" i="2" s="1"/>
  <c r="L365" i="2"/>
  <c r="N365" i="2" s="1"/>
  <c r="L366" i="2"/>
  <c r="N366" i="2" s="1"/>
  <c r="L367" i="2"/>
  <c r="N367" i="2" s="1"/>
  <c r="L368" i="2"/>
  <c r="N368" i="2" s="1"/>
  <c r="L369" i="2"/>
  <c r="N369" i="2" s="1"/>
  <c r="L370" i="2"/>
  <c r="N370" i="2" s="1"/>
  <c r="L371" i="2"/>
  <c r="N371" i="2" s="1"/>
  <c r="L372" i="2"/>
  <c r="N372" i="2" s="1"/>
  <c r="L373" i="2"/>
  <c r="N373" i="2" s="1"/>
  <c r="L374" i="2"/>
  <c r="N374" i="2" s="1"/>
  <c r="L375" i="2"/>
  <c r="N375" i="2" s="1"/>
  <c r="L376" i="2"/>
  <c r="N376" i="2" s="1"/>
  <c r="L377" i="2"/>
  <c r="N377" i="2" s="1"/>
  <c r="L378" i="2"/>
  <c r="N378" i="2" s="1"/>
  <c r="L379" i="2"/>
  <c r="N379" i="2" s="1"/>
  <c r="L380" i="2"/>
  <c r="N380" i="2" s="1"/>
  <c r="L381" i="2"/>
  <c r="N381" i="2" s="1"/>
  <c r="L382" i="2"/>
  <c r="N382" i="2" s="1"/>
  <c r="L383" i="2"/>
  <c r="N383" i="2" s="1"/>
  <c r="L384" i="2"/>
  <c r="N384" i="2" s="1"/>
  <c r="L385" i="2"/>
  <c r="N385" i="2" s="1"/>
  <c r="L386" i="2"/>
  <c r="N386" i="2" s="1"/>
  <c r="L387" i="2"/>
  <c r="N387" i="2" s="1"/>
  <c r="L388" i="2"/>
  <c r="N388" i="2" s="1"/>
  <c r="L389" i="2"/>
  <c r="N389" i="2" s="1"/>
  <c r="L390" i="2"/>
  <c r="N390" i="2" s="1"/>
  <c r="L391" i="2"/>
  <c r="N391" i="2" s="1"/>
  <c r="L392" i="2"/>
  <c r="N392" i="2" s="1"/>
  <c r="L393" i="2"/>
  <c r="N393" i="2" s="1"/>
  <c r="L394" i="2"/>
  <c r="N394" i="2" s="1"/>
  <c r="L395" i="2"/>
  <c r="N395" i="2" s="1"/>
  <c r="L396" i="2"/>
  <c r="N396" i="2" s="1"/>
  <c r="L397" i="2"/>
  <c r="N397" i="2" s="1"/>
  <c r="L398" i="2"/>
  <c r="N398" i="2" s="1"/>
  <c r="L399" i="2"/>
  <c r="N399" i="2" s="1"/>
  <c r="L400" i="2"/>
  <c r="N400" i="2" s="1"/>
  <c r="L401" i="2"/>
  <c r="N401" i="2" s="1"/>
  <c r="L402" i="2"/>
  <c r="N402" i="2" s="1"/>
  <c r="L403" i="2"/>
  <c r="N403" i="2" s="1"/>
  <c r="L404" i="2"/>
  <c r="N404" i="2" s="1"/>
  <c r="L405" i="2"/>
  <c r="N405" i="2" s="1"/>
  <c r="L406" i="2"/>
  <c r="N406" i="2" s="1"/>
  <c r="L407" i="2"/>
  <c r="N407" i="2" s="1"/>
  <c r="L408" i="2"/>
  <c r="N408" i="2" s="1"/>
  <c r="L409" i="2"/>
  <c r="N409" i="2" s="1"/>
  <c r="L410" i="2"/>
  <c r="N410" i="2" s="1"/>
  <c r="L411" i="2"/>
  <c r="N411" i="2" s="1"/>
  <c r="L412" i="2"/>
  <c r="N412" i="2" s="1"/>
  <c r="L413" i="2"/>
  <c r="N413" i="2" s="1"/>
  <c r="L414" i="2"/>
  <c r="N414" i="2" s="1"/>
  <c r="L415" i="2"/>
  <c r="N415" i="2" s="1"/>
  <c r="L416" i="2"/>
  <c r="N416" i="2" s="1"/>
  <c r="L417" i="2"/>
  <c r="N417" i="2" s="1"/>
  <c r="L418" i="2"/>
  <c r="N418" i="2" s="1"/>
  <c r="L419" i="2"/>
  <c r="N419" i="2" s="1"/>
  <c r="L420" i="2"/>
  <c r="N420" i="2" s="1"/>
  <c r="L421" i="2"/>
  <c r="N421" i="2" s="1"/>
  <c r="L422" i="2"/>
  <c r="N422" i="2" s="1"/>
  <c r="L423" i="2"/>
  <c r="N423" i="2" s="1"/>
  <c r="L424" i="2"/>
  <c r="N424" i="2" s="1"/>
  <c r="L425" i="2"/>
  <c r="N425" i="2" s="1"/>
  <c r="L426" i="2"/>
  <c r="N426" i="2" s="1"/>
  <c r="L427" i="2"/>
  <c r="N427" i="2" s="1"/>
  <c r="L428" i="2"/>
  <c r="N428" i="2" s="1"/>
  <c r="L429" i="2"/>
  <c r="N429" i="2" s="1"/>
  <c r="L430" i="2"/>
  <c r="N430" i="2" s="1"/>
  <c r="L431" i="2"/>
  <c r="N431" i="2" s="1"/>
  <c r="L432" i="2"/>
  <c r="N432" i="2" s="1"/>
  <c r="L433" i="2"/>
  <c r="N433" i="2" s="1"/>
  <c r="L434" i="2"/>
  <c r="N434" i="2" s="1"/>
  <c r="L435" i="2"/>
  <c r="N435" i="2" s="1"/>
  <c r="L436" i="2"/>
  <c r="N436" i="2" s="1"/>
  <c r="L437" i="2"/>
  <c r="N437" i="2" s="1"/>
  <c r="L438" i="2"/>
  <c r="N438" i="2" s="1"/>
  <c r="L439" i="2"/>
  <c r="N439" i="2" s="1"/>
  <c r="L440" i="2"/>
  <c r="N440" i="2" s="1"/>
  <c r="L441" i="2"/>
  <c r="N441" i="2" s="1"/>
  <c r="L442" i="2"/>
  <c r="N442" i="2" s="1"/>
  <c r="L443" i="2"/>
  <c r="N443" i="2" s="1"/>
  <c r="L444" i="2"/>
  <c r="N444" i="2" s="1"/>
  <c r="L445" i="2"/>
  <c r="N445" i="2" s="1"/>
  <c r="L446" i="2"/>
  <c r="N446" i="2" s="1"/>
  <c r="L447" i="2"/>
  <c r="N447" i="2" s="1"/>
  <c r="L448" i="2"/>
  <c r="N448" i="2" s="1"/>
  <c r="L449" i="2"/>
  <c r="N449" i="2" s="1"/>
  <c r="L450" i="2"/>
  <c r="N450" i="2" s="1"/>
  <c r="L451" i="2"/>
  <c r="N451" i="2" s="1"/>
  <c r="L452" i="2"/>
  <c r="N452" i="2" s="1"/>
  <c r="L453" i="2"/>
  <c r="N453" i="2" s="1"/>
  <c r="L454" i="2"/>
  <c r="N454" i="2" s="1"/>
  <c r="L455" i="2"/>
  <c r="N455" i="2" s="1"/>
  <c r="L456" i="2"/>
  <c r="N456" i="2" s="1"/>
  <c r="L457" i="2"/>
  <c r="N457" i="2" s="1"/>
  <c r="L458" i="2"/>
  <c r="N458" i="2" s="1"/>
  <c r="L459" i="2"/>
  <c r="N459" i="2" s="1"/>
  <c r="L460" i="2"/>
  <c r="N460" i="2" s="1"/>
  <c r="L461" i="2"/>
  <c r="N461" i="2" s="1"/>
  <c r="L462" i="2"/>
  <c r="N462" i="2" s="1"/>
  <c r="L463" i="2"/>
  <c r="N463" i="2" s="1"/>
  <c r="L464" i="2"/>
  <c r="N464" i="2" s="1"/>
  <c r="L465" i="2"/>
  <c r="N465" i="2" s="1"/>
  <c r="L466" i="2"/>
  <c r="N466" i="2" s="1"/>
  <c r="L467" i="2"/>
  <c r="N467" i="2" s="1"/>
  <c r="L468" i="2"/>
  <c r="N468" i="2" s="1"/>
  <c r="L469" i="2"/>
  <c r="N469" i="2" s="1"/>
  <c r="L470" i="2"/>
  <c r="N470" i="2" s="1"/>
  <c r="L471" i="2"/>
  <c r="N471" i="2" s="1"/>
  <c r="L472" i="2"/>
  <c r="N472" i="2" s="1"/>
  <c r="L473" i="2"/>
  <c r="N473" i="2" s="1"/>
  <c r="L474" i="2"/>
  <c r="N474" i="2" s="1"/>
  <c r="L475" i="2"/>
  <c r="N475" i="2" s="1"/>
  <c r="L476" i="2"/>
  <c r="N476" i="2" s="1"/>
  <c r="L477" i="2"/>
  <c r="N477" i="2" s="1"/>
  <c r="L478" i="2"/>
  <c r="N478" i="2" s="1"/>
  <c r="L479" i="2"/>
  <c r="N479" i="2" s="1"/>
  <c r="L480" i="2"/>
  <c r="N480" i="2" s="1"/>
  <c r="L481" i="2"/>
  <c r="N481" i="2" s="1"/>
  <c r="L482" i="2"/>
  <c r="N482" i="2" s="1"/>
  <c r="L483" i="2"/>
  <c r="N483" i="2" s="1"/>
  <c r="L484" i="2"/>
  <c r="N484" i="2" s="1"/>
  <c r="L485" i="2"/>
  <c r="N485" i="2" s="1"/>
  <c r="L486" i="2"/>
  <c r="N486" i="2" s="1"/>
  <c r="L487" i="2"/>
  <c r="N487" i="2" s="1"/>
  <c r="L488" i="2"/>
  <c r="N488" i="2" s="1"/>
  <c r="L489" i="2"/>
  <c r="N489" i="2" s="1"/>
  <c r="L490" i="2"/>
  <c r="N490" i="2" s="1"/>
  <c r="L491" i="2"/>
  <c r="N491" i="2" s="1"/>
  <c r="L492" i="2"/>
  <c r="N492" i="2" s="1"/>
  <c r="L493" i="2"/>
  <c r="N493" i="2" s="1"/>
  <c r="L494" i="2"/>
  <c r="N494" i="2" s="1"/>
  <c r="L495" i="2"/>
  <c r="N495" i="2" s="1"/>
  <c r="L496" i="2"/>
  <c r="N496" i="2" s="1"/>
  <c r="L497" i="2"/>
  <c r="N497" i="2" s="1"/>
  <c r="L498" i="2"/>
  <c r="N498" i="2" s="1"/>
  <c r="L499" i="2"/>
  <c r="N499" i="2" s="1"/>
  <c r="L500" i="2"/>
  <c r="N500" i="2" s="1"/>
  <c r="L501" i="2"/>
  <c r="N501" i="2" s="1"/>
  <c r="L502" i="2"/>
  <c r="N502" i="2" s="1"/>
  <c r="L503" i="2"/>
  <c r="N503" i="2" s="1"/>
  <c r="L504" i="2"/>
  <c r="N504" i="2" s="1"/>
  <c r="L505" i="2"/>
  <c r="N505" i="2" s="1"/>
  <c r="L506" i="2"/>
  <c r="N506" i="2" s="1"/>
  <c r="L507" i="2"/>
  <c r="N507" i="2" s="1"/>
  <c r="L508" i="2"/>
  <c r="N508" i="2" s="1"/>
  <c r="L509" i="2"/>
  <c r="N509" i="2" s="1"/>
  <c r="L510" i="2"/>
  <c r="N510" i="2" s="1"/>
  <c r="L511" i="2"/>
  <c r="N511" i="2" s="1"/>
  <c r="L512" i="2"/>
  <c r="N512" i="2" s="1"/>
  <c r="L513" i="2"/>
  <c r="N513" i="2" s="1"/>
  <c r="L514" i="2"/>
  <c r="N514" i="2" s="1"/>
  <c r="L515" i="2"/>
  <c r="N515" i="2" s="1"/>
  <c r="L516" i="2"/>
  <c r="N516" i="2" s="1"/>
  <c r="L517" i="2"/>
  <c r="N517" i="2" s="1"/>
  <c r="L518" i="2"/>
  <c r="N518" i="2" s="1"/>
  <c r="L519" i="2"/>
  <c r="N519" i="2" s="1"/>
  <c r="L520" i="2"/>
  <c r="N520" i="2" s="1"/>
  <c r="L521" i="2"/>
  <c r="N521" i="2" s="1"/>
  <c r="L522" i="2"/>
  <c r="N522" i="2" s="1"/>
  <c r="L523" i="2"/>
  <c r="N523" i="2" s="1"/>
  <c r="L524" i="2"/>
  <c r="N524" i="2" s="1"/>
  <c r="L525" i="2"/>
  <c r="N525" i="2" s="1"/>
  <c r="L526" i="2"/>
  <c r="N526" i="2" s="1"/>
  <c r="L527" i="2"/>
  <c r="N527" i="2" s="1"/>
  <c r="L528" i="2"/>
  <c r="N528" i="2" s="1"/>
  <c r="L529" i="2"/>
  <c r="N529" i="2" s="1"/>
  <c r="L530" i="2"/>
  <c r="N530" i="2" s="1"/>
  <c r="L531" i="2"/>
  <c r="N531" i="2" s="1"/>
  <c r="L532" i="2"/>
  <c r="N532" i="2" s="1"/>
  <c r="L533" i="2"/>
  <c r="N533" i="2" s="1"/>
  <c r="L534" i="2"/>
  <c r="N534" i="2" s="1"/>
  <c r="L535" i="2"/>
  <c r="N535" i="2" s="1"/>
  <c r="L536" i="2"/>
  <c r="N536" i="2" s="1"/>
  <c r="L537" i="2"/>
  <c r="N537" i="2" s="1"/>
  <c r="L538" i="2"/>
  <c r="N538" i="2" s="1"/>
  <c r="L539" i="2"/>
  <c r="N539" i="2" s="1"/>
  <c r="L540" i="2"/>
  <c r="N540" i="2" s="1"/>
  <c r="L541" i="2"/>
  <c r="N541" i="2" s="1"/>
  <c r="L542" i="2"/>
  <c r="N542" i="2" s="1"/>
  <c r="L543" i="2"/>
  <c r="N543" i="2" s="1"/>
  <c r="L544" i="2"/>
  <c r="N544" i="2" s="1"/>
  <c r="L545" i="2"/>
  <c r="N545" i="2" s="1"/>
  <c r="L546" i="2"/>
  <c r="N546" i="2" s="1"/>
  <c r="L547" i="2"/>
  <c r="N547" i="2" s="1"/>
  <c r="L548" i="2"/>
  <c r="N548" i="2" s="1"/>
  <c r="L549" i="2"/>
  <c r="N549" i="2" s="1"/>
  <c r="L550" i="2"/>
  <c r="N550" i="2" s="1"/>
  <c r="L551" i="2"/>
  <c r="N551" i="2" s="1"/>
  <c r="L552" i="2"/>
  <c r="N552" i="2" s="1"/>
  <c r="L553" i="2"/>
  <c r="N553" i="2" s="1"/>
  <c r="L554" i="2"/>
  <c r="N554" i="2" s="1"/>
  <c r="L555" i="2"/>
  <c r="N555" i="2" s="1"/>
  <c r="L556" i="2"/>
  <c r="N556" i="2" s="1"/>
  <c r="L557" i="2"/>
  <c r="N557" i="2" s="1"/>
  <c r="L558" i="2"/>
  <c r="N558" i="2" s="1"/>
  <c r="L559" i="2"/>
  <c r="N559" i="2" s="1"/>
  <c r="L560" i="2"/>
  <c r="N560" i="2" s="1"/>
  <c r="L561" i="2"/>
  <c r="N561" i="2" s="1"/>
  <c r="L562" i="2"/>
  <c r="N562" i="2" s="1"/>
  <c r="L563" i="2"/>
  <c r="N563" i="2" s="1"/>
  <c r="L564" i="2"/>
  <c r="N564" i="2" s="1"/>
  <c r="L565" i="2"/>
  <c r="N565" i="2" s="1"/>
  <c r="L566" i="2"/>
  <c r="N566" i="2" s="1"/>
  <c r="L567" i="2"/>
  <c r="N567" i="2" s="1"/>
  <c r="L568" i="2"/>
  <c r="N568" i="2" s="1"/>
  <c r="L569" i="2"/>
  <c r="N569" i="2" s="1"/>
  <c r="L570" i="2"/>
  <c r="N570" i="2" s="1"/>
  <c r="L571" i="2"/>
  <c r="N571" i="2" s="1"/>
  <c r="L572" i="2"/>
  <c r="N572" i="2" s="1"/>
  <c r="L573" i="2"/>
  <c r="N573" i="2" s="1"/>
  <c r="L574" i="2"/>
  <c r="N574" i="2" s="1"/>
  <c r="L575" i="2"/>
  <c r="N575" i="2" s="1"/>
  <c r="L576" i="2"/>
  <c r="N576" i="2" s="1"/>
  <c r="L577" i="2"/>
  <c r="N577" i="2" s="1"/>
  <c r="L578" i="2"/>
  <c r="N578" i="2" s="1"/>
  <c r="L579" i="2"/>
  <c r="N579" i="2" s="1"/>
  <c r="L580" i="2"/>
  <c r="N580" i="2" s="1"/>
  <c r="L581" i="2"/>
  <c r="N581" i="2" s="1"/>
  <c r="L582" i="2"/>
  <c r="N582" i="2" s="1"/>
  <c r="L583" i="2"/>
  <c r="N583" i="2" s="1"/>
  <c r="L584" i="2"/>
  <c r="N584" i="2" s="1"/>
  <c r="L585" i="2"/>
  <c r="N585" i="2" s="1"/>
  <c r="L586" i="2"/>
  <c r="N586" i="2" s="1"/>
  <c r="L587" i="2"/>
  <c r="N587" i="2" s="1"/>
  <c r="L588" i="2"/>
  <c r="N588" i="2" s="1"/>
  <c r="L589" i="2"/>
  <c r="N589" i="2" s="1"/>
  <c r="L590" i="2"/>
  <c r="N590" i="2" s="1"/>
  <c r="L591" i="2"/>
  <c r="N591" i="2" s="1"/>
  <c r="L592" i="2"/>
  <c r="N592" i="2" s="1"/>
  <c r="L593" i="2"/>
  <c r="N593" i="2" s="1"/>
  <c r="L594" i="2"/>
  <c r="N594" i="2" s="1"/>
  <c r="L595" i="2"/>
  <c r="N595" i="2" s="1"/>
  <c r="L596" i="2"/>
  <c r="N596" i="2" s="1"/>
  <c r="L597" i="2"/>
  <c r="N597" i="2" s="1"/>
  <c r="L598" i="2"/>
  <c r="N598" i="2" s="1"/>
  <c r="L599" i="2"/>
  <c r="N599" i="2" s="1"/>
  <c r="L600" i="2"/>
  <c r="N600" i="2" s="1"/>
  <c r="L601" i="2"/>
  <c r="N601" i="2" s="1"/>
  <c r="L602" i="2"/>
  <c r="N602" i="2" s="1"/>
  <c r="L603" i="2"/>
  <c r="N603" i="2" s="1"/>
  <c r="L604" i="2"/>
  <c r="N604" i="2" s="1"/>
  <c r="L605" i="2"/>
  <c r="N605" i="2" s="1"/>
  <c r="L606" i="2"/>
  <c r="N606" i="2" s="1"/>
  <c r="L607" i="2"/>
  <c r="N607" i="2" s="1"/>
  <c r="L608" i="2"/>
  <c r="N608" i="2" s="1"/>
  <c r="L609" i="2"/>
  <c r="N609" i="2" s="1"/>
  <c r="L610" i="2"/>
  <c r="N610" i="2" s="1"/>
  <c r="L611" i="2"/>
  <c r="N611" i="2" s="1"/>
  <c r="L612" i="2"/>
  <c r="N612" i="2" s="1"/>
  <c r="L613" i="2"/>
  <c r="N613" i="2" s="1"/>
  <c r="L614" i="2"/>
  <c r="N614" i="2" s="1"/>
  <c r="L615" i="2"/>
  <c r="N615" i="2" s="1"/>
  <c r="L616" i="2"/>
  <c r="N616" i="2" s="1"/>
  <c r="L617" i="2"/>
  <c r="N617" i="2" s="1"/>
  <c r="L618" i="2"/>
  <c r="N618" i="2" s="1"/>
  <c r="L619" i="2"/>
  <c r="N619" i="2" s="1"/>
  <c r="L620" i="2"/>
  <c r="N620" i="2" s="1"/>
  <c r="L621" i="2"/>
  <c r="N621" i="2" s="1"/>
  <c r="L622" i="2"/>
  <c r="N622" i="2" s="1"/>
  <c r="L623" i="2"/>
  <c r="N623" i="2" s="1"/>
  <c r="L624" i="2"/>
  <c r="N624" i="2" s="1"/>
  <c r="L625" i="2"/>
  <c r="N625" i="2" s="1"/>
  <c r="L626" i="2"/>
  <c r="N626" i="2" s="1"/>
  <c r="L627" i="2"/>
  <c r="N627" i="2" s="1"/>
  <c r="L628" i="2"/>
  <c r="N628" i="2" s="1"/>
  <c r="L629" i="2"/>
  <c r="N629" i="2" s="1"/>
  <c r="L630" i="2"/>
  <c r="N630" i="2" s="1"/>
  <c r="L631" i="2"/>
  <c r="N631" i="2" s="1"/>
  <c r="L632" i="2"/>
  <c r="N632" i="2" s="1"/>
  <c r="L633" i="2"/>
  <c r="N633" i="2" s="1"/>
  <c r="L634" i="2"/>
  <c r="N634" i="2" s="1"/>
  <c r="L635" i="2"/>
  <c r="N635" i="2" s="1"/>
  <c r="L636" i="2"/>
  <c r="N636" i="2" s="1"/>
  <c r="L637" i="2"/>
  <c r="N637" i="2" s="1"/>
  <c r="L638" i="2"/>
  <c r="N638" i="2" s="1"/>
  <c r="L639" i="2"/>
  <c r="N639" i="2" s="1"/>
  <c r="L640" i="2"/>
  <c r="N640" i="2" s="1"/>
  <c r="L641" i="2"/>
  <c r="N641" i="2" s="1"/>
  <c r="L642" i="2"/>
  <c r="N642" i="2" s="1"/>
  <c r="L643" i="2"/>
  <c r="N643" i="2" s="1"/>
  <c r="L644" i="2"/>
  <c r="N644" i="2" s="1"/>
  <c r="L645" i="2"/>
  <c r="N645" i="2" s="1"/>
  <c r="L646" i="2"/>
  <c r="N646" i="2" s="1"/>
  <c r="L647" i="2"/>
  <c r="N647" i="2" s="1"/>
  <c r="L648" i="2"/>
  <c r="N648" i="2" s="1"/>
  <c r="L649" i="2"/>
  <c r="N649" i="2" s="1"/>
  <c r="L650" i="2"/>
  <c r="N650" i="2" s="1"/>
  <c r="L651" i="2"/>
  <c r="N651" i="2" s="1"/>
  <c r="L652" i="2"/>
  <c r="N652" i="2" s="1"/>
  <c r="L653" i="2"/>
  <c r="N653" i="2" s="1"/>
  <c r="L654" i="2"/>
  <c r="N654" i="2" s="1"/>
  <c r="L655" i="2"/>
  <c r="N655" i="2" s="1"/>
  <c r="L656" i="2"/>
  <c r="N656" i="2" s="1"/>
  <c r="L657" i="2"/>
  <c r="N657" i="2" s="1"/>
  <c r="L658" i="2"/>
  <c r="N658" i="2" s="1"/>
  <c r="L659" i="2"/>
  <c r="N659" i="2" s="1"/>
  <c r="L660" i="2"/>
  <c r="N660" i="2" s="1"/>
  <c r="L661" i="2"/>
  <c r="N661" i="2" s="1"/>
  <c r="L662" i="2"/>
  <c r="N662" i="2" s="1"/>
  <c r="L663" i="2"/>
  <c r="N663" i="2" s="1"/>
  <c r="L664" i="2"/>
  <c r="N664" i="2" s="1"/>
  <c r="L665" i="2"/>
  <c r="N665" i="2" s="1"/>
  <c r="L666" i="2"/>
  <c r="N666" i="2" s="1"/>
  <c r="L667" i="2"/>
  <c r="N667" i="2" s="1"/>
  <c r="L668" i="2"/>
  <c r="N668" i="2" s="1"/>
  <c r="L669" i="2"/>
  <c r="N669" i="2" s="1"/>
  <c r="L670" i="2"/>
  <c r="N670" i="2" s="1"/>
  <c r="L671" i="2"/>
  <c r="N671" i="2" s="1"/>
  <c r="L672" i="2"/>
  <c r="N672" i="2" s="1"/>
  <c r="L673" i="2"/>
  <c r="N673" i="2" s="1"/>
  <c r="L674" i="2"/>
  <c r="N674" i="2" s="1"/>
  <c r="L675" i="2"/>
  <c r="N675" i="2" s="1"/>
  <c r="L676" i="2"/>
  <c r="N676" i="2" s="1"/>
  <c r="L677" i="2"/>
  <c r="N677" i="2" s="1"/>
  <c r="L678" i="2"/>
  <c r="N678" i="2" s="1"/>
  <c r="L679" i="2"/>
  <c r="N679" i="2" s="1"/>
  <c r="L680" i="2"/>
  <c r="N680" i="2" s="1"/>
  <c r="L681" i="2"/>
  <c r="N681" i="2" s="1"/>
  <c r="L682" i="2"/>
  <c r="N682" i="2" s="1"/>
  <c r="L683" i="2"/>
  <c r="N683" i="2" s="1"/>
  <c r="L684" i="2"/>
  <c r="N684" i="2" s="1"/>
  <c r="L685" i="2"/>
  <c r="N685" i="2" s="1"/>
  <c r="L686" i="2"/>
  <c r="N686" i="2" s="1"/>
  <c r="L687" i="2"/>
  <c r="N687" i="2" s="1"/>
  <c r="L688" i="2"/>
  <c r="N688" i="2" s="1"/>
  <c r="L689" i="2"/>
  <c r="N689" i="2" s="1"/>
  <c r="L690" i="2"/>
  <c r="N690" i="2" s="1"/>
  <c r="L691" i="2"/>
  <c r="N691" i="2" s="1"/>
  <c r="L692" i="2"/>
  <c r="N692" i="2" s="1"/>
  <c r="L693" i="2"/>
  <c r="N693" i="2" s="1"/>
  <c r="L694" i="2"/>
  <c r="N694" i="2" s="1"/>
  <c r="L695" i="2"/>
  <c r="N695" i="2" s="1"/>
  <c r="L696" i="2"/>
  <c r="N696" i="2" s="1"/>
  <c r="L697" i="2"/>
  <c r="N697" i="2" s="1"/>
  <c r="L698" i="2"/>
  <c r="N698" i="2" s="1"/>
  <c r="L699" i="2"/>
  <c r="N699" i="2" s="1"/>
  <c r="L700" i="2"/>
  <c r="N700" i="2" s="1"/>
  <c r="L701" i="2"/>
  <c r="N701" i="2" s="1"/>
  <c r="L702" i="2"/>
  <c r="N702" i="2" s="1"/>
  <c r="L703" i="2"/>
  <c r="N703" i="2" s="1"/>
  <c r="L704" i="2"/>
  <c r="N704" i="2" s="1"/>
  <c r="L705" i="2"/>
  <c r="N705" i="2" s="1"/>
  <c r="L706" i="2"/>
  <c r="N706" i="2" s="1"/>
  <c r="L707" i="2"/>
  <c r="N707" i="2" s="1"/>
  <c r="L708" i="2"/>
  <c r="N708" i="2" s="1"/>
  <c r="L709" i="2"/>
  <c r="N709" i="2" s="1"/>
  <c r="L710" i="2"/>
  <c r="N710" i="2" s="1"/>
  <c r="L711" i="2"/>
  <c r="N711" i="2" s="1"/>
  <c r="L712" i="2"/>
  <c r="N712" i="2" s="1"/>
  <c r="L713" i="2"/>
  <c r="N713" i="2" s="1"/>
  <c r="L714" i="2"/>
  <c r="N714" i="2" s="1"/>
  <c r="L715" i="2"/>
  <c r="N715" i="2" s="1"/>
  <c r="L716" i="2"/>
  <c r="N716" i="2" s="1"/>
  <c r="L717" i="2"/>
  <c r="N717" i="2" s="1"/>
  <c r="L718" i="2"/>
  <c r="N718" i="2" s="1"/>
  <c r="L719" i="2"/>
  <c r="N719" i="2" s="1"/>
  <c r="L720" i="2"/>
  <c r="N720" i="2" s="1"/>
  <c r="L721" i="2"/>
  <c r="N721" i="2" s="1"/>
  <c r="L722" i="2"/>
  <c r="N722" i="2" s="1"/>
  <c r="L723" i="2"/>
  <c r="N723" i="2" s="1"/>
  <c r="L724" i="2"/>
  <c r="N724" i="2" s="1"/>
  <c r="L725" i="2"/>
  <c r="N725" i="2" s="1"/>
  <c r="L726" i="2"/>
  <c r="N726" i="2" s="1"/>
  <c r="L727" i="2"/>
  <c r="N727" i="2" s="1"/>
  <c r="L728" i="2"/>
  <c r="N728" i="2" s="1"/>
  <c r="L729" i="2"/>
  <c r="N729" i="2" s="1"/>
  <c r="L730" i="2"/>
  <c r="N730" i="2" s="1"/>
  <c r="L731" i="2"/>
  <c r="N731" i="2" s="1"/>
  <c r="L732" i="2"/>
  <c r="N732" i="2" s="1"/>
  <c r="L733" i="2"/>
  <c r="N733" i="2" s="1"/>
  <c r="L734" i="2"/>
  <c r="N734" i="2" s="1"/>
  <c r="L735" i="2"/>
  <c r="N735" i="2" s="1"/>
  <c r="L736" i="2"/>
  <c r="N736" i="2" s="1"/>
  <c r="L737" i="2"/>
  <c r="N737" i="2" s="1"/>
  <c r="L738" i="2"/>
  <c r="N738" i="2" s="1"/>
  <c r="L739" i="2"/>
  <c r="N739" i="2" s="1"/>
  <c r="L740" i="2"/>
  <c r="N740" i="2" s="1"/>
  <c r="L741" i="2"/>
  <c r="N741" i="2" s="1"/>
  <c r="L742" i="2"/>
  <c r="N742" i="2" s="1"/>
  <c r="L743" i="2"/>
  <c r="N743" i="2" s="1"/>
  <c r="L744" i="2"/>
  <c r="N744" i="2" s="1"/>
  <c r="L745" i="2"/>
  <c r="N745" i="2" s="1"/>
  <c r="L746" i="2"/>
  <c r="N746" i="2" s="1"/>
  <c r="L747" i="2"/>
  <c r="N747" i="2" s="1"/>
  <c r="L748" i="2"/>
  <c r="N748" i="2" s="1"/>
  <c r="L749" i="2"/>
  <c r="N749" i="2" s="1"/>
  <c r="L750" i="2"/>
  <c r="N750" i="2" s="1"/>
  <c r="L751" i="2"/>
  <c r="N751" i="2" s="1"/>
  <c r="L752" i="2"/>
  <c r="N752" i="2" s="1"/>
  <c r="L753" i="2"/>
  <c r="N753" i="2" s="1"/>
  <c r="L754" i="2"/>
  <c r="N754" i="2" s="1"/>
  <c r="L755" i="2"/>
  <c r="N755" i="2" s="1"/>
  <c r="L756" i="2"/>
  <c r="N756" i="2" s="1"/>
  <c r="L757" i="2"/>
  <c r="N757" i="2" s="1"/>
  <c r="L758" i="2"/>
  <c r="N758" i="2" s="1"/>
  <c r="L759" i="2"/>
  <c r="N759" i="2" s="1"/>
  <c r="L760" i="2"/>
  <c r="N760" i="2" s="1"/>
  <c r="L761" i="2"/>
  <c r="N761" i="2" s="1"/>
  <c r="L762" i="2"/>
  <c r="N762" i="2" s="1"/>
  <c r="L763" i="2"/>
  <c r="N763" i="2" s="1"/>
  <c r="L764" i="2"/>
  <c r="N764" i="2" s="1"/>
  <c r="L765" i="2"/>
  <c r="N765" i="2" s="1"/>
  <c r="L766" i="2"/>
  <c r="N766" i="2" s="1"/>
  <c r="L767" i="2"/>
  <c r="N767" i="2" s="1"/>
  <c r="L768" i="2"/>
  <c r="N768" i="2" s="1"/>
  <c r="L769" i="2"/>
  <c r="N769" i="2" s="1"/>
  <c r="L770" i="2"/>
  <c r="N770" i="2" s="1"/>
  <c r="L771" i="2"/>
  <c r="N771" i="2" s="1"/>
  <c r="L772" i="2"/>
  <c r="N772" i="2" s="1"/>
  <c r="L773" i="2"/>
  <c r="N773" i="2" s="1"/>
  <c r="L774" i="2"/>
  <c r="N774" i="2" s="1"/>
  <c r="L775" i="2"/>
  <c r="N775" i="2" s="1"/>
  <c r="L776" i="2"/>
  <c r="N776" i="2" s="1"/>
  <c r="L777" i="2"/>
  <c r="N777" i="2" s="1"/>
  <c r="L778" i="2"/>
  <c r="N778" i="2" s="1"/>
  <c r="L779" i="2"/>
  <c r="N779" i="2" s="1"/>
  <c r="L780" i="2"/>
  <c r="N780" i="2" s="1"/>
  <c r="L781" i="2"/>
  <c r="N781" i="2" s="1"/>
  <c r="L782" i="2"/>
  <c r="N782" i="2" s="1"/>
  <c r="L783" i="2"/>
  <c r="N783" i="2" s="1"/>
  <c r="L784" i="2"/>
  <c r="N784" i="2" s="1"/>
  <c r="L785" i="2"/>
  <c r="N785" i="2" s="1"/>
  <c r="L786" i="2"/>
  <c r="N786" i="2" s="1"/>
  <c r="L787" i="2"/>
  <c r="N787" i="2" s="1"/>
  <c r="L788" i="2"/>
  <c r="N788" i="2" s="1"/>
  <c r="L789" i="2"/>
  <c r="N789" i="2" s="1"/>
  <c r="L790" i="2"/>
  <c r="N790" i="2" s="1"/>
  <c r="L791" i="2"/>
  <c r="N791" i="2" s="1"/>
  <c r="L792" i="2"/>
  <c r="N792" i="2" s="1"/>
  <c r="L793" i="2"/>
  <c r="N793" i="2" s="1"/>
  <c r="L794" i="2"/>
  <c r="N794" i="2" s="1"/>
  <c r="L795" i="2"/>
  <c r="N795" i="2" s="1"/>
  <c r="L796" i="2"/>
  <c r="N796" i="2" s="1"/>
  <c r="L797" i="2"/>
  <c r="N797" i="2" s="1"/>
  <c r="L798" i="2"/>
  <c r="N798" i="2" s="1"/>
  <c r="L799" i="2"/>
  <c r="N799" i="2" s="1"/>
  <c r="L800" i="2"/>
  <c r="N800" i="2" s="1"/>
  <c r="L801" i="2"/>
  <c r="N801" i="2" s="1"/>
  <c r="L802" i="2"/>
  <c r="N802" i="2" s="1"/>
  <c r="L803" i="2"/>
  <c r="N803" i="2" s="1"/>
  <c r="L804" i="2"/>
  <c r="N804" i="2" s="1"/>
  <c r="L805" i="2"/>
  <c r="N805" i="2" s="1"/>
  <c r="L806" i="2"/>
  <c r="N806" i="2" s="1"/>
  <c r="L807" i="2"/>
  <c r="N807" i="2" s="1"/>
  <c r="L808" i="2"/>
  <c r="N808" i="2" s="1"/>
  <c r="L809" i="2"/>
  <c r="N809" i="2" s="1"/>
  <c r="L810" i="2"/>
  <c r="N810" i="2" s="1"/>
  <c r="L811" i="2"/>
  <c r="N811" i="2" s="1"/>
  <c r="L812" i="2"/>
  <c r="N812" i="2" s="1"/>
  <c r="L813" i="2"/>
  <c r="N813" i="2" s="1"/>
  <c r="L814" i="2"/>
  <c r="N814" i="2" s="1"/>
  <c r="L815" i="2"/>
  <c r="N815" i="2" s="1"/>
  <c r="L816" i="2"/>
  <c r="N816" i="2" s="1"/>
  <c r="L817" i="2"/>
  <c r="N817" i="2" s="1"/>
  <c r="L818" i="2"/>
  <c r="N818" i="2" s="1"/>
  <c r="L819" i="2"/>
  <c r="N819" i="2" s="1"/>
  <c r="L820" i="2"/>
  <c r="N820" i="2" s="1"/>
  <c r="L821" i="2"/>
  <c r="N821" i="2" s="1"/>
  <c r="L822" i="2"/>
  <c r="N822" i="2" s="1"/>
  <c r="L823" i="2"/>
  <c r="N823" i="2" s="1"/>
  <c r="L824" i="2"/>
  <c r="N824" i="2" s="1"/>
  <c r="L825" i="2"/>
  <c r="N825" i="2" s="1"/>
  <c r="L826" i="2"/>
  <c r="N826" i="2" s="1"/>
  <c r="L827" i="2"/>
  <c r="N827" i="2" s="1"/>
  <c r="L828" i="2"/>
  <c r="N828" i="2" s="1"/>
  <c r="L829" i="2"/>
  <c r="N829" i="2" s="1"/>
  <c r="L830" i="2"/>
  <c r="N830" i="2" s="1"/>
  <c r="L831" i="2"/>
  <c r="N831" i="2" s="1"/>
  <c r="L832" i="2"/>
  <c r="N832" i="2" s="1"/>
  <c r="L833" i="2"/>
  <c r="N833" i="2" s="1"/>
  <c r="L834" i="2"/>
  <c r="N834" i="2" s="1"/>
  <c r="L835" i="2"/>
  <c r="N835" i="2" s="1"/>
  <c r="L836" i="2"/>
  <c r="N836" i="2" s="1"/>
  <c r="L837" i="2"/>
  <c r="N837" i="2" s="1"/>
  <c r="L838" i="2"/>
  <c r="N838" i="2" s="1"/>
  <c r="L839" i="2"/>
  <c r="N839" i="2" s="1"/>
  <c r="L840" i="2"/>
  <c r="N840" i="2" s="1"/>
  <c r="L841" i="2"/>
  <c r="N841" i="2" s="1"/>
  <c r="L842" i="2"/>
  <c r="N842" i="2" s="1"/>
  <c r="L843" i="2"/>
  <c r="N843" i="2" s="1"/>
  <c r="L844" i="2"/>
  <c r="N844" i="2" s="1"/>
  <c r="L845" i="2"/>
  <c r="N845" i="2" s="1"/>
  <c r="L846" i="2"/>
  <c r="N846" i="2" s="1"/>
  <c r="L847" i="2"/>
  <c r="N847" i="2" s="1"/>
  <c r="L848" i="2"/>
  <c r="N848" i="2" s="1"/>
  <c r="L849" i="2"/>
  <c r="N849" i="2" s="1"/>
  <c r="L850" i="2"/>
  <c r="N850" i="2" s="1"/>
  <c r="L851" i="2"/>
  <c r="N851" i="2" s="1"/>
  <c r="L852" i="2"/>
  <c r="N852" i="2" s="1"/>
  <c r="L853" i="2"/>
  <c r="N853" i="2" s="1"/>
  <c r="L854" i="2"/>
  <c r="N854" i="2" s="1"/>
  <c r="L855" i="2"/>
  <c r="N855" i="2" s="1"/>
  <c r="L856" i="2"/>
  <c r="N856" i="2" s="1"/>
  <c r="L857" i="2"/>
  <c r="N857" i="2" s="1"/>
  <c r="L858" i="2"/>
  <c r="N858" i="2" s="1"/>
  <c r="L859" i="2"/>
  <c r="N859" i="2" s="1"/>
  <c r="L860" i="2"/>
  <c r="N860" i="2" s="1"/>
  <c r="L861" i="2"/>
  <c r="N861" i="2" s="1"/>
  <c r="L862" i="2"/>
  <c r="N862" i="2" s="1"/>
  <c r="L863" i="2"/>
  <c r="N863" i="2" s="1"/>
  <c r="L864" i="2"/>
  <c r="N864" i="2" s="1"/>
  <c r="L865" i="2"/>
  <c r="N865" i="2" s="1"/>
  <c r="L866" i="2"/>
  <c r="N866" i="2" s="1"/>
  <c r="L867" i="2"/>
  <c r="N867" i="2" s="1"/>
  <c r="L868" i="2"/>
  <c r="N868" i="2" s="1"/>
  <c r="L869" i="2"/>
  <c r="N869" i="2" s="1"/>
  <c r="L870" i="2"/>
  <c r="N870" i="2" s="1"/>
  <c r="L871" i="2"/>
  <c r="N871" i="2" s="1"/>
  <c r="L872" i="2"/>
  <c r="N872" i="2" s="1"/>
  <c r="L873" i="2"/>
  <c r="N873" i="2" s="1"/>
  <c r="L874" i="2"/>
  <c r="N874" i="2" s="1"/>
  <c r="L875" i="2"/>
  <c r="N875" i="2" s="1"/>
  <c r="L876" i="2"/>
  <c r="N876" i="2" s="1"/>
  <c r="L877" i="2"/>
  <c r="N877" i="2" s="1"/>
  <c r="L878" i="2"/>
  <c r="N878" i="2" s="1"/>
  <c r="L879" i="2"/>
  <c r="N879" i="2" s="1"/>
  <c r="L880" i="2"/>
  <c r="N880" i="2" s="1"/>
  <c r="L881" i="2"/>
  <c r="N881" i="2" s="1"/>
  <c r="L882" i="2"/>
  <c r="N882" i="2" s="1"/>
  <c r="L883" i="2"/>
  <c r="N883" i="2" s="1"/>
  <c r="L884" i="2"/>
  <c r="N884" i="2" s="1"/>
  <c r="L885" i="2"/>
  <c r="N885" i="2" s="1"/>
  <c r="L886" i="2"/>
  <c r="N886" i="2" s="1"/>
  <c r="L887" i="2"/>
  <c r="N887" i="2" s="1"/>
  <c r="L888" i="2"/>
  <c r="N888" i="2" s="1"/>
  <c r="L889" i="2"/>
  <c r="N889" i="2" s="1"/>
  <c r="L890" i="2"/>
  <c r="N890" i="2" s="1"/>
  <c r="L891" i="2"/>
  <c r="N891" i="2" s="1"/>
  <c r="L892" i="2"/>
  <c r="N892" i="2" s="1"/>
  <c r="L893" i="2"/>
  <c r="N893" i="2" s="1"/>
  <c r="L894" i="2"/>
  <c r="N894" i="2" s="1"/>
  <c r="L895" i="2"/>
  <c r="N895" i="2" s="1"/>
  <c r="L896" i="2"/>
  <c r="N896" i="2" s="1"/>
  <c r="L897" i="2"/>
  <c r="N897" i="2" s="1"/>
  <c r="L898" i="2"/>
  <c r="N898" i="2" s="1"/>
  <c r="L899" i="2"/>
  <c r="N899" i="2" s="1"/>
  <c r="L900" i="2"/>
  <c r="N900" i="2" s="1"/>
  <c r="L901" i="2"/>
  <c r="N901" i="2" s="1"/>
  <c r="L902" i="2"/>
  <c r="N902" i="2" s="1"/>
  <c r="L903" i="2"/>
  <c r="N903" i="2" s="1"/>
  <c r="L904" i="2"/>
  <c r="N904" i="2" s="1"/>
  <c r="L905" i="2"/>
  <c r="N905" i="2" s="1"/>
  <c r="L906" i="2"/>
  <c r="N906" i="2" s="1"/>
  <c r="L907" i="2"/>
  <c r="N907" i="2" s="1"/>
  <c r="L908" i="2"/>
  <c r="N908" i="2" s="1"/>
  <c r="L909" i="2"/>
  <c r="N909" i="2" s="1"/>
  <c r="L910" i="2"/>
  <c r="N910" i="2" s="1"/>
  <c r="L911" i="2"/>
  <c r="N911" i="2" s="1"/>
  <c r="L912" i="2"/>
  <c r="N912" i="2" s="1"/>
  <c r="L913" i="2"/>
  <c r="N913" i="2" s="1"/>
  <c r="L914" i="2"/>
  <c r="N914" i="2" s="1"/>
  <c r="L915" i="2"/>
  <c r="N915" i="2" s="1"/>
  <c r="L916" i="2"/>
  <c r="N916" i="2" s="1"/>
  <c r="L917" i="2"/>
  <c r="N917" i="2" s="1"/>
  <c r="L918" i="2"/>
  <c r="N918" i="2" s="1"/>
  <c r="L919" i="2"/>
  <c r="N919" i="2" s="1"/>
  <c r="L920" i="2"/>
  <c r="N920" i="2" s="1"/>
  <c r="L921" i="2"/>
  <c r="N921" i="2" s="1"/>
  <c r="L922" i="2"/>
  <c r="N922" i="2" s="1"/>
  <c r="L923" i="2"/>
  <c r="N923" i="2" s="1"/>
  <c r="L924" i="2"/>
  <c r="N924" i="2" s="1"/>
  <c r="L925" i="2"/>
  <c r="N925" i="2" s="1"/>
  <c r="L926" i="2"/>
  <c r="N926" i="2" s="1"/>
  <c r="L927" i="2"/>
  <c r="N927" i="2" s="1"/>
  <c r="L928" i="2"/>
  <c r="N928" i="2" s="1"/>
  <c r="L929" i="2"/>
  <c r="N929" i="2" s="1"/>
  <c r="L930" i="2"/>
  <c r="N930" i="2" s="1"/>
  <c r="L931" i="2"/>
  <c r="N931" i="2" s="1"/>
  <c r="L932" i="2"/>
  <c r="N932" i="2" s="1"/>
  <c r="L933" i="2"/>
  <c r="N933" i="2" s="1"/>
  <c r="L934" i="2"/>
  <c r="N934" i="2" s="1"/>
  <c r="L935" i="2"/>
  <c r="N935" i="2" s="1"/>
  <c r="L936" i="2"/>
  <c r="N936" i="2" s="1"/>
  <c r="L937" i="2"/>
  <c r="N937" i="2" s="1"/>
  <c r="L938" i="2"/>
  <c r="N938" i="2" s="1"/>
  <c r="L939" i="2"/>
  <c r="N939" i="2" s="1"/>
  <c r="L940" i="2"/>
  <c r="N940" i="2" s="1"/>
  <c r="L941" i="2"/>
  <c r="N941" i="2" s="1"/>
  <c r="L942" i="2"/>
  <c r="N942" i="2" s="1"/>
  <c r="L943" i="2"/>
  <c r="N943" i="2" s="1"/>
  <c r="L944" i="2"/>
  <c r="N944" i="2" s="1"/>
  <c r="L945" i="2"/>
  <c r="N945" i="2" s="1"/>
  <c r="L946" i="2"/>
  <c r="N946" i="2" s="1"/>
  <c r="L947" i="2"/>
  <c r="N947" i="2" s="1"/>
  <c r="L948" i="2"/>
  <c r="N948" i="2" s="1"/>
  <c r="L949" i="2"/>
  <c r="N949" i="2" s="1"/>
  <c r="L950" i="2"/>
  <c r="N950" i="2" s="1"/>
  <c r="L951" i="2"/>
  <c r="N951" i="2" s="1"/>
  <c r="L952" i="2"/>
  <c r="N952" i="2" s="1"/>
  <c r="L953" i="2"/>
  <c r="N953" i="2" s="1"/>
  <c r="L954" i="2"/>
  <c r="N954" i="2" s="1"/>
  <c r="L955" i="2"/>
  <c r="N955" i="2" s="1"/>
  <c r="L956" i="2"/>
  <c r="N956" i="2" s="1"/>
  <c r="L957" i="2"/>
  <c r="N957" i="2" s="1"/>
  <c r="L958" i="2"/>
  <c r="N958" i="2" s="1"/>
  <c r="L959" i="2"/>
  <c r="N959" i="2" s="1"/>
  <c r="L960" i="2"/>
  <c r="N960" i="2" s="1"/>
  <c r="L961" i="2"/>
  <c r="N961" i="2" s="1"/>
  <c r="L962" i="2"/>
  <c r="N962" i="2" s="1"/>
  <c r="L963" i="2"/>
  <c r="N963" i="2" s="1"/>
  <c r="L964" i="2"/>
  <c r="N964" i="2" s="1"/>
  <c r="L965" i="2"/>
  <c r="N965" i="2" s="1"/>
  <c r="L966" i="2"/>
  <c r="N966" i="2" s="1"/>
  <c r="L967" i="2"/>
  <c r="N967" i="2" s="1"/>
  <c r="L968" i="2"/>
  <c r="N968" i="2" s="1"/>
  <c r="L969" i="2"/>
  <c r="N969" i="2" s="1"/>
  <c r="L970" i="2"/>
  <c r="N970" i="2" s="1"/>
  <c r="L971" i="2"/>
  <c r="N971" i="2" s="1"/>
  <c r="L972" i="2"/>
  <c r="N972" i="2" s="1"/>
  <c r="L973" i="2"/>
  <c r="N973" i="2" s="1"/>
  <c r="L974" i="2"/>
  <c r="N974" i="2" s="1"/>
  <c r="L975" i="2"/>
  <c r="N975" i="2" s="1"/>
  <c r="L976" i="2"/>
  <c r="N976" i="2" s="1"/>
  <c r="L977" i="2"/>
  <c r="N977" i="2" s="1"/>
  <c r="L978" i="2"/>
  <c r="N978" i="2" s="1"/>
  <c r="L979" i="2"/>
  <c r="N979" i="2" s="1"/>
  <c r="L980" i="2"/>
  <c r="N980" i="2" s="1"/>
  <c r="L981" i="2"/>
  <c r="N981" i="2" s="1"/>
  <c r="L982" i="2"/>
  <c r="N982" i="2" s="1"/>
  <c r="L983" i="2"/>
  <c r="N983" i="2" s="1"/>
  <c r="L984" i="2"/>
  <c r="N984" i="2" s="1"/>
  <c r="L985" i="2"/>
  <c r="N985" i="2" s="1"/>
  <c r="L986" i="2"/>
  <c r="N986" i="2" s="1"/>
  <c r="L987" i="2"/>
  <c r="N987" i="2" s="1"/>
  <c r="L988" i="2"/>
  <c r="N988" i="2" s="1"/>
  <c r="L989" i="2"/>
  <c r="N989" i="2" s="1"/>
  <c r="L990" i="2"/>
  <c r="N990" i="2" s="1"/>
  <c r="L991" i="2"/>
  <c r="N991" i="2" s="1"/>
  <c r="L992" i="2"/>
  <c r="N992" i="2" s="1"/>
  <c r="L993" i="2"/>
  <c r="N993" i="2" s="1"/>
  <c r="L994" i="2"/>
  <c r="N994" i="2" s="1"/>
  <c r="L995" i="2"/>
  <c r="N995" i="2" s="1"/>
  <c r="L996" i="2"/>
  <c r="N996" i="2" s="1"/>
  <c r="L997" i="2"/>
  <c r="N997" i="2" s="1"/>
  <c r="L998" i="2"/>
  <c r="N998" i="2" s="1"/>
  <c r="L999" i="2"/>
  <c r="N999" i="2" s="1"/>
  <c r="L1000" i="2"/>
  <c r="N1000" i="2" s="1"/>
  <c r="L1001" i="2"/>
  <c r="N1001" i="2" s="1"/>
  <c r="L1002" i="2"/>
  <c r="N1002" i="2" s="1"/>
  <c r="L1003" i="2"/>
  <c r="N1003" i="2" s="1"/>
  <c r="L1004" i="2"/>
  <c r="N1004" i="2" s="1"/>
  <c r="L1005" i="2"/>
  <c r="N1005" i="2" s="1"/>
  <c r="L1006" i="2"/>
  <c r="N1006" i="2" s="1"/>
  <c r="L1007" i="2"/>
  <c r="N1007" i="2" s="1"/>
  <c r="L1008" i="2"/>
  <c r="N1008" i="2" s="1"/>
  <c r="L1009" i="2"/>
  <c r="N1009" i="2" s="1"/>
  <c r="L1010" i="2"/>
  <c r="N1010" i="2" s="1"/>
  <c r="L1011" i="2"/>
  <c r="N1011" i="2" s="1"/>
  <c r="L1012" i="2"/>
  <c r="N1012" i="2" s="1"/>
  <c r="L1013" i="2"/>
  <c r="N1013" i="2" s="1"/>
  <c r="L1014" i="2"/>
  <c r="N1014" i="2" s="1"/>
  <c r="L1015" i="2"/>
  <c r="N1015" i="2" s="1"/>
  <c r="L1016" i="2"/>
  <c r="N1016" i="2" s="1"/>
  <c r="L1017" i="2"/>
  <c r="N1017" i="2" s="1"/>
  <c r="L1018" i="2"/>
  <c r="N1018" i="2" s="1"/>
  <c r="L1019" i="2"/>
  <c r="N1019" i="2" s="1"/>
  <c r="L1020" i="2"/>
  <c r="N1020" i="2" s="1"/>
  <c r="L1021" i="2"/>
  <c r="N1021" i="2" s="1"/>
  <c r="L1022" i="2"/>
  <c r="N1022" i="2" s="1"/>
  <c r="L1023" i="2"/>
  <c r="N1023" i="2" s="1"/>
  <c r="L1024" i="2"/>
  <c r="N1024" i="2" s="1"/>
  <c r="L1025" i="2"/>
  <c r="N1025" i="2" s="1"/>
  <c r="L1026" i="2"/>
  <c r="N1026" i="2" s="1"/>
  <c r="L1027" i="2"/>
  <c r="N1027" i="2" s="1"/>
  <c r="L1028" i="2"/>
  <c r="N1028" i="2" s="1"/>
  <c r="L1029" i="2"/>
  <c r="N1029" i="2" s="1"/>
  <c r="L1030" i="2"/>
  <c r="N1030" i="2" s="1"/>
  <c r="L1031" i="2"/>
  <c r="N1031" i="2" s="1"/>
  <c r="L1032" i="2"/>
  <c r="N1032" i="2" s="1"/>
  <c r="L1033" i="2"/>
  <c r="N1033" i="2" s="1"/>
  <c r="L1034" i="2"/>
  <c r="N1034" i="2" s="1"/>
  <c r="L1035" i="2"/>
  <c r="N1035" i="2" s="1"/>
  <c r="L1036" i="2"/>
  <c r="N1036" i="2" s="1"/>
  <c r="L1037" i="2"/>
  <c r="N1037" i="2" s="1"/>
  <c r="L1038" i="2"/>
  <c r="N1038" i="2" s="1"/>
  <c r="L1039" i="2"/>
  <c r="N1039" i="2" s="1"/>
  <c r="L1040" i="2"/>
  <c r="N1040" i="2" s="1"/>
  <c r="L1041" i="2"/>
  <c r="N1041" i="2" s="1"/>
  <c r="L1042" i="2"/>
  <c r="N1042" i="2" s="1"/>
  <c r="L1043" i="2"/>
  <c r="N1043" i="2" s="1"/>
  <c r="L1044" i="2"/>
  <c r="N1044" i="2" s="1"/>
  <c r="L1045" i="2"/>
  <c r="N1045" i="2" s="1"/>
  <c r="L1046" i="2"/>
  <c r="N1046" i="2" s="1"/>
  <c r="L1047" i="2"/>
  <c r="N1047" i="2" s="1"/>
  <c r="L1048" i="2"/>
  <c r="N1048" i="2" s="1"/>
  <c r="L1049" i="2"/>
  <c r="N1049" i="2" s="1"/>
  <c r="L1050" i="2"/>
  <c r="N1050" i="2" s="1"/>
  <c r="L1051" i="2"/>
  <c r="N1051" i="2" s="1"/>
  <c r="L1052" i="2"/>
  <c r="N1052" i="2" s="1"/>
  <c r="L1053" i="2"/>
  <c r="N1053" i="2" s="1"/>
  <c r="L1054" i="2"/>
  <c r="N1054" i="2" s="1"/>
  <c r="L1055" i="2"/>
  <c r="N1055" i="2" s="1"/>
  <c r="L1056" i="2"/>
  <c r="N1056" i="2" s="1"/>
  <c r="L1057" i="2"/>
  <c r="N1057" i="2" s="1"/>
  <c r="L1058" i="2"/>
  <c r="N1058" i="2" s="1"/>
  <c r="L1059" i="2"/>
  <c r="N1059" i="2" s="1"/>
  <c r="L1060" i="2"/>
  <c r="N1060" i="2" s="1"/>
  <c r="L1061" i="2"/>
  <c r="N1061" i="2" s="1"/>
  <c r="L1062" i="2"/>
  <c r="N1062" i="2" s="1"/>
  <c r="L1063" i="2"/>
  <c r="N1063" i="2" s="1"/>
  <c r="L1064" i="2"/>
  <c r="N1064" i="2" s="1"/>
  <c r="L1065" i="2"/>
  <c r="N1065" i="2" s="1"/>
  <c r="L1066" i="2"/>
  <c r="N1066" i="2" s="1"/>
  <c r="L1067" i="2"/>
  <c r="N1067" i="2" s="1"/>
  <c r="L1068" i="2"/>
  <c r="N1068" i="2" s="1"/>
  <c r="L1069" i="2"/>
  <c r="N1069" i="2" s="1"/>
  <c r="L1070" i="2"/>
  <c r="N1070" i="2" s="1"/>
  <c r="L1071" i="2"/>
  <c r="N1071" i="2" s="1"/>
  <c r="L1072" i="2"/>
  <c r="N1072" i="2" s="1"/>
  <c r="L1073" i="2"/>
  <c r="N1073" i="2" s="1"/>
  <c r="L1074" i="2"/>
  <c r="N1074" i="2" s="1"/>
  <c r="L1075" i="2"/>
  <c r="N1075" i="2" s="1"/>
  <c r="L1076" i="2"/>
  <c r="N1076" i="2" s="1"/>
  <c r="L1077" i="2"/>
  <c r="N1077" i="2" s="1"/>
  <c r="L1078" i="2"/>
  <c r="N1078" i="2" s="1"/>
  <c r="L1079" i="2"/>
  <c r="N1079" i="2" s="1"/>
  <c r="L1080" i="2"/>
  <c r="N1080" i="2" s="1"/>
  <c r="L1081" i="2"/>
  <c r="N1081" i="2" s="1"/>
  <c r="L1082" i="2"/>
  <c r="N1082" i="2" s="1"/>
  <c r="L1083" i="2"/>
  <c r="N1083" i="2" s="1"/>
  <c r="L1084" i="2"/>
  <c r="N1084" i="2" s="1"/>
  <c r="L1085" i="2"/>
  <c r="N1085" i="2" s="1"/>
  <c r="L1086" i="2"/>
  <c r="N1086" i="2" s="1"/>
  <c r="L1087" i="2"/>
  <c r="N1087" i="2" s="1"/>
  <c r="L1088" i="2"/>
  <c r="N1088" i="2" s="1"/>
  <c r="L1089" i="2"/>
  <c r="N1089" i="2" s="1"/>
  <c r="L1090" i="2"/>
  <c r="N1090" i="2" s="1"/>
  <c r="L1091" i="2"/>
  <c r="N1091" i="2" s="1"/>
  <c r="L1092" i="2"/>
  <c r="N1092" i="2" s="1"/>
  <c r="L1093" i="2"/>
  <c r="N1093" i="2" s="1"/>
  <c r="L1094" i="2"/>
  <c r="N1094" i="2" s="1"/>
  <c r="L1095" i="2"/>
  <c r="N1095" i="2" s="1"/>
  <c r="L1096" i="2"/>
  <c r="N1096" i="2" s="1"/>
  <c r="L1097" i="2"/>
  <c r="N1097" i="2" s="1"/>
  <c r="L1098" i="2"/>
  <c r="N1098" i="2" s="1"/>
  <c r="L1099" i="2"/>
  <c r="N1099" i="2" s="1"/>
  <c r="L1100" i="2"/>
  <c r="N1100" i="2" s="1"/>
  <c r="L1101" i="2"/>
  <c r="N1101" i="2" s="1"/>
  <c r="L1102" i="2"/>
  <c r="N1102" i="2" s="1"/>
  <c r="L1103" i="2"/>
  <c r="N1103" i="2" s="1"/>
  <c r="L1104" i="2"/>
  <c r="N1104" i="2" s="1"/>
  <c r="L1105" i="2"/>
  <c r="N1105" i="2" s="1"/>
  <c r="L1106" i="2"/>
  <c r="N1106" i="2" s="1"/>
  <c r="L1107" i="2"/>
  <c r="N1107" i="2" s="1"/>
  <c r="L1108" i="2"/>
  <c r="N1108" i="2" s="1"/>
  <c r="L1109" i="2"/>
  <c r="N1109" i="2" s="1"/>
  <c r="L1110" i="2"/>
  <c r="N1110" i="2" s="1"/>
  <c r="L1111" i="2"/>
  <c r="N1111" i="2" s="1"/>
  <c r="L1112" i="2"/>
  <c r="N1112" i="2" s="1"/>
  <c r="L1113" i="2"/>
  <c r="N1113" i="2" s="1"/>
  <c r="L1114" i="2"/>
  <c r="N1114" i="2" s="1"/>
  <c r="L1115" i="2"/>
  <c r="N1115" i="2" s="1"/>
  <c r="L1116" i="2"/>
  <c r="N1116" i="2" s="1"/>
  <c r="L1117" i="2"/>
  <c r="N1117" i="2" s="1"/>
  <c r="L1118" i="2"/>
  <c r="N1118" i="2" s="1"/>
  <c r="L1119" i="2"/>
  <c r="N1119" i="2" s="1"/>
  <c r="L1120" i="2"/>
  <c r="N1120" i="2" s="1"/>
  <c r="L1121" i="2"/>
  <c r="N1121" i="2" s="1"/>
  <c r="L1122" i="2"/>
  <c r="N1122" i="2" s="1"/>
  <c r="L1123" i="2"/>
  <c r="N1123" i="2" s="1"/>
  <c r="L1124" i="2"/>
  <c r="N1124" i="2" s="1"/>
  <c r="L1125" i="2"/>
  <c r="N1125" i="2" s="1"/>
  <c r="L1126" i="2"/>
  <c r="N1126" i="2" s="1"/>
  <c r="L1127" i="2"/>
  <c r="N1127" i="2" s="1"/>
  <c r="L1128" i="2"/>
  <c r="N1128" i="2" s="1"/>
  <c r="L1129" i="2"/>
  <c r="N1129" i="2" s="1"/>
  <c r="L1130" i="2"/>
  <c r="N1130" i="2" s="1"/>
  <c r="L1131" i="2"/>
  <c r="N1131" i="2" s="1"/>
  <c r="L1132" i="2"/>
  <c r="N1132" i="2" s="1"/>
  <c r="L1133" i="2"/>
  <c r="N1133" i="2" s="1"/>
  <c r="L1134" i="2"/>
  <c r="N1134" i="2" s="1"/>
  <c r="L1135" i="2"/>
  <c r="N1135" i="2" s="1"/>
  <c r="L1136" i="2"/>
  <c r="N1136" i="2" s="1"/>
  <c r="L1137" i="2"/>
  <c r="N1137" i="2" s="1"/>
  <c r="L1138" i="2"/>
  <c r="N1138" i="2" s="1"/>
  <c r="L1139" i="2"/>
  <c r="N1139" i="2" s="1"/>
  <c r="L1140" i="2"/>
  <c r="N1140" i="2" s="1"/>
  <c r="L1141" i="2"/>
  <c r="N1141" i="2" s="1"/>
  <c r="L1142" i="2"/>
  <c r="N1142" i="2" s="1"/>
  <c r="L1143" i="2"/>
  <c r="N1143" i="2" s="1"/>
  <c r="L1144" i="2"/>
  <c r="N1144" i="2" s="1"/>
  <c r="L1145" i="2"/>
  <c r="N1145" i="2" s="1"/>
  <c r="L1146" i="2"/>
  <c r="N1146" i="2" s="1"/>
  <c r="L1147" i="2"/>
  <c r="N1147" i="2" s="1"/>
  <c r="L1148" i="2"/>
  <c r="N1148" i="2" s="1"/>
  <c r="L1149" i="2"/>
  <c r="N1149" i="2" s="1"/>
  <c r="L1150" i="2"/>
  <c r="N1150" i="2" s="1"/>
  <c r="L1151" i="2"/>
  <c r="N1151" i="2" s="1"/>
  <c r="L1152" i="2"/>
  <c r="N1152" i="2" s="1"/>
  <c r="L1153" i="2"/>
  <c r="N1153" i="2" s="1"/>
  <c r="L1154" i="2"/>
  <c r="N1154" i="2" s="1"/>
  <c r="L1155" i="2"/>
  <c r="N1155" i="2" s="1"/>
  <c r="L1156" i="2"/>
  <c r="N1156" i="2" s="1"/>
  <c r="L1157" i="2"/>
  <c r="N1157" i="2" s="1"/>
  <c r="L1158" i="2"/>
  <c r="N1158" i="2" s="1"/>
  <c r="L1159" i="2"/>
  <c r="N1159" i="2" s="1"/>
  <c r="L1160" i="2"/>
  <c r="N1160" i="2" s="1"/>
  <c r="L1161" i="2"/>
  <c r="N1161" i="2" s="1"/>
  <c r="L1162" i="2"/>
  <c r="N1162" i="2" s="1"/>
  <c r="L1163" i="2"/>
  <c r="N1163" i="2" s="1"/>
  <c r="L1164" i="2"/>
  <c r="N1164" i="2" s="1"/>
  <c r="L1165" i="2"/>
  <c r="N1165" i="2" s="1"/>
  <c r="L1166" i="2"/>
  <c r="N1166" i="2" s="1"/>
  <c r="L1167" i="2"/>
  <c r="N1167" i="2" s="1"/>
  <c r="L1168" i="2"/>
  <c r="N1168" i="2" s="1"/>
  <c r="L1169" i="2"/>
  <c r="N1169" i="2" s="1"/>
  <c r="L1170" i="2"/>
  <c r="N1170" i="2" s="1"/>
  <c r="L1171" i="2"/>
  <c r="N1171" i="2" s="1"/>
  <c r="L1172" i="2"/>
  <c r="N1172" i="2" s="1"/>
  <c r="L1173" i="2"/>
  <c r="N1173" i="2" s="1"/>
  <c r="L1174" i="2"/>
  <c r="N1174" i="2" s="1"/>
  <c r="L1175" i="2"/>
  <c r="N1175" i="2" s="1"/>
  <c r="L1176" i="2"/>
  <c r="N1176" i="2" s="1"/>
  <c r="L1177" i="2"/>
  <c r="N1177" i="2" s="1"/>
  <c r="L1178" i="2"/>
  <c r="N1178" i="2" s="1"/>
  <c r="L1179" i="2"/>
  <c r="N1179" i="2" s="1"/>
  <c r="L1180" i="2"/>
  <c r="N1180" i="2" s="1"/>
  <c r="L1181" i="2"/>
  <c r="N1181" i="2" s="1"/>
  <c r="L1182" i="2"/>
  <c r="N1182" i="2" s="1"/>
  <c r="L1183" i="2"/>
  <c r="N1183" i="2" s="1"/>
  <c r="L1184" i="2"/>
  <c r="N1184" i="2" s="1"/>
  <c r="L1185" i="2"/>
  <c r="N1185" i="2" s="1"/>
  <c r="L1186" i="2"/>
  <c r="N1186" i="2" s="1"/>
  <c r="L1187" i="2"/>
  <c r="N1187" i="2" s="1"/>
  <c r="L1188" i="2"/>
  <c r="N1188" i="2" s="1"/>
  <c r="L1189" i="2"/>
  <c r="N1189" i="2" s="1"/>
  <c r="L1190" i="2"/>
  <c r="N1190" i="2" s="1"/>
  <c r="L1191" i="2"/>
  <c r="N1191" i="2" s="1"/>
  <c r="L1192" i="2"/>
  <c r="N1192" i="2" s="1"/>
  <c r="L1193" i="2"/>
  <c r="N1193" i="2" s="1"/>
  <c r="L1194" i="2"/>
  <c r="N1194" i="2" s="1"/>
  <c r="L1195" i="2"/>
  <c r="N1195" i="2" s="1"/>
  <c r="L1196" i="2"/>
  <c r="N1196" i="2" s="1"/>
  <c r="L1197" i="2"/>
  <c r="N1197" i="2" s="1"/>
  <c r="L1198" i="2"/>
  <c r="N1198" i="2" s="1"/>
  <c r="L1199" i="2"/>
  <c r="N1199" i="2" s="1"/>
  <c r="L1200" i="2"/>
  <c r="N1200" i="2" s="1"/>
  <c r="L1201" i="2"/>
  <c r="N1201" i="2" s="1"/>
  <c r="L2" i="2"/>
  <c r="N2" i="2" s="1"/>
  <c r="M737" i="2" l="1"/>
  <c r="O737" i="2" s="1"/>
  <c r="M447" i="2"/>
  <c r="M279" i="2"/>
  <c r="M1045" i="2"/>
  <c r="M589" i="2"/>
  <c r="M805" i="2"/>
  <c r="M344" i="2"/>
  <c r="O344" i="2" s="1"/>
  <c r="M941" i="2"/>
  <c r="M605" i="2"/>
  <c r="M437" i="2"/>
  <c r="M317" i="2"/>
  <c r="P447" i="2"/>
  <c r="M1181" i="2"/>
  <c r="M956" i="2"/>
  <c r="O956" i="2" s="1"/>
  <c r="M788" i="2"/>
  <c r="O788" i="2" s="1"/>
  <c r="M485" i="2"/>
  <c r="O485" i="2" s="1"/>
  <c r="M181" i="2"/>
  <c r="O181" i="2" s="1"/>
  <c r="M916" i="2"/>
  <c r="O916" i="2" s="1"/>
  <c r="M868" i="2"/>
  <c r="P589" i="2"/>
  <c r="M1165" i="2"/>
  <c r="M953" i="2"/>
  <c r="M483" i="2"/>
  <c r="O483" i="2" s="1"/>
  <c r="M329" i="2"/>
  <c r="M170" i="2"/>
  <c r="M963" i="2"/>
  <c r="M949" i="2"/>
  <c r="M482" i="2"/>
  <c r="M434" i="2"/>
  <c r="O434" i="2" s="1"/>
  <c r="M386" i="2"/>
  <c r="O386" i="2" s="1"/>
  <c r="M50" i="2"/>
  <c r="O50" i="2" s="1"/>
  <c r="M121" i="2"/>
  <c r="O121" i="2" s="1"/>
  <c r="P829" i="2"/>
  <c r="M829" i="2" s="1"/>
  <c r="O829" i="2" s="1"/>
  <c r="M1148" i="2"/>
  <c r="O1148" i="2" s="1"/>
  <c r="M934" i="2"/>
  <c r="O934" i="2" s="1"/>
  <c r="M774" i="2"/>
  <c r="M613" i="2"/>
  <c r="M473" i="2"/>
  <c r="M325" i="2"/>
  <c r="O325" i="2" s="1"/>
  <c r="P1045" i="2"/>
  <c r="P737" i="2"/>
  <c r="M1138" i="2"/>
  <c r="M759" i="2"/>
  <c r="O759" i="2" s="1"/>
  <c r="M460" i="2"/>
  <c r="O460" i="2" s="1"/>
  <c r="M1054" i="2"/>
  <c r="P434" i="2"/>
  <c r="P122" i="2"/>
  <c r="M122" i="2" s="1"/>
  <c r="O122" i="2" s="1"/>
  <c r="M757" i="2"/>
  <c r="O757" i="2" s="1"/>
  <c r="M905" i="2"/>
  <c r="M449" i="2"/>
  <c r="M281" i="2"/>
  <c r="M1106" i="2"/>
  <c r="M904" i="2"/>
  <c r="M746" i="2"/>
  <c r="O746" i="2" s="1"/>
  <c r="M577" i="2"/>
  <c r="O577" i="2" s="1"/>
  <c r="M280" i="2"/>
  <c r="O280" i="2" s="1"/>
  <c r="M130" i="2"/>
  <c r="O130" i="2" s="1"/>
  <c r="M1147" i="2"/>
  <c r="P484" i="2"/>
  <c r="M484" i="2" s="1"/>
  <c r="O484" i="2" s="1"/>
  <c r="P344" i="2"/>
  <c r="P279" i="2"/>
  <c r="P50" i="2"/>
  <c r="M1090" i="2"/>
  <c r="M894" i="2"/>
  <c r="M425" i="2"/>
  <c r="O425" i="2" s="1"/>
  <c r="M124" i="2"/>
  <c r="P1035" i="2"/>
  <c r="M1035" i="2" s="1"/>
  <c r="O1035" i="2" s="1"/>
  <c r="P722" i="2"/>
  <c r="M722" i="2" s="1"/>
  <c r="O722" i="2" s="1"/>
  <c r="P421" i="2"/>
  <c r="M421" i="2" s="1"/>
  <c r="O421" i="2" s="1"/>
  <c r="M123" i="2"/>
  <c r="P41" i="2"/>
  <c r="M41" i="2" s="1"/>
  <c r="O41" i="2" s="1"/>
  <c r="M881" i="2"/>
  <c r="M1193" i="2"/>
  <c r="P805" i="2"/>
  <c r="M448" i="2"/>
  <c r="P891" i="2"/>
  <c r="M891" i="2" s="1"/>
  <c r="O891" i="2" s="1"/>
  <c r="P188" i="2"/>
  <c r="M188" i="2" s="1"/>
  <c r="O188" i="2" s="1"/>
  <c r="M1058" i="2"/>
  <c r="M728" i="2"/>
  <c r="O728" i="2" s="1"/>
  <c r="M412" i="2"/>
  <c r="O412" i="2" s="1"/>
  <c r="M246" i="2"/>
  <c r="O246" i="2" s="1"/>
  <c r="P266" i="2"/>
  <c r="M266" i="2" s="1"/>
  <c r="O266" i="2" s="1"/>
  <c r="M877" i="2"/>
  <c r="M724" i="2"/>
  <c r="M410" i="2"/>
  <c r="M85" i="2"/>
  <c r="M422" i="2"/>
  <c r="O422" i="2" s="1"/>
  <c r="P411" i="2"/>
  <c r="M411" i="2" s="1"/>
  <c r="O411" i="2" s="1"/>
  <c r="M538" i="2"/>
  <c r="O538" i="2" s="1"/>
  <c r="M233" i="2"/>
  <c r="O233" i="2" s="1"/>
  <c r="M1189" i="2"/>
  <c r="M685" i="2"/>
  <c r="M565" i="2"/>
  <c r="M301" i="2"/>
  <c r="M109" i="2"/>
  <c r="P469" i="2"/>
  <c r="M469" i="2" s="1"/>
  <c r="O469" i="2" s="1"/>
  <c r="M709" i="2"/>
  <c r="M1164" i="2"/>
  <c r="O1164" i="2" s="1"/>
  <c r="M228" i="2"/>
  <c r="O228" i="2" s="1"/>
  <c r="M1019" i="2"/>
  <c r="O1019" i="2" s="1"/>
  <c r="P541" i="2"/>
  <c r="M541" i="2" s="1"/>
  <c r="O541" i="2" s="1"/>
  <c r="M1033" i="2"/>
  <c r="M809" i="2"/>
  <c r="M697" i="2"/>
  <c r="M534" i="2"/>
  <c r="O534" i="2" s="1"/>
  <c r="M385" i="2"/>
  <c r="M706" i="2"/>
  <c r="M202" i="2"/>
  <c r="O202" i="2" s="1"/>
  <c r="M1011" i="2"/>
  <c r="M209" i="2"/>
  <c r="O209" i="2" s="1"/>
  <c r="M609" i="2"/>
  <c r="O609" i="2" s="1"/>
  <c r="P685" i="2"/>
  <c r="P682" i="2"/>
  <c r="M682" i="2" s="1"/>
  <c r="O682" i="2" s="1"/>
  <c r="P386" i="2"/>
  <c r="M988" i="2"/>
  <c r="M802" i="2"/>
  <c r="M665" i="2"/>
  <c r="M510" i="2"/>
  <c r="P521" i="2"/>
  <c r="M521" i="2" s="1"/>
  <c r="O521" i="2" s="1"/>
  <c r="M986" i="2"/>
  <c r="M800" i="2"/>
  <c r="O800" i="2" s="1"/>
  <c r="M661" i="2"/>
  <c r="O661" i="2" s="1"/>
  <c r="M509" i="2"/>
  <c r="O509" i="2" s="1"/>
  <c r="M40" i="2"/>
  <c r="O40" i="2" s="1"/>
  <c r="M942" i="2"/>
  <c r="M870" i="2"/>
  <c r="M78" i="2"/>
  <c r="P998" i="2"/>
  <c r="M998" i="2" s="1"/>
  <c r="O998" i="2" s="1"/>
  <c r="P770" i="2"/>
  <c r="M770" i="2" s="1"/>
  <c r="O770" i="2" s="1"/>
  <c r="M652" i="2"/>
  <c r="O652" i="2" s="1"/>
  <c r="M183" i="2"/>
  <c r="M39" i="2"/>
  <c r="O39" i="2" s="1"/>
  <c r="M1079" i="2"/>
  <c r="O1079" i="2" s="1"/>
  <c r="M982" i="2"/>
  <c r="O982" i="2" s="1"/>
  <c r="M1197" i="2"/>
  <c r="M93" i="2"/>
  <c r="O93" i="2" s="1"/>
  <c r="M19" i="2"/>
  <c r="O19" i="2" s="1"/>
  <c r="M1050" i="2"/>
  <c r="O1050" i="2" s="1"/>
  <c r="M1020" i="2"/>
  <c r="O1020" i="2" s="1"/>
  <c r="M105" i="2"/>
  <c r="O105" i="2" s="1"/>
  <c r="M488" i="2"/>
  <c r="O488" i="2" s="1"/>
  <c r="P1178" i="2"/>
  <c r="M1178" i="2" s="1"/>
  <c r="P1130" i="2"/>
  <c r="M1130" i="2" s="1"/>
  <c r="O1130" i="2" s="1"/>
  <c r="P1082" i="2"/>
  <c r="M1082" i="2" s="1"/>
  <c r="O1082" i="2" s="1"/>
  <c r="M938" i="2"/>
  <c r="P890" i="2"/>
  <c r="M890" i="2"/>
  <c r="O890" i="2" s="1"/>
  <c r="P866" i="2"/>
  <c r="M866" i="2" s="1"/>
  <c r="O866" i="2" s="1"/>
  <c r="P818" i="2"/>
  <c r="M818" i="2" s="1"/>
  <c r="O818" i="2" s="1"/>
  <c r="M794" i="2"/>
  <c r="O794" i="2" s="1"/>
  <c r="P674" i="2"/>
  <c r="M674" i="2" s="1"/>
  <c r="O674" i="2" s="1"/>
  <c r="P650" i="2"/>
  <c r="M650" i="2" s="1"/>
  <c r="O650" i="2" s="1"/>
  <c r="M602" i="2"/>
  <c r="P578" i="2"/>
  <c r="M578" i="2" s="1"/>
  <c r="P506" i="2"/>
  <c r="M506" i="2" s="1"/>
  <c r="O506" i="2" s="1"/>
  <c r="P458" i="2"/>
  <c r="M458" i="2"/>
  <c r="O458" i="2" s="1"/>
  <c r="M218" i="2"/>
  <c r="P146" i="2"/>
  <c r="M146" i="2" s="1"/>
  <c r="O146" i="2" s="1"/>
  <c r="P98" i="2"/>
  <c r="M98" i="2"/>
  <c r="O98" i="2" s="1"/>
  <c r="P74" i="2"/>
  <c r="M74" i="2" s="1"/>
  <c r="O74" i="2" s="1"/>
  <c r="P26" i="2"/>
  <c r="M26" i="2" s="1"/>
  <c r="O26" i="2" s="1"/>
  <c r="P910" i="2"/>
  <c r="M910" i="2" s="1"/>
  <c r="O910" i="2" s="1"/>
  <c r="P695" i="2"/>
  <c r="M695" i="2" s="1"/>
  <c r="O695" i="2" s="1"/>
  <c r="P105" i="2"/>
  <c r="M1116" i="2"/>
  <c r="O1116" i="2" s="1"/>
  <c r="M1068" i="2"/>
  <c r="O1068" i="2" s="1"/>
  <c r="M858" i="2"/>
  <c r="O858" i="2" s="1"/>
  <c r="M705" i="2"/>
  <c r="O705" i="2" s="1"/>
  <c r="M435" i="2"/>
  <c r="O435" i="2" s="1"/>
  <c r="M371" i="2"/>
  <c r="O371" i="2" s="1"/>
  <c r="M254" i="2"/>
  <c r="O254" i="2" s="1"/>
  <c r="P1153" i="2"/>
  <c r="M1153" i="2" s="1"/>
  <c r="O1153" i="2" s="1"/>
  <c r="M1129" i="2"/>
  <c r="M1105" i="2"/>
  <c r="O1105" i="2" s="1"/>
  <c r="P1105" i="2"/>
  <c r="P1081" i="2"/>
  <c r="M1081" i="2" s="1"/>
  <c r="P1057" i="2"/>
  <c r="M1057" i="2" s="1"/>
  <c r="O1057" i="2" s="1"/>
  <c r="M913" i="2"/>
  <c r="O913" i="2" s="1"/>
  <c r="M889" i="2"/>
  <c r="O889" i="2" s="1"/>
  <c r="P865" i="2"/>
  <c r="M865" i="2" s="1"/>
  <c r="O865" i="2" s="1"/>
  <c r="P817" i="2"/>
  <c r="M817" i="2" s="1"/>
  <c r="O817" i="2" s="1"/>
  <c r="M793" i="2"/>
  <c r="O793" i="2" s="1"/>
  <c r="M769" i="2"/>
  <c r="O769" i="2" s="1"/>
  <c r="P745" i="2"/>
  <c r="M745" i="2" s="1"/>
  <c r="O745" i="2" s="1"/>
  <c r="M673" i="2"/>
  <c r="P649" i="2"/>
  <c r="M649" i="2" s="1"/>
  <c r="O649" i="2" s="1"/>
  <c r="P625" i="2"/>
  <c r="M625" i="2" s="1"/>
  <c r="O625" i="2" s="1"/>
  <c r="M601" i="2"/>
  <c r="O601" i="2" s="1"/>
  <c r="M529" i="2"/>
  <c r="O529" i="2" s="1"/>
  <c r="M505" i="2"/>
  <c r="O505" i="2" s="1"/>
  <c r="P505" i="2"/>
  <c r="M481" i="2"/>
  <c r="O481" i="2" s="1"/>
  <c r="M457" i="2"/>
  <c r="O457" i="2" s="1"/>
  <c r="P433" i="2"/>
  <c r="M433" i="2" s="1"/>
  <c r="P361" i="2"/>
  <c r="M361" i="2" s="1"/>
  <c r="O361" i="2" s="1"/>
  <c r="P337" i="2"/>
  <c r="M337" i="2" s="1"/>
  <c r="M313" i="2"/>
  <c r="O313" i="2" s="1"/>
  <c r="P241" i="2"/>
  <c r="M241" i="2" s="1"/>
  <c r="O241" i="2" s="1"/>
  <c r="P217" i="2"/>
  <c r="M217" i="2" s="1"/>
  <c r="O217" i="2" s="1"/>
  <c r="M193" i="2"/>
  <c r="M169" i="2"/>
  <c r="M97" i="2"/>
  <c r="P73" i="2"/>
  <c r="M73" i="2" s="1"/>
  <c r="O73" i="2" s="1"/>
  <c r="P49" i="2"/>
  <c r="M49" i="2" s="1"/>
  <c r="O49" i="2" s="1"/>
  <c r="P1201" i="2"/>
  <c r="M1201" i="2" s="1"/>
  <c r="O1201" i="2" s="1"/>
  <c r="P983" i="2"/>
  <c r="M983" i="2" s="1"/>
  <c r="O983" i="2" s="1"/>
  <c r="P944" i="2"/>
  <c r="M944" i="2" s="1"/>
  <c r="P909" i="2"/>
  <c r="M909" i="2" s="1"/>
  <c r="O909" i="2" s="1"/>
  <c r="P488" i="2"/>
  <c r="P276" i="2"/>
  <c r="M276" i="2" s="1"/>
  <c r="O276" i="2" s="1"/>
  <c r="P145" i="2"/>
  <c r="M145" i="2" s="1"/>
  <c r="O145" i="2" s="1"/>
  <c r="M1115" i="2"/>
  <c r="O1115" i="2" s="1"/>
  <c r="M1067" i="2"/>
  <c r="O1067" i="2" s="1"/>
  <c r="M1013" i="2"/>
  <c r="M962" i="2"/>
  <c r="M804" i="2"/>
  <c r="O804" i="2" s="1"/>
  <c r="M754" i="2"/>
  <c r="O754" i="2" s="1"/>
  <c r="M700" i="2"/>
  <c r="M647" i="2"/>
  <c r="O647" i="2" s="1"/>
  <c r="M540" i="2"/>
  <c r="M370" i="2"/>
  <c r="O370" i="2" s="1"/>
  <c r="M201" i="2"/>
  <c r="O201" i="2" s="1"/>
  <c r="P1128" i="2"/>
  <c r="M1128" i="2" s="1"/>
  <c r="P1080" i="2"/>
  <c r="M1080" i="2" s="1"/>
  <c r="O1080" i="2" s="1"/>
  <c r="M1056" i="2"/>
  <c r="O1056" i="2" s="1"/>
  <c r="P1056" i="2"/>
  <c r="P1032" i="2"/>
  <c r="M1032" i="2" s="1"/>
  <c r="O1032" i="2" s="1"/>
  <c r="P1008" i="2"/>
  <c r="M1008" i="2"/>
  <c r="O1008" i="2" s="1"/>
  <c r="M960" i="2"/>
  <c r="M912" i="2"/>
  <c r="O912" i="2" s="1"/>
  <c r="M816" i="2"/>
  <c r="O816" i="2" s="1"/>
  <c r="M792" i="2"/>
  <c r="O792" i="2" s="1"/>
  <c r="M648" i="2"/>
  <c r="O648" i="2" s="1"/>
  <c r="P624" i="2"/>
  <c r="M624" i="2" s="1"/>
  <c r="O624" i="2" s="1"/>
  <c r="M528" i="2"/>
  <c r="O528" i="2" s="1"/>
  <c r="M504" i="2"/>
  <c r="O504" i="2" s="1"/>
  <c r="P480" i="2"/>
  <c r="M480" i="2" s="1"/>
  <c r="P456" i="2"/>
  <c r="M456" i="2" s="1"/>
  <c r="O456" i="2" s="1"/>
  <c r="M336" i="2"/>
  <c r="O336" i="2" s="1"/>
  <c r="M192" i="2"/>
  <c r="M168" i="2"/>
  <c r="O168" i="2" s="1"/>
  <c r="P144" i="2"/>
  <c r="M144" i="2" s="1"/>
  <c r="P48" i="2"/>
  <c r="M48" i="2" s="1"/>
  <c r="O48" i="2" s="1"/>
  <c r="P1200" i="2"/>
  <c r="M1200" i="2" s="1"/>
  <c r="O1200" i="2" s="1"/>
  <c r="P1020" i="2"/>
  <c r="P982" i="2"/>
  <c r="M753" i="2"/>
  <c r="M646" i="2"/>
  <c r="M590" i="2"/>
  <c r="O590" i="2" s="1"/>
  <c r="M431" i="2"/>
  <c r="M369" i="2"/>
  <c r="O369" i="2" s="1"/>
  <c r="M252" i="2"/>
  <c r="O252" i="2" s="1"/>
  <c r="M132" i="2"/>
  <c r="O132" i="2" s="1"/>
  <c r="P1103" i="2"/>
  <c r="M1103" i="2" s="1"/>
  <c r="O1103" i="2" s="1"/>
  <c r="P1055" i="2"/>
  <c r="M1055" i="2" s="1"/>
  <c r="O1055" i="2" s="1"/>
  <c r="P1031" i="2"/>
  <c r="M1031" i="2" s="1"/>
  <c r="O1031" i="2" s="1"/>
  <c r="P1007" i="2"/>
  <c r="M1007" i="2" s="1"/>
  <c r="P959" i="2"/>
  <c r="M959" i="2" s="1"/>
  <c r="O959" i="2" s="1"/>
  <c r="P935" i="2"/>
  <c r="M935" i="2" s="1"/>
  <c r="O935" i="2" s="1"/>
  <c r="M863" i="2"/>
  <c r="O863" i="2" s="1"/>
  <c r="P815" i="2"/>
  <c r="M815" i="2" s="1"/>
  <c r="O815" i="2" s="1"/>
  <c r="P623" i="2"/>
  <c r="M623" i="2" s="1"/>
  <c r="O623" i="2" s="1"/>
  <c r="P599" i="2"/>
  <c r="M599" i="2"/>
  <c r="M527" i="2"/>
  <c r="P503" i="2"/>
  <c r="M503" i="2" s="1"/>
  <c r="O503" i="2" s="1"/>
  <c r="P479" i="2"/>
  <c r="M479" i="2" s="1"/>
  <c r="O479" i="2" s="1"/>
  <c r="M455" i="2"/>
  <c r="P383" i="2"/>
  <c r="M383" i="2" s="1"/>
  <c r="O383" i="2" s="1"/>
  <c r="P335" i="2"/>
  <c r="M335" i="2"/>
  <c r="O335" i="2" s="1"/>
  <c r="P311" i="2"/>
  <c r="M311" i="2" s="1"/>
  <c r="O311" i="2" s="1"/>
  <c r="M191" i="2"/>
  <c r="O191" i="2" s="1"/>
  <c r="P191" i="2"/>
  <c r="M143" i="2"/>
  <c r="O143" i="2" s="1"/>
  <c r="P119" i="2"/>
  <c r="M119" i="2" s="1"/>
  <c r="P1199" i="2"/>
  <c r="M1199" i="2" s="1"/>
  <c r="P1127" i="2"/>
  <c r="M1127" i="2" s="1"/>
  <c r="O1127" i="2" s="1"/>
  <c r="M71" i="2"/>
  <c r="P1078" i="2"/>
  <c r="M1078" i="2" s="1"/>
  <c r="O1078" i="2" s="1"/>
  <c r="P1030" i="2"/>
  <c r="M1030" i="2" s="1"/>
  <c r="O1030" i="2" s="1"/>
  <c r="M886" i="2"/>
  <c r="O886" i="2" s="1"/>
  <c r="P742" i="2"/>
  <c r="M742" i="2" s="1"/>
  <c r="O742" i="2" s="1"/>
  <c r="P718" i="2"/>
  <c r="M718" i="2" s="1"/>
  <c r="O718" i="2" s="1"/>
  <c r="M598" i="2"/>
  <c r="O598" i="2" s="1"/>
  <c r="M526" i="2"/>
  <c r="O526" i="2" s="1"/>
  <c r="P430" i="2"/>
  <c r="M430" i="2" s="1"/>
  <c r="M334" i="2"/>
  <c r="P310" i="2"/>
  <c r="M310" i="2"/>
  <c r="O310" i="2" s="1"/>
  <c r="P238" i="2"/>
  <c r="M238" i="2"/>
  <c r="O238" i="2" s="1"/>
  <c r="M166" i="2"/>
  <c r="O166" i="2" s="1"/>
  <c r="M142" i="2"/>
  <c r="O142" i="2" s="1"/>
  <c r="P118" i="2"/>
  <c r="M118" i="2"/>
  <c r="O118" i="2" s="1"/>
  <c r="P70" i="2"/>
  <c r="M70" i="2" s="1"/>
  <c r="O70" i="2" s="1"/>
  <c r="P1198" i="2"/>
  <c r="M1198" i="2" s="1"/>
  <c r="O1198" i="2" s="1"/>
  <c r="P1126" i="2"/>
  <c r="M1126" i="2" s="1"/>
  <c r="O1126" i="2" s="1"/>
  <c r="P814" i="2"/>
  <c r="M814" i="2" s="1"/>
  <c r="O814" i="2" s="1"/>
  <c r="P732" i="2"/>
  <c r="M732" i="2" s="1"/>
  <c r="O732" i="2" s="1"/>
  <c r="M1152" i="2"/>
  <c r="O1152" i="2" s="1"/>
  <c r="M849" i="2"/>
  <c r="O849" i="2" s="1"/>
  <c r="M801" i="2"/>
  <c r="M588" i="2"/>
  <c r="O588" i="2" s="1"/>
  <c r="M478" i="2"/>
  <c r="O478" i="2" s="1"/>
  <c r="M190" i="2"/>
  <c r="O190" i="2" s="1"/>
  <c r="M69" i="2"/>
  <c r="O69" i="2" s="1"/>
  <c r="M1053" i="2"/>
  <c r="P1053" i="2"/>
  <c r="P1005" i="2"/>
  <c r="M1005" i="2" s="1"/>
  <c r="M861" i="2"/>
  <c r="M765" i="2"/>
  <c r="O765" i="2" s="1"/>
  <c r="P717" i="2"/>
  <c r="M717" i="2" s="1"/>
  <c r="O717" i="2" s="1"/>
  <c r="M693" i="2"/>
  <c r="O693" i="2" s="1"/>
  <c r="P597" i="2"/>
  <c r="M597" i="2" s="1"/>
  <c r="O597" i="2" s="1"/>
  <c r="P573" i="2"/>
  <c r="M573" i="2" s="1"/>
  <c r="O573" i="2" s="1"/>
  <c r="P477" i="2"/>
  <c r="M477" i="2" s="1"/>
  <c r="O477" i="2" s="1"/>
  <c r="P429" i="2"/>
  <c r="M429" i="2" s="1"/>
  <c r="O429" i="2" s="1"/>
  <c r="M381" i="2"/>
  <c r="O381" i="2" s="1"/>
  <c r="P357" i="2"/>
  <c r="M357" i="2"/>
  <c r="O357" i="2" s="1"/>
  <c r="P309" i="2"/>
  <c r="M309" i="2" s="1"/>
  <c r="O309" i="2" s="1"/>
  <c r="P285" i="2"/>
  <c r="M285" i="2"/>
  <c r="M189" i="2"/>
  <c r="O189" i="2" s="1"/>
  <c r="M165" i="2"/>
  <c r="O165" i="2" s="1"/>
  <c r="M141" i="2"/>
  <c r="O141" i="2" s="1"/>
  <c r="P117" i="2"/>
  <c r="M117" i="2" s="1"/>
  <c r="O117" i="2" s="1"/>
  <c r="P21" i="2"/>
  <c r="M21" i="2" s="1"/>
  <c r="O21" i="2" s="1"/>
  <c r="P1197" i="2"/>
  <c r="P1125" i="2"/>
  <c r="M1125" i="2" s="1"/>
  <c r="P1092" i="2"/>
  <c r="M1092" i="2" s="1"/>
  <c r="O1092" i="2" s="1"/>
  <c r="P1050" i="2"/>
  <c r="P813" i="2"/>
  <c r="M813" i="2" s="1"/>
  <c r="O813" i="2" s="1"/>
  <c r="P393" i="2"/>
  <c r="M393" i="2" s="1"/>
  <c r="O393" i="2" s="1"/>
  <c r="P264" i="2"/>
  <c r="M264" i="2" s="1"/>
  <c r="O264" i="2" s="1"/>
  <c r="P186" i="2"/>
  <c r="M186" i="2" s="1"/>
  <c r="O186" i="2" s="1"/>
  <c r="P95" i="2"/>
  <c r="M95" i="2" s="1"/>
  <c r="O95" i="2" s="1"/>
  <c r="M1151" i="2"/>
  <c r="M744" i="2"/>
  <c r="M696" i="2"/>
  <c r="M306" i="2"/>
  <c r="O306" i="2" s="1"/>
  <c r="M249" i="2"/>
  <c r="O249" i="2" s="1"/>
  <c r="M129" i="2"/>
  <c r="O129" i="2" s="1"/>
  <c r="P1089" i="2"/>
  <c r="M1089" i="2" s="1"/>
  <c r="O1089" i="2" s="1"/>
  <c r="P972" i="2"/>
  <c r="M972" i="2" s="1"/>
  <c r="P561" i="2"/>
  <c r="M561" i="2" s="1"/>
  <c r="O561" i="2" s="1"/>
  <c r="P522" i="2"/>
  <c r="M522" i="2" s="1"/>
  <c r="O522" i="2" s="1"/>
  <c r="P263" i="2"/>
  <c r="M263" i="2" s="1"/>
  <c r="O263" i="2" s="1"/>
  <c r="P94" i="2"/>
  <c r="M94" i="2" s="1"/>
  <c r="O94" i="2" s="1"/>
  <c r="M1150" i="2"/>
  <c r="O1150" i="2" s="1"/>
  <c r="M1006" i="2"/>
  <c r="O1006" i="2" s="1"/>
  <c r="M525" i="2"/>
  <c r="O525" i="2" s="1"/>
  <c r="M474" i="2"/>
  <c r="M66" i="2"/>
  <c r="O66" i="2" s="1"/>
  <c r="M1195" i="2"/>
  <c r="O1195" i="2" s="1"/>
  <c r="M1123" i="2"/>
  <c r="M1051" i="2"/>
  <c r="O1051" i="2" s="1"/>
  <c r="P1027" i="2"/>
  <c r="M1027" i="2" s="1"/>
  <c r="O1027" i="2" s="1"/>
  <c r="P979" i="2"/>
  <c r="M979" i="2" s="1"/>
  <c r="O979" i="2" s="1"/>
  <c r="P931" i="2"/>
  <c r="M931" i="2" s="1"/>
  <c r="O931" i="2" s="1"/>
  <c r="M907" i="2"/>
  <c r="O907" i="2" s="1"/>
  <c r="M883" i="2"/>
  <c r="M859" i="2"/>
  <c r="P835" i="2"/>
  <c r="M835" i="2" s="1"/>
  <c r="O835" i="2" s="1"/>
  <c r="P811" i="2"/>
  <c r="M811" i="2" s="1"/>
  <c r="O811" i="2" s="1"/>
  <c r="M763" i="2"/>
  <c r="O763" i="2" s="1"/>
  <c r="M739" i="2"/>
  <c r="O739" i="2" s="1"/>
  <c r="P715" i="2"/>
  <c r="M715" i="2" s="1"/>
  <c r="O715" i="2" s="1"/>
  <c r="M691" i="2"/>
  <c r="P667" i="2"/>
  <c r="M667" i="2" s="1"/>
  <c r="O667" i="2" s="1"/>
  <c r="P595" i="2"/>
  <c r="M595" i="2" s="1"/>
  <c r="O595" i="2" s="1"/>
  <c r="P547" i="2"/>
  <c r="M547" i="2" s="1"/>
  <c r="O547" i="2" s="1"/>
  <c r="M523" i="2"/>
  <c r="O523" i="2" s="1"/>
  <c r="P499" i="2"/>
  <c r="M499" i="2" s="1"/>
  <c r="O499" i="2" s="1"/>
  <c r="P475" i="2"/>
  <c r="M475" i="2" s="1"/>
  <c r="O475" i="2" s="1"/>
  <c r="P451" i="2"/>
  <c r="M451" i="2" s="1"/>
  <c r="O451" i="2" s="1"/>
  <c r="P427" i="2"/>
  <c r="M427" i="2" s="1"/>
  <c r="O427" i="2" s="1"/>
  <c r="M403" i="2"/>
  <c r="O403" i="2" s="1"/>
  <c r="M379" i="2"/>
  <c r="O379" i="2" s="1"/>
  <c r="M355" i="2"/>
  <c r="O355" i="2" s="1"/>
  <c r="P307" i="2"/>
  <c r="M307" i="2" s="1"/>
  <c r="O307" i="2" s="1"/>
  <c r="P283" i="2"/>
  <c r="M283" i="2" s="1"/>
  <c r="O283" i="2" s="1"/>
  <c r="P235" i="2"/>
  <c r="M235" i="2" s="1"/>
  <c r="O235" i="2" s="1"/>
  <c r="P211" i="2"/>
  <c r="M211" i="2" s="1"/>
  <c r="M187" i="2"/>
  <c r="O187" i="2" s="1"/>
  <c r="M139" i="2"/>
  <c r="O139" i="2" s="1"/>
  <c r="P115" i="2"/>
  <c r="M115" i="2" s="1"/>
  <c r="O115" i="2" s="1"/>
  <c r="P91" i="2"/>
  <c r="M91" i="2" s="1"/>
  <c r="O91" i="2" s="1"/>
  <c r="P67" i="2"/>
  <c r="M67" i="2" s="1"/>
  <c r="O67" i="2" s="1"/>
  <c r="M43" i="2"/>
  <c r="P1122" i="2"/>
  <c r="M1122" i="2" s="1"/>
  <c r="P810" i="2"/>
  <c r="M810" i="2" s="1"/>
  <c r="O810" i="2" s="1"/>
  <c r="P768" i="2"/>
  <c r="M768" i="2" s="1"/>
  <c r="O768" i="2" s="1"/>
  <c r="P345" i="2"/>
  <c r="M345" i="2" s="1"/>
  <c r="O345" i="2" s="1"/>
  <c r="P262" i="2"/>
  <c r="M262" i="2" s="1"/>
  <c r="O262" i="2" s="1"/>
  <c r="P93" i="2"/>
  <c r="P47" i="2"/>
  <c r="M47" i="2" s="1"/>
  <c r="M1149" i="2"/>
  <c r="O1149" i="2" s="1"/>
  <c r="M1102" i="2"/>
  <c r="O1102" i="2" s="1"/>
  <c r="M790" i="2"/>
  <c r="O790" i="2" s="1"/>
  <c r="M694" i="2"/>
  <c r="O694" i="2" s="1"/>
  <c r="M360" i="2"/>
  <c r="O360" i="2" s="1"/>
  <c r="M1194" i="2"/>
  <c r="M1074" i="2"/>
  <c r="M1002" i="2"/>
  <c r="O1002" i="2" s="1"/>
  <c r="P1002" i="2"/>
  <c r="P978" i="2"/>
  <c r="M978" i="2" s="1"/>
  <c r="P954" i="2"/>
  <c r="M954" i="2" s="1"/>
  <c r="P882" i="2"/>
  <c r="M882" i="2" s="1"/>
  <c r="O882" i="2" s="1"/>
  <c r="P834" i="2"/>
  <c r="M834" i="2" s="1"/>
  <c r="O834" i="2" s="1"/>
  <c r="M738" i="2"/>
  <c r="M690" i="2"/>
  <c r="O690" i="2" s="1"/>
  <c r="M570" i="2"/>
  <c r="P546" i="2"/>
  <c r="M546" i="2" s="1"/>
  <c r="O546" i="2" s="1"/>
  <c r="P450" i="2"/>
  <c r="M450" i="2"/>
  <c r="O450" i="2" s="1"/>
  <c r="M402" i="2"/>
  <c r="O402" i="2" s="1"/>
  <c r="P258" i="2"/>
  <c r="M258" i="2" s="1"/>
  <c r="O258" i="2" s="1"/>
  <c r="P162" i="2"/>
  <c r="M162" i="2" s="1"/>
  <c r="O162" i="2" s="1"/>
  <c r="M138" i="2"/>
  <c r="O138" i="2" s="1"/>
  <c r="P90" i="2"/>
  <c r="M90" i="2" s="1"/>
  <c r="O90" i="2" s="1"/>
  <c r="P767" i="2"/>
  <c r="M767" i="2" s="1"/>
  <c r="O767" i="2" s="1"/>
  <c r="P643" i="2"/>
  <c r="M643" i="2" s="1"/>
  <c r="O643" i="2" s="1"/>
  <c r="P598" i="2"/>
  <c r="P261" i="2"/>
  <c r="M261" i="2" s="1"/>
  <c r="P46" i="2"/>
  <c r="M46" i="2" s="1"/>
  <c r="O46" i="2" s="1"/>
  <c r="M1101" i="2"/>
  <c r="O1101" i="2" s="1"/>
  <c r="M945" i="2"/>
  <c r="O945" i="2" s="1"/>
  <c r="M840" i="2"/>
  <c r="O840" i="2" s="1"/>
  <c r="M789" i="2"/>
  <c r="M359" i="2"/>
  <c r="O359" i="2" s="1"/>
  <c r="M240" i="2"/>
  <c r="M1169" i="2"/>
  <c r="O1169" i="2" s="1"/>
  <c r="M1145" i="2"/>
  <c r="O1145" i="2" s="1"/>
  <c r="M1097" i="2"/>
  <c r="O1097" i="2" s="1"/>
  <c r="M1025" i="2"/>
  <c r="O1025" i="2" s="1"/>
  <c r="P1001" i="2"/>
  <c r="M1001" i="2"/>
  <c r="O1001" i="2" s="1"/>
  <c r="P977" i="2"/>
  <c r="M977" i="2" s="1"/>
  <c r="O977" i="2" s="1"/>
  <c r="M833" i="2"/>
  <c r="M785" i="2"/>
  <c r="O785" i="2" s="1"/>
  <c r="P785" i="2"/>
  <c r="P761" i="2"/>
  <c r="M761" i="2"/>
  <c r="O761" i="2" s="1"/>
  <c r="P713" i="2"/>
  <c r="M713" i="2"/>
  <c r="O713" i="2" s="1"/>
  <c r="P689" i="2"/>
  <c r="M689" i="2" s="1"/>
  <c r="O689" i="2" s="1"/>
  <c r="M617" i="2"/>
  <c r="M545" i="2"/>
  <c r="O545" i="2" s="1"/>
  <c r="M401" i="2"/>
  <c r="O401" i="2" s="1"/>
  <c r="P401" i="2"/>
  <c r="M353" i="2"/>
  <c r="O353" i="2" s="1"/>
  <c r="P185" i="2"/>
  <c r="M185" i="2"/>
  <c r="O185" i="2" s="1"/>
  <c r="M137" i="2"/>
  <c r="O137" i="2" s="1"/>
  <c r="M113" i="2"/>
  <c r="O113" i="2" s="1"/>
  <c r="P89" i="2"/>
  <c r="M89" i="2" s="1"/>
  <c r="O89" i="2" s="1"/>
  <c r="M17" i="2"/>
  <c r="P1154" i="2"/>
  <c r="M1154" i="2" s="1"/>
  <c r="O1154" i="2" s="1"/>
  <c r="P1085" i="2"/>
  <c r="M1085" i="2" s="1"/>
  <c r="O1085" i="2" s="1"/>
  <c r="P1046" i="2"/>
  <c r="M1046" i="2" s="1"/>
  <c r="O1046" i="2" s="1"/>
  <c r="P936" i="2"/>
  <c r="M936" i="2" s="1"/>
  <c r="O936" i="2" s="1"/>
  <c r="P889" i="2"/>
  <c r="P766" i="2"/>
  <c r="M766" i="2" s="1"/>
  <c r="O766" i="2" s="1"/>
  <c r="P642" i="2"/>
  <c r="M642" i="2" s="1"/>
  <c r="P432" i="2"/>
  <c r="M432" i="2" s="1"/>
  <c r="O432" i="2" s="1"/>
  <c r="P382" i="2"/>
  <c r="M382" i="2" s="1"/>
  <c r="O382" i="2" s="1"/>
  <c r="P259" i="2"/>
  <c r="M259" i="2" s="1"/>
  <c r="O259" i="2" s="1"/>
  <c r="P216" i="2"/>
  <c r="M216" i="2" s="1"/>
  <c r="O216" i="2" s="1"/>
  <c r="P176" i="2"/>
  <c r="M176" i="2" s="1"/>
  <c r="O176" i="2" s="1"/>
  <c r="P45" i="2"/>
  <c r="M45" i="2" s="1"/>
  <c r="O45" i="2" s="1"/>
  <c r="M892" i="2"/>
  <c r="O892" i="2" s="1"/>
  <c r="M839" i="2"/>
  <c r="O839" i="2" s="1"/>
  <c r="M684" i="2"/>
  <c r="M628" i="2"/>
  <c r="M575" i="2"/>
  <c r="M409" i="2"/>
  <c r="M358" i="2"/>
  <c r="O358" i="2" s="1"/>
  <c r="M239" i="2"/>
  <c r="O239" i="2" s="1"/>
  <c r="M1072" i="2"/>
  <c r="O1072" i="2" s="1"/>
  <c r="M760" i="2"/>
  <c r="O760" i="2" s="1"/>
  <c r="M616" i="2"/>
  <c r="O616" i="2" s="1"/>
  <c r="P933" i="2"/>
  <c r="M933" i="2" s="1"/>
  <c r="O933" i="2" s="1"/>
  <c r="P888" i="2"/>
  <c r="M888" i="2" s="1"/>
  <c r="O888" i="2" s="1"/>
  <c r="P765" i="2"/>
  <c r="P720" i="2"/>
  <c r="M720" i="2" s="1"/>
  <c r="P641" i="2"/>
  <c r="M641" i="2" s="1"/>
  <c r="O641" i="2" s="1"/>
  <c r="P514" i="2"/>
  <c r="M514" i="2" s="1"/>
  <c r="O514" i="2" s="1"/>
  <c r="P381" i="2"/>
  <c r="P257" i="2"/>
  <c r="M257" i="2" s="1"/>
  <c r="O257" i="2" s="1"/>
  <c r="P215" i="2"/>
  <c r="M215" i="2" s="1"/>
  <c r="O215" i="2" s="1"/>
  <c r="M1146" i="2"/>
  <c r="O1146" i="2" s="1"/>
  <c r="M1099" i="2"/>
  <c r="M996" i="2"/>
  <c r="M838" i="2"/>
  <c r="O838" i="2" s="1"/>
  <c r="M786" i="2"/>
  <c r="O786" i="2" s="1"/>
  <c r="M734" i="2"/>
  <c r="M683" i="2"/>
  <c r="M627" i="2"/>
  <c r="M574" i="2"/>
  <c r="M465" i="2"/>
  <c r="M408" i="2"/>
  <c r="M354" i="2"/>
  <c r="O354" i="2" s="1"/>
  <c r="M290" i="2"/>
  <c r="O290" i="2" s="1"/>
  <c r="M174" i="2"/>
  <c r="O174" i="2" s="1"/>
  <c r="M120" i="2"/>
  <c r="O120" i="2" s="1"/>
  <c r="M1191" i="2"/>
  <c r="O1191" i="2" s="1"/>
  <c r="M1167" i="2"/>
  <c r="O1167" i="2" s="1"/>
  <c r="M903" i="2"/>
  <c r="M831" i="2"/>
  <c r="O831" i="2" s="1"/>
  <c r="M255" i="2"/>
  <c r="O255" i="2" s="1"/>
  <c r="P1118" i="2"/>
  <c r="M1118" i="2" s="1"/>
  <c r="O1118" i="2" s="1"/>
  <c r="P1079" i="2"/>
  <c r="P1003" i="2"/>
  <c r="M1003" i="2" s="1"/>
  <c r="O1003" i="2" s="1"/>
  <c r="P887" i="2"/>
  <c r="M887" i="2" s="1"/>
  <c r="O887" i="2" s="1"/>
  <c r="P719" i="2"/>
  <c r="M719" i="2" s="1"/>
  <c r="O719" i="2" s="1"/>
  <c r="P214" i="2"/>
  <c r="M214" i="2" s="1"/>
  <c r="O214" i="2" s="1"/>
  <c r="P43" i="2"/>
  <c r="M1188" i="2"/>
  <c r="O1188" i="2" s="1"/>
  <c r="M837" i="2"/>
  <c r="O837" i="2" s="1"/>
  <c r="M626" i="2"/>
  <c r="O626" i="2" s="1"/>
  <c r="M516" i="2"/>
  <c r="M407" i="2"/>
  <c r="M173" i="2"/>
  <c r="P1190" i="2"/>
  <c r="M1190" i="2" s="1"/>
  <c r="O1190" i="2" s="1"/>
  <c r="M1094" i="2"/>
  <c r="M1070" i="2"/>
  <c r="O1070" i="2" s="1"/>
  <c r="M1022" i="2"/>
  <c r="P974" i="2"/>
  <c r="M974" i="2" s="1"/>
  <c r="O974" i="2" s="1"/>
  <c r="M950" i="2"/>
  <c r="O950" i="2" s="1"/>
  <c r="P950" i="2"/>
  <c r="M926" i="2"/>
  <c r="P902" i="2"/>
  <c r="M902" i="2" s="1"/>
  <c r="O902" i="2" s="1"/>
  <c r="M854" i="2"/>
  <c r="M782" i="2"/>
  <c r="M758" i="2"/>
  <c r="O758" i="2" s="1"/>
  <c r="P758" i="2"/>
  <c r="P686" i="2"/>
  <c r="M686" i="2" s="1"/>
  <c r="O686" i="2" s="1"/>
  <c r="P638" i="2"/>
  <c r="M638" i="2" s="1"/>
  <c r="O638" i="2" s="1"/>
  <c r="M614" i="2"/>
  <c r="P566" i="2"/>
  <c r="M566" i="2"/>
  <c r="O566" i="2" s="1"/>
  <c r="M542" i="2"/>
  <c r="O542" i="2" s="1"/>
  <c r="P518" i="2"/>
  <c r="M518" i="2" s="1"/>
  <c r="O518" i="2" s="1"/>
  <c r="M470" i="2"/>
  <c r="O470" i="2" s="1"/>
  <c r="P398" i="2"/>
  <c r="M398" i="2" s="1"/>
  <c r="O398" i="2" s="1"/>
  <c r="P374" i="2"/>
  <c r="M374" i="2" s="1"/>
  <c r="O374" i="2" s="1"/>
  <c r="P350" i="2"/>
  <c r="M350" i="2" s="1"/>
  <c r="O350" i="2" s="1"/>
  <c r="P302" i="2"/>
  <c r="M302" i="2" s="1"/>
  <c r="O302" i="2" s="1"/>
  <c r="P278" i="2"/>
  <c r="M278" i="2" s="1"/>
  <c r="O278" i="2" s="1"/>
  <c r="M230" i="2"/>
  <c r="O230" i="2" s="1"/>
  <c r="M182" i="2"/>
  <c r="P158" i="2"/>
  <c r="M158" i="2" s="1"/>
  <c r="O158" i="2" s="1"/>
  <c r="M134" i="2"/>
  <c r="P110" i="2"/>
  <c r="M110" i="2"/>
  <c r="P86" i="2"/>
  <c r="M86" i="2" s="1"/>
  <c r="O86" i="2" s="1"/>
  <c r="M62" i="2"/>
  <c r="O62" i="2" s="1"/>
  <c r="P62" i="2"/>
  <c r="M38" i="2"/>
  <c r="O38" i="2" s="1"/>
  <c r="M14" i="2"/>
  <c r="O14" i="2" s="1"/>
  <c r="P1077" i="2"/>
  <c r="M1077" i="2" s="1"/>
  <c r="O1077" i="2" s="1"/>
  <c r="P886" i="2"/>
  <c r="P763" i="2"/>
  <c r="P426" i="2"/>
  <c r="M426" i="2" s="1"/>
  <c r="O426" i="2" s="1"/>
  <c r="P379" i="2"/>
  <c r="P213" i="2"/>
  <c r="M213" i="2" s="1"/>
  <c r="P81" i="2"/>
  <c r="M81" i="2" s="1"/>
  <c r="O81" i="2" s="1"/>
  <c r="M1142" i="2"/>
  <c r="O1142" i="2" s="1"/>
  <c r="M681" i="2"/>
  <c r="O681" i="2" s="1"/>
  <c r="M622" i="2"/>
  <c r="O622" i="2" s="1"/>
  <c r="M406" i="2"/>
  <c r="O406" i="2" s="1"/>
  <c r="M288" i="2"/>
  <c r="O288" i="2" s="1"/>
  <c r="M108" i="2"/>
  <c r="O108" i="2" s="1"/>
  <c r="M1093" i="2"/>
  <c r="O1093" i="2" s="1"/>
  <c r="M853" i="2"/>
  <c r="O853" i="2" s="1"/>
  <c r="M373" i="2"/>
  <c r="M277" i="2"/>
  <c r="O277" i="2" s="1"/>
  <c r="P1185" i="2"/>
  <c r="M1185" i="2" s="1"/>
  <c r="O1185" i="2" s="1"/>
  <c r="P1075" i="2"/>
  <c r="M1075" i="2" s="1"/>
  <c r="P1042" i="2"/>
  <c r="M1042" i="2" s="1"/>
  <c r="O1042" i="2" s="1"/>
  <c r="P885" i="2"/>
  <c r="M885" i="2" s="1"/>
  <c r="O885" i="2" s="1"/>
  <c r="P762" i="2"/>
  <c r="M762" i="2" s="1"/>
  <c r="P714" i="2"/>
  <c r="M714" i="2" s="1"/>
  <c r="O714" i="2" s="1"/>
  <c r="P552" i="2"/>
  <c r="M552" i="2" s="1"/>
  <c r="O552" i="2" s="1"/>
  <c r="P378" i="2"/>
  <c r="M378" i="2" s="1"/>
  <c r="O378" i="2" s="1"/>
  <c r="P336" i="2"/>
  <c r="M777" i="2"/>
  <c r="M731" i="2"/>
  <c r="O731" i="2" s="1"/>
  <c r="M672" i="2"/>
  <c r="M621" i="2"/>
  <c r="O621" i="2" s="1"/>
  <c r="M405" i="2"/>
  <c r="M287" i="2"/>
  <c r="O287" i="2" s="1"/>
  <c r="M107" i="2"/>
  <c r="O107" i="2" s="1"/>
  <c r="P551" i="2"/>
  <c r="M551" i="2" s="1"/>
  <c r="O551" i="2" s="1"/>
  <c r="M1044" i="2"/>
  <c r="O1044" i="2" s="1"/>
  <c r="M852" i="2"/>
  <c r="O852" i="2" s="1"/>
  <c r="M708" i="2"/>
  <c r="O708" i="2" s="1"/>
  <c r="P636" i="2"/>
  <c r="M636" i="2" s="1"/>
  <c r="O636" i="2" s="1"/>
  <c r="M468" i="2"/>
  <c r="O468" i="2" s="1"/>
  <c r="P420" i="2"/>
  <c r="M420" i="2" s="1"/>
  <c r="O420" i="2" s="1"/>
  <c r="P300" i="2"/>
  <c r="M300" i="2" s="1"/>
  <c r="O300" i="2" s="1"/>
  <c r="M84" i="2"/>
  <c r="O84" i="2" s="1"/>
  <c r="P60" i="2"/>
  <c r="M60" i="2" s="1"/>
  <c r="O60" i="2" s="1"/>
  <c r="M1187" i="2"/>
  <c r="O1187" i="2" s="1"/>
  <c r="P1091" i="2"/>
  <c r="M1091" i="2" s="1"/>
  <c r="O1091" i="2" s="1"/>
  <c r="M1043" i="2"/>
  <c r="O1043" i="2" s="1"/>
  <c r="M995" i="2"/>
  <c r="M971" i="2"/>
  <c r="O971" i="2" s="1"/>
  <c r="P923" i="2"/>
  <c r="M923" i="2" s="1"/>
  <c r="O923" i="2" s="1"/>
  <c r="M899" i="2"/>
  <c r="P755" i="2"/>
  <c r="M755" i="2"/>
  <c r="O755" i="2" s="1"/>
  <c r="P611" i="2"/>
  <c r="M611" i="2" s="1"/>
  <c r="O611" i="2" s="1"/>
  <c r="P539" i="2"/>
  <c r="M539" i="2"/>
  <c r="O539" i="2" s="1"/>
  <c r="P491" i="2"/>
  <c r="M491" i="2" s="1"/>
  <c r="O491" i="2" s="1"/>
  <c r="P467" i="2"/>
  <c r="M467" i="2" s="1"/>
  <c r="O467" i="2" s="1"/>
  <c r="P419" i="2"/>
  <c r="M419" i="2"/>
  <c r="O419" i="2" s="1"/>
  <c r="P395" i="2"/>
  <c r="M395" i="2" s="1"/>
  <c r="O395" i="2" s="1"/>
  <c r="P323" i="2"/>
  <c r="M323" i="2"/>
  <c r="O323" i="2" s="1"/>
  <c r="P275" i="2"/>
  <c r="M275" i="2" s="1"/>
  <c r="O275" i="2" s="1"/>
  <c r="P179" i="2"/>
  <c r="M179" i="2" s="1"/>
  <c r="O179" i="2" s="1"/>
  <c r="P155" i="2"/>
  <c r="M155" i="2"/>
  <c r="P59" i="2"/>
  <c r="M59" i="2"/>
  <c r="P35" i="2"/>
  <c r="M35" i="2"/>
  <c r="O35" i="2" s="1"/>
  <c r="P11" i="2"/>
  <c r="M11" i="2"/>
  <c r="O11" i="2" s="1"/>
  <c r="P960" i="2"/>
  <c r="P710" i="2"/>
  <c r="M710" i="2" s="1"/>
  <c r="O710" i="2" s="1"/>
  <c r="P502" i="2"/>
  <c r="M502" i="2" s="1"/>
  <c r="O502" i="2" s="1"/>
  <c r="P206" i="2"/>
  <c r="M206" i="2" s="1"/>
  <c r="O206" i="2" s="1"/>
  <c r="P167" i="2"/>
  <c r="M167" i="2" s="1"/>
  <c r="O167" i="2" s="1"/>
  <c r="P33" i="2"/>
  <c r="M33" i="2" s="1"/>
  <c r="O33" i="2" s="1"/>
  <c r="M878" i="2"/>
  <c r="O878" i="2" s="1"/>
  <c r="M827" i="2"/>
  <c r="O827" i="2" s="1"/>
  <c r="M669" i="2"/>
  <c r="M618" i="2"/>
  <c r="O618" i="2" s="1"/>
  <c r="M1162" i="2"/>
  <c r="M1018" i="2"/>
  <c r="O1018" i="2" s="1"/>
  <c r="M970" i="2"/>
  <c r="P922" i="2"/>
  <c r="M922" i="2" s="1"/>
  <c r="O922" i="2" s="1"/>
  <c r="P898" i="2"/>
  <c r="M898" i="2" s="1"/>
  <c r="O898" i="2" s="1"/>
  <c r="P874" i="2"/>
  <c r="M874" i="2" s="1"/>
  <c r="P850" i="2"/>
  <c r="M850" i="2"/>
  <c r="O850" i="2" s="1"/>
  <c r="P778" i="2"/>
  <c r="M778" i="2" s="1"/>
  <c r="O778" i="2" s="1"/>
  <c r="M730" i="2"/>
  <c r="P634" i="2"/>
  <c r="M634" i="2" s="1"/>
  <c r="P610" i="2"/>
  <c r="M610" i="2" s="1"/>
  <c r="M586" i="2"/>
  <c r="O586" i="2" s="1"/>
  <c r="P562" i="2"/>
  <c r="M562" i="2" s="1"/>
  <c r="O562" i="2" s="1"/>
  <c r="P490" i="2"/>
  <c r="M490" i="2" s="1"/>
  <c r="O490" i="2" s="1"/>
  <c r="M466" i="2"/>
  <c r="O466" i="2" s="1"/>
  <c r="M442" i="2"/>
  <c r="O442" i="2" s="1"/>
  <c r="M418" i="2"/>
  <c r="O418" i="2" s="1"/>
  <c r="P418" i="2"/>
  <c r="M394" i="2"/>
  <c r="O394" i="2" s="1"/>
  <c r="M346" i="2"/>
  <c r="P322" i="2"/>
  <c r="M322" i="2" s="1"/>
  <c r="O322" i="2" s="1"/>
  <c r="P298" i="2"/>
  <c r="M298" i="2" s="1"/>
  <c r="P274" i="2"/>
  <c r="M274" i="2" s="1"/>
  <c r="O274" i="2" s="1"/>
  <c r="M226" i="2"/>
  <c r="O226" i="2" s="1"/>
  <c r="P178" i="2"/>
  <c r="M178" i="2" s="1"/>
  <c r="O178" i="2" s="1"/>
  <c r="P58" i="2"/>
  <c r="M58" i="2" s="1"/>
  <c r="O58" i="2" s="1"/>
  <c r="P34" i="2"/>
  <c r="M34" i="2" s="1"/>
  <c r="O34" i="2" s="1"/>
  <c r="M10" i="2"/>
  <c r="O10" i="2" s="1"/>
  <c r="P1179" i="2"/>
  <c r="M1179" i="2" s="1"/>
  <c r="O1179" i="2" s="1"/>
  <c r="P958" i="2"/>
  <c r="M958" i="2" s="1"/>
  <c r="O958" i="2" s="1"/>
  <c r="P708" i="2"/>
  <c r="P671" i="2"/>
  <c r="M671" i="2" s="1"/>
  <c r="O671" i="2" s="1"/>
  <c r="P501" i="2"/>
  <c r="M501" i="2" s="1"/>
  <c r="O501" i="2" s="1"/>
  <c r="P331" i="2"/>
  <c r="M331" i="2" s="1"/>
  <c r="O331" i="2" s="1"/>
  <c r="P166" i="2"/>
  <c r="M930" i="2"/>
  <c r="O930" i="2" s="1"/>
  <c r="M826" i="2"/>
  <c r="O826" i="2" s="1"/>
  <c r="M333" i="2"/>
  <c r="M96" i="2"/>
  <c r="O96" i="2" s="1"/>
  <c r="M900" i="2"/>
  <c r="M780" i="2"/>
  <c r="M612" i="2"/>
  <c r="M348" i="2"/>
  <c r="O348" i="2" s="1"/>
  <c r="P180" i="2"/>
  <c r="M180" i="2" s="1"/>
  <c r="M1161" i="2"/>
  <c r="O1161" i="2" s="1"/>
  <c r="P1065" i="2"/>
  <c r="M1065" i="2" s="1"/>
  <c r="O1065" i="2" s="1"/>
  <c r="P1041" i="2"/>
  <c r="M1041" i="2" s="1"/>
  <c r="O1041" i="2" s="1"/>
  <c r="M1017" i="2"/>
  <c r="P993" i="2"/>
  <c r="M993" i="2"/>
  <c r="O993" i="2" s="1"/>
  <c r="P921" i="2"/>
  <c r="M921" i="2" s="1"/>
  <c r="O921" i="2" s="1"/>
  <c r="P897" i="2"/>
  <c r="M897" i="2"/>
  <c r="O897" i="2" s="1"/>
  <c r="P873" i="2"/>
  <c r="M873" i="2" s="1"/>
  <c r="O873" i="2" s="1"/>
  <c r="M729" i="2"/>
  <c r="O729" i="2" s="1"/>
  <c r="P633" i="2"/>
  <c r="M633" i="2" s="1"/>
  <c r="O633" i="2" s="1"/>
  <c r="P585" i="2"/>
  <c r="M585" i="2"/>
  <c r="P489" i="2"/>
  <c r="M489" i="2" s="1"/>
  <c r="O489" i="2" s="1"/>
  <c r="M441" i="2"/>
  <c r="M417" i="2"/>
  <c r="O417" i="2" s="1"/>
  <c r="P417" i="2"/>
  <c r="P297" i="2"/>
  <c r="M297" i="2" s="1"/>
  <c r="M225" i="2"/>
  <c r="O225" i="2" s="1"/>
  <c r="P177" i="2"/>
  <c r="M177" i="2" s="1"/>
  <c r="O177" i="2" s="1"/>
  <c r="P57" i="2"/>
  <c r="M57" i="2"/>
  <c r="P9" i="2"/>
  <c r="M9" i="2" s="1"/>
  <c r="O9" i="2" s="1"/>
  <c r="P957" i="2"/>
  <c r="M957" i="2" s="1"/>
  <c r="P372" i="2"/>
  <c r="M372" i="2" s="1"/>
  <c r="O372" i="2" s="1"/>
  <c r="P165" i="2"/>
  <c r="M981" i="2"/>
  <c r="O981" i="2" s="1"/>
  <c r="M876" i="2"/>
  <c r="O876" i="2" s="1"/>
  <c r="M825" i="2"/>
  <c r="O825" i="2" s="1"/>
  <c r="M666" i="2"/>
  <c r="O666" i="2" s="1"/>
  <c r="M446" i="2"/>
  <c r="M396" i="2"/>
  <c r="M948" i="2"/>
  <c r="O948" i="2" s="1"/>
  <c r="P12" i="2"/>
  <c r="M12" i="2" s="1"/>
  <c r="O12" i="2" s="1"/>
  <c r="M1160" i="2"/>
  <c r="O1160" i="2" s="1"/>
  <c r="P1040" i="2"/>
  <c r="M1040" i="2" s="1"/>
  <c r="O1040" i="2" s="1"/>
  <c r="M992" i="2"/>
  <c r="O992" i="2" s="1"/>
  <c r="M968" i="2"/>
  <c r="O968" i="2" s="1"/>
  <c r="M920" i="2"/>
  <c r="O920" i="2" s="1"/>
  <c r="P920" i="2"/>
  <c r="M896" i="2"/>
  <c r="O896" i="2" s="1"/>
  <c r="P872" i="2"/>
  <c r="M872" i="2" s="1"/>
  <c r="O872" i="2" s="1"/>
  <c r="M848" i="2"/>
  <c r="M680" i="2"/>
  <c r="O680" i="2" s="1"/>
  <c r="P608" i="2"/>
  <c r="M608" i="2" s="1"/>
  <c r="O608" i="2" s="1"/>
  <c r="M584" i="2"/>
  <c r="O584" i="2" s="1"/>
  <c r="P560" i="2"/>
  <c r="M560" i="2"/>
  <c r="M464" i="2"/>
  <c r="M440" i="2"/>
  <c r="O440" i="2" s="1"/>
  <c r="P416" i="2"/>
  <c r="M416" i="2" s="1"/>
  <c r="O416" i="2" s="1"/>
  <c r="M392" i="2"/>
  <c r="P296" i="2"/>
  <c r="M296" i="2" s="1"/>
  <c r="O296" i="2" s="1"/>
  <c r="M272" i="2"/>
  <c r="O272" i="2" s="1"/>
  <c r="P248" i="2"/>
  <c r="M248" i="2" s="1"/>
  <c r="O248" i="2" s="1"/>
  <c r="P224" i="2"/>
  <c r="M224" i="2"/>
  <c r="O224" i="2" s="1"/>
  <c r="M152" i="2"/>
  <c r="O152" i="2" s="1"/>
  <c r="M128" i="2"/>
  <c r="O128" i="2" s="1"/>
  <c r="M104" i="2"/>
  <c r="O104" i="2" s="1"/>
  <c r="P56" i="2"/>
  <c r="M56" i="2" s="1"/>
  <c r="O56" i="2" s="1"/>
  <c r="P32" i="2"/>
  <c r="M32" i="2" s="1"/>
  <c r="O32" i="2" s="1"/>
  <c r="M8" i="2"/>
  <c r="O8" i="2" s="1"/>
  <c r="P1176" i="2"/>
  <c r="M1176" i="2" s="1"/>
  <c r="O1176" i="2" s="1"/>
  <c r="P1070" i="2"/>
  <c r="P994" i="2"/>
  <c r="M994" i="2" s="1"/>
  <c r="O994" i="2" s="1"/>
  <c r="P955" i="2"/>
  <c r="M955" i="2" s="1"/>
  <c r="O955" i="2" s="1"/>
  <c r="P830" i="2"/>
  <c r="M830" i="2" s="1"/>
  <c r="O830" i="2" s="1"/>
  <c r="P498" i="2"/>
  <c r="M498" i="2" s="1"/>
  <c r="O498" i="2" s="1"/>
  <c r="P455" i="2"/>
  <c r="P114" i="2"/>
  <c r="M114" i="2" s="1"/>
  <c r="O114" i="2" s="1"/>
  <c r="M1131" i="2"/>
  <c r="M1083" i="2"/>
  <c r="M875" i="2"/>
  <c r="O875" i="2" s="1"/>
  <c r="M824" i="2"/>
  <c r="M771" i="2"/>
  <c r="O771" i="2" s="1"/>
  <c r="M330" i="2"/>
  <c r="O330" i="2" s="1"/>
  <c r="P1140" i="2"/>
  <c r="M1140" i="2"/>
  <c r="O1140" i="2" s="1"/>
  <c r="M1183" i="2"/>
  <c r="O1183" i="2" s="1"/>
  <c r="M1159" i="2"/>
  <c r="O1159" i="2" s="1"/>
  <c r="M1135" i="2"/>
  <c r="O1135" i="2" s="1"/>
  <c r="M1111" i="2"/>
  <c r="O1111" i="2" s="1"/>
  <c r="M1087" i="2"/>
  <c r="O1087" i="2" s="1"/>
  <c r="P1063" i="2"/>
  <c r="M1063" i="2" s="1"/>
  <c r="O1063" i="2" s="1"/>
  <c r="M1039" i="2"/>
  <c r="O1039" i="2" s="1"/>
  <c r="P1015" i="2"/>
  <c r="M1015" i="2" s="1"/>
  <c r="O1015" i="2" s="1"/>
  <c r="M967" i="2"/>
  <c r="M943" i="2"/>
  <c r="O943" i="2" s="1"/>
  <c r="M919" i="2"/>
  <c r="O919" i="2" s="1"/>
  <c r="P895" i="2"/>
  <c r="M895" i="2" s="1"/>
  <c r="O895" i="2" s="1"/>
  <c r="P847" i="2"/>
  <c r="M847" i="2" s="1"/>
  <c r="O847" i="2" s="1"/>
  <c r="P799" i="2"/>
  <c r="M799" i="2" s="1"/>
  <c r="O799" i="2" s="1"/>
  <c r="P775" i="2"/>
  <c r="M775" i="2" s="1"/>
  <c r="M751" i="2"/>
  <c r="O751" i="2" s="1"/>
  <c r="P727" i="2"/>
  <c r="M727" i="2" s="1"/>
  <c r="O727" i="2" s="1"/>
  <c r="M679" i="2"/>
  <c r="O679" i="2" s="1"/>
  <c r="P655" i="2"/>
  <c r="M655" i="2" s="1"/>
  <c r="O655" i="2" s="1"/>
  <c r="M631" i="2"/>
  <c r="O631" i="2" s="1"/>
  <c r="P607" i="2"/>
  <c r="M607" i="2" s="1"/>
  <c r="O607" i="2" s="1"/>
  <c r="P583" i="2"/>
  <c r="M583" i="2" s="1"/>
  <c r="O583" i="2" s="1"/>
  <c r="M559" i="2"/>
  <c r="O559" i="2" s="1"/>
  <c r="P535" i="2"/>
  <c r="M535" i="2" s="1"/>
  <c r="O535" i="2" s="1"/>
  <c r="M511" i="2"/>
  <c r="O511" i="2" s="1"/>
  <c r="P1175" i="2"/>
  <c r="M1175" i="2" s="1"/>
  <c r="O1175" i="2" s="1"/>
  <c r="P1104" i="2"/>
  <c r="M1104" i="2" s="1"/>
  <c r="O1104" i="2" s="1"/>
  <c r="P1029" i="2"/>
  <c r="M1029" i="2" s="1"/>
  <c r="P992" i="2"/>
  <c r="P915" i="2"/>
  <c r="M915" i="2" s="1"/>
  <c r="O915" i="2" s="1"/>
  <c r="P792" i="2"/>
  <c r="P704" i="2"/>
  <c r="M704" i="2" s="1"/>
  <c r="O704" i="2" s="1"/>
  <c r="P619" i="2"/>
  <c r="M619" i="2" s="1"/>
  <c r="O619" i="2" s="1"/>
  <c r="P542" i="2"/>
  <c r="P454" i="2"/>
  <c r="M454" i="2" s="1"/>
  <c r="O454" i="2" s="1"/>
  <c r="P326" i="2"/>
  <c r="M326" i="2" s="1"/>
  <c r="O326" i="2" s="1"/>
  <c r="P200" i="2"/>
  <c r="M200" i="2" s="1"/>
  <c r="O200" i="2" s="1"/>
  <c r="P163" i="2"/>
  <c r="M163" i="2" s="1"/>
  <c r="O163" i="2" s="1"/>
  <c r="P72" i="2"/>
  <c r="M72" i="2" s="1"/>
  <c r="O72" i="2" s="1"/>
  <c r="P22" i="2"/>
  <c r="M22" i="2" s="1"/>
  <c r="O22" i="2" s="1"/>
  <c r="M918" i="2"/>
  <c r="O918" i="2" s="1"/>
  <c r="M444" i="2"/>
  <c r="O444" i="2" s="1"/>
  <c r="M273" i="2"/>
  <c r="M210" i="2"/>
  <c r="M156" i="2"/>
  <c r="P1182" i="2"/>
  <c r="M1182" i="2" s="1"/>
  <c r="O1182" i="2" s="1"/>
  <c r="M1158" i="2"/>
  <c r="O1158" i="2" s="1"/>
  <c r="M1062" i="2"/>
  <c r="O1062" i="2" s="1"/>
  <c r="M990" i="2"/>
  <c r="P846" i="2"/>
  <c r="M846" i="2" s="1"/>
  <c r="O846" i="2" s="1"/>
  <c r="M822" i="2"/>
  <c r="O822" i="2" s="1"/>
  <c r="M798" i="2"/>
  <c r="P750" i="2"/>
  <c r="M750" i="2" s="1"/>
  <c r="O750" i="2" s="1"/>
  <c r="M726" i="2"/>
  <c r="O726" i="2" s="1"/>
  <c r="M702" i="2"/>
  <c r="O702" i="2" s="1"/>
  <c r="M678" i="2"/>
  <c r="P654" i="2"/>
  <c r="M654" i="2"/>
  <c r="O654" i="2" s="1"/>
  <c r="P558" i="2"/>
  <c r="M558" i="2" s="1"/>
  <c r="O558" i="2" s="1"/>
  <c r="M486" i="2"/>
  <c r="O486" i="2" s="1"/>
  <c r="P414" i="2"/>
  <c r="M414" i="2" s="1"/>
  <c r="O414" i="2" s="1"/>
  <c r="M342" i="2"/>
  <c r="P294" i="2"/>
  <c r="M294" i="2" s="1"/>
  <c r="O294" i="2" s="1"/>
  <c r="P270" i="2"/>
  <c r="M270" i="2" s="1"/>
  <c r="O270" i="2" s="1"/>
  <c r="M222" i="2"/>
  <c r="P198" i="2"/>
  <c r="M198" i="2" s="1"/>
  <c r="O198" i="2" s="1"/>
  <c r="M126" i="2"/>
  <c r="M102" i="2"/>
  <c r="O102" i="2" s="1"/>
  <c r="M54" i="2"/>
  <c r="O54" i="2" s="1"/>
  <c r="P1174" i="2"/>
  <c r="M1174" i="2" s="1"/>
  <c r="O1174" i="2" s="1"/>
  <c r="P1139" i="2"/>
  <c r="M1139" i="2" s="1"/>
  <c r="O1139" i="2" s="1"/>
  <c r="P1026" i="2"/>
  <c r="M1026" i="2" s="1"/>
  <c r="O1026" i="2" s="1"/>
  <c r="P991" i="2"/>
  <c r="M991" i="2" s="1"/>
  <c r="O991" i="2" s="1"/>
  <c r="P914" i="2"/>
  <c r="M914" i="2" s="1"/>
  <c r="P871" i="2"/>
  <c r="M871" i="2" s="1"/>
  <c r="O871" i="2" s="1"/>
  <c r="P791" i="2"/>
  <c r="M791" i="2" s="1"/>
  <c r="P743" i="2"/>
  <c r="M743" i="2" s="1"/>
  <c r="O743" i="2" s="1"/>
  <c r="P703" i="2"/>
  <c r="M703" i="2" s="1"/>
  <c r="O703" i="2" s="1"/>
  <c r="P453" i="2"/>
  <c r="M453" i="2" s="1"/>
  <c r="O453" i="2" s="1"/>
  <c r="P321" i="2"/>
  <c r="M321" i="2" s="1"/>
  <c r="O321" i="2" s="1"/>
  <c r="P237" i="2"/>
  <c r="M237" i="2" s="1"/>
  <c r="O237" i="2" s="1"/>
  <c r="M659" i="2"/>
  <c r="O659" i="2" s="1"/>
  <c r="M443" i="2"/>
  <c r="O443" i="2" s="1"/>
  <c r="M268" i="2"/>
  <c r="O268" i="2" s="1"/>
  <c r="M150" i="2"/>
  <c r="O150" i="2" s="1"/>
  <c r="M25" i="2"/>
  <c r="O25" i="2" s="1"/>
  <c r="P1157" i="2"/>
  <c r="M1157" i="2" s="1"/>
  <c r="O1157" i="2" s="1"/>
  <c r="M1109" i="2"/>
  <c r="O1109" i="2" s="1"/>
  <c r="M1061" i="2"/>
  <c r="M1037" i="2"/>
  <c r="P989" i="2"/>
  <c r="M989" i="2" s="1"/>
  <c r="O989" i="2" s="1"/>
  <c r="M965" i="2"/>
  <c r="M917" i="2"/>
  <c r="M845" i="2"/>
  <c r="O845" i="2" s="1"/>
  <c r="M821" i="2"/>
  <c r="O821" i="2" s="1"/>
  <c r="M797" i="2"/>
  <c r="O797" i="2" s="1"/>
  <c r="P749" i="2"/>
  <c r="M749" i="2"/>
  <c r="P725" i="2"/>
  <c r="M725" i="2" s="1"/>
  <c r="O725" i="2" s="1"/>
  <c r="M701" i="2"/>
  <c r="O701" i="2" s="1"/>
  <c r="M677" i="2"/>
  <c r="M653" i="2"/>
  <c r="M581" i="2"/>
  <c r="M557" i="2"/>
  <c r="O557" i="2" s="1"/>
  <c r="P533" i="2"/>
  <c r="M533" i="2" s="1"/>
  <c r="O533" i="2" s="1"/>
  <c r="M413" i="2"/>
  <c r="O413" i="2" s="1"/>
  <c r="P389" i="2"/>
  <c r="M389" i="2" s="1"/>
  <c r="O389" i="2" s="1"/>
  <c r="M341" i="2"/>
  <c r="M293" i="2"/>
  <c r="O293" i="2" s="1"/>
  <c r="P269" i="2"/>
  <c r="M269" i="2" s="1"/>
  <c r="O269" i="2" s="1"/>
  <c r="M245" i="2"/>
  <c r="O245" i="2" s="1"/>
  <c r="M221" i="2"/>
  <c r="M125" i="2"/>
  <c r="P101" i="2"/>
  <c r="M101" i="2" s="1"/>
  <c r="O101" i="2" s="1"/>
  <c r="M29" i="2"/>
  <c r="O29" i="2" s="1"/>
  <c r="P1173" i="2"/>
  <c r="M1173" i="2" s="1"/>
  <c r="O1173" i="2" s="1"/>
  <c r="P1137" i="2"/>
  <c r="M1137" i="2" s="1"/>
  <c r="O1137" i="2" s="1"/>
  <c r="P741" i="2"/>
  <c r="M741" i="2" s="1"/>
  <c r="O741" i="2" s="1"/>
  <c r="P576" i="2"/>
  <c r="M576" i="2" s="1"/>
  <c r="O576" i="2" s="1"/>
  <c r="P320" i="2"/>
  <c r="M320" i="2" s="1"/>
  <c r="O320" i="2" s="1"/>
  <c r="P19" i="2"/>
  <c r="M867" i="2"/>
  <c r="O867" i="2" s="1"/>
  <c r="M658" i="2"/>
  <c r="O658" i="2" s="1"/>
  <c r="M600" i="2"/>
  <c r="M550" i="2"/>
  <c r="O550" i="2" s="1"/>
  <c r="M149" i="2"/>
  <c r="O149" i="2" s="1"/>
  <c r="M83" i="2"/>
  <c r="O83" i="2" s="1"/>
  <c r="M24" i="2"/>
  <c r="O24" i="2" s="1"/>
  <c r="M756" i="2"/>
  <c r="P36" i="2"/>
  <c r="M36" i="2" s="1"/>
  <c r="O36" i="2" s="1"/>
  <c r="P1180" i="2"/>
  <c r="M1180" i="2" s="1"/>
  <c r="O1180" i="2" s="1"/>
  <c r="M1132" i="2"/>
  <c r="P1132" i="2"/>
  <c r="M1108" i="2"/>
  <c r="M964" i="2"/>
  <c r="O964" i="2" s="1"/>
  <c r="M820" i="2"/>
  <c r="M748" i="2"/>
  <c r="O748" i="2" s="1"/>
  <c r="M676" i="2"/>
  <c r="O676" i="2" s="1"/>
  <c r="P604" i="2"/>
  <c r="M604" i="2" s="1"/>
  <c r="O604" i="2" s="1"/>
  <c r="M532" i="2"/>
  <c r="O532" i="2" s="1"/>
  <c r="P508" i="2"/>
  <c r="M508" i="2" s="1"/>
  <c r="O508" i="2" s="1"/>
  <c r="M388" i="2"/>
  <c r="O388" i="2" s="1"/>
  <c r="P388" i="2"/>
  <c r="P340" i="2"/>
  <c r="M340" i="2" s="1"/>
  <c r="O340" i="2" s="1"/>
  <c r="M316" i="2"/>
  <c r="O316" i="2" s="1"/>
  <c r="M244" i="2"/>
  <c r="O244" i="2" s="1"/>
  <c r="M196" i="2"/>
  <c r="O196" i="2" s="1"/>
  <c r="P100" i="2"/>
  <c r="M100" i="2" s="1"/>
  <c r="O100" i="2" s="1"/>
  <c r="M76" i="2"/>
  <c r="M52" i="2"/>
  <c r="O52" i="2" s="1"/>
  <c r="P28" i="2"/>
  <c r="M28" i="2" s="1"/>
  <c r="O28" i="2" s="1"/>
  <c r="P1171" i="2"/>
  <c r="M1171" i="2" s="1"/>
  <c r="P1064" i="2"/>
  <c r="M1064" i="2" s="1"/>
  <c r="O1064" i="2" s="1"/>
  <c r="P912" i="2"/>
  <c r="P869" i="2"/>
  <c r="M869" i="2" s="1"/>
  <c r="O869" i="2" s="1"/>
  <c r="P823" i="2"/>
  <c r="M823" i="2" s="1"/>
  <c r="O823" i="2" s="1"/>
  <c r="P701" i="2"/>
  <c r="P532" i="2"/>
  <c r="P494" i="2"/>
  <c r="M494" i="2" s="1"/>
  <c r="O494" i="2" s="1"/>
  <c r="P282" i="2"/>
  <c r="M282" i="2" s="1"/>
  <c r="O282" i="2" s="1"/>
  <c r="P234" i="2"/>
  <c r="M234" i="2" s="1"/>
  <c r="O234" i="2" s="1"/>
  <c r="P154" i="2"/>
  <c r="M154" i="2" s="1"/>
  <c r="O154" i="2" s="1"/>
  <c r="P18" i="2"/>
  <c r="M18" i="2" s="1"/>
  <c r="O18" i="2" s="1"/>
  <c r="M969" i="2"/>
  <c r="O969" i="2" s="1"/>
  <c r="M864" i="2"/>
  <c r="O864" i="2" s="1"/>
  <c r="M707" i="2"/>
  <c r="O707" i="2" s="1"/>
  <c r="M657" i="2"/>
  <c r="O657" i="2" s="1"/>
  <c r="M594" i="2"/>
  <c r="O594" i="2" s="1"/>
  <c r="M549" i="2"/>
  <c r="O549" i="2" s="1"/>
  <c r="M384" i="2"/>
  <c r="O384" i="2" s="1"/>
  <c r="M265" i="2"/>
  <c r="M148" i="2"/>
  <c r="O148" i="2" s="1"/>
  <c r="M82" i="2"/>
  <c r="O82" i="2" s="1"/>
  <c r="M23" i="2"/>
  <c r="O23" i="2" s="1"/>
  <c r="P924" i="2"/>
  <c r="M924" i="2" s="1"/>
  <c r="O924" i="2" s="1"/>
  <c r="M828" i="2"/>
  <c r="O828" i="2" s="1"/>
  <c r="M660" i="2"/>
  <c r="O660" i="2" s="1"/>
  <c r="M564" i="2"/>
  <c r="M492" i="2"/>
  <c r="O492" i="2" s="1"/>
  <c r="P324" i="2"/>
  <c r="M324" i="2" s="1"/>
  <c r="M204" i="2"/>
  <c r="P1155" i="2"/>
  <c r="M1155" i="2" s="1"/>
  <c r="O1155" i="2" s="1"/>
  <c r="P1107" i="2"/>
  <c r="M1107" i="2" s="1"/>
  <c r="O1107" i="2" s="1"/>
  <c r="M1059" i="2"/>
  <c r="O1059" i="2" s="1"/>
  <c r="M987" i="2"/>
  <c r="O987" i="2" s="1"/>
  <c r="M939" i="2"/>
  <c r="O939" i="2" s="1"/>
  <c r="M843" i="2"/>
  <c r="O843" i="2" s="1"/>
  <c r="M819" i="2"/>
  <c r="O819" i="2" s="1"/>
  <c r="M795" i="2"/>
  <c r="P747" i="2"/>
  <c r="M747" i="2" s="1"/>
  <c r="O747" i="2" s="1"/>
  <c r="P723" i="2"/>
  <c r="M723" i="2" s="1"/>
  <c r="O723" i="2" s="1"/>
  <c r="P675" i="2"/>
  <c r="M675" i="2" s="1"/>
  <c r="O675" i="2" s="1"/>
  <c r="M651" i="2"/>
  <c r="O651" i="2" s="1"/>
  <c r="M603" i="2"/>
  <c r="O603" i="2" s="1"/>
  <c r="M579" i="2"/>
  <c r="M555" i="2"/>
  <c r="O555" i="2" s="1"/>
  <c r="M531" i="2"/>
  <c r="O531" i="2" s="1"/>
  <c r="P531" i="2"/>
  <c r="P507" i="2"/>
  <c r="M507" i="2" s="1"/>
  <c r="O507" i="2" s="1"/>
  <c r="M315" i="2"/>
  <c r="O315" i="2" s="1"/>
  <c r="P1170" i="2"/>
  <c r="M1170" i="2" s="1"/>
  <c r="O1170" i="2" s="1"/>
  <c r="P1098" i="2"/>
  <c r="M1098" i="2" s="1"/>
  <c r="P948" i="2"/>
  <c r="P911" i="2"/>
  <c r="M911" i="2" s="1"/>
  <c r="P787" i="2"/>
  <c r="M787" i="2" s="1"/>
  <c r="O787" i="2" s="1"/>
  <c r="P739" i="2"/>
  <c r="P662" i="2"/>
  <c r="M662" i="2" s="1"/>
  <c r="P571" i="2"/>
  <c r="M571" i="2" s="1"/>
  <c r="O571" i="2" s="1"/>
  <c r="P530" i="2"/>
  <c r="M530" i="2" s="1"/>
  <c r="O530" i="2" s="1"/>
  <c r="P362" i="2"/>
  <c r="M362" i="2" s="1"/>
  <c r="O362" i="2" s="1"/>
  <c r="P153" i="2"/>
  <c r="M153" i="2" s="1"/>
  <c r="O153" i="2" s="1"/>
  <c r="M1166" i="2"/>
  <c r="O1166" i="2" s="1"/>
  <c r="M1016" i="2"/>
  <c r="O1016" i="2" s="1"/>
  <c r="M862" i="2"/>
  <c r="M806" i="2"/>
  <c r="O806" i="2" s="1"/>
  <c r="M656" i="2"/>
  <c r="O656" i="2" s="1"/>
  <c r="M203" i="2"/>
  <c r="M1144" i="2"/>
  <c r="M1120" i="2"/>
  <c r="O1120" i="2" s="1"/>
  <c r="M1000" i="2"/>
  <c r="O1000" i="2" s="1"/>
  <c r="M976" i="2"/>
  <c r="O976" i="2" s="1"/>
  <c r="M952" i="2"/>
  <c r="M808" i="2"/>
  <c r="O808" i="2" s="1"/>
  <c r="M712" i="2"/>
  <c r="O712" i="2" s="1"/>
  <c r="M688" i="2"/>
  <c r="O688" i="2" s="1"/>
  <c r="M664" i="2"/>
  <c r="M544" i="2"/>
  <c r="M520" i="2"/>
  <c r="O520" i="2" s="1"/>
  <c r="P424" i="2"/>
  <c r="M424" i="2" s="1"/>
  <c r="O424" i="2" s="1"/>
  <c r="P400" i="2"/>
  <c r="M400" i="2" s="1"/>
  <c r="O400" i="2" s="1"/>
  <c r="M376" i="2"/>
  <c r="O376" i="2" s="1"/>
  <c r="M352" i="2"/>
  <c r="O352" i="2" s="1"/>
  <c r="M256" i="2"/>
  <c r="O256" i="2" s="1"/>
  <c r="M232" i="2"/>
  <c r="O232" i="2" s="1"/>
  <c r="M136" i="2"/>
  <c r="O136" i="2" s="1"/>
  <c r="M112" i="2"/>
  <c r="O112" i="2" s="1"/>
  <c r="M88" i="2"/>
  <c r="O88" i="2" s="1"/>
  <c r="M64" i="2"/>
  <c r="O64" i="2" s="1"/>
  <c r="P1191" i="2"/>
  <c r="P6" i="2"/>
  <c r="M6" i="2" s="1"/>
  <c r="O6" i="2" s="1"/>
  <c r="M1119" i="2"/>
  <c r="O1119" i="2" s="1"/>
  <c r="M1095" i="2"/>
  <c r="O1095" i="2" s="1"/>
  <c r="M951" i="2"/>
  <c r="O951" i="2" s="1"/>
  <c r="M807" i="2"/>
  <c r="O807" i="2" s="1"/>
  <c r="M663" i="2"/>
  <c r="O663" i="2" s="1"/>
  <c r="M519" i="2"/>
  <c r="O519" i="2" s="1"/>
  <c r="P375" i="2"/>
  <c r="M375" i="2" s="1"/>
  <c r="O375" i="2" s="1"/>
  <c r="M231" i="2"/>
  <c r="M87" i="2"/>
  <c r="O87" i="2" s="1"/>
  <c r="M63" i="2"/>
  <c r="O63" i="2" s="1"/>
  <c r="P339" i="2"/>
  <c r="M339" i="2" s="1"/>
  <c r="O339" i="2" s="1"/>
  <c r="M157" i="2"/>
  <c r="O157" i="2" s="1"/>
  <c r="M1069" i="2"/>
  <c r="O1069" i="2" s="1"/>
  <c r="M925" i="2"/>
  <c r="O925" i="2" s="1"/>
  <c r="M781" i="2"/>
  <c r="O781" i="2" s="1"/>
  <c r="M637" i="2"/>
  <c r="O637" i="2" s="1"/>
  <c r="M493" i="2"/>
  <c r="O493" i="2" s="1"/>
  <c r="P349" i="2"/>
  <c r="M349" i="2" s="1"/>
  <c r="O349" i="2" s="1"/>
  <c r="M205" i="2"/>
  <c r="O205" i="2" s="1"/>
  <c r="M61" i="2"/>
  <c r="O61" i="2" s="1"/>
  <c r="P37" i="2"/>
  <c r="M37" i="2" s="1"/>
  <c r="O37" i="2" s="1"/>
  <c r="M487" i="2"/>
  <c r="M463" i="2"/>
  <c r="O463" i="2" s="1"/>
  <c r="M439" i="2"/>
  <c r="M415" i="2"/>
  <c r="M391" i="2"/>
  <c r="O391" i="2" s="1"/>
  <c r="M367" i="2"/>
  <c r="O367" i="2" s="1"/>
  <c r="M343" i="2"/>
  <c r="O343" i="2" s="1"/>
  <c r="M319" i="2"/>
  <c r="O319" i="2" s="1"/>
  <c r="M295" i="2"/>
  <c r="M271" i="2"/>
  <c r="O271" i="2" s="1"/>
  <c r="M247" i="2"/>
  <c r="P223" i="2"/>
  <c r="M223" i="2" s="1"/>
  <c r="O223" i="2" s="1"/>
  <c r="P199" i="2"/>
  <c r="M199" i="2" s="1"/>
  <c r="O199" i="2" s="1"/>
  <c r="M151" i="2"/>
  <c r="O151" i="2" s="1"/>
  <c r="M127" i="2"/>
  <c r="O127" i="2" s="1"/>
  <c r="M103" i="2"/>
  <c r="O103" i="2" s="1"/>
  <c r="M79" i="2"/>
  <c r="M55" i="2"/>
  <c r="O55" i="2" s="1"/>
  <c r="M31" i="2"/>
  <c r="O31" i="2" s="1"/>
  <c r="M7" i="2"/>
  <c r="O7" i="2" s="1"/>
  <c r="P7" i="2"/>
  <c r="P55" i="2"/>
  <c r="M387" i="2"/>
  <c r="M363" i="2"/>
  <c r="M267" i="2"/>
  <c r="O267" i="2" s="1"/>
  <c r="M243" i="2"/>
  <c r="M219" i="2"/>
  <c r="O219" i="2" s="1"/>
  <c r="M195" i="2"/>
  <c r="O195" i="2" s="1"/>
  <c r="P99" i="2"/>
  <c r="M99" i="2" s="1"/>
  <c r="O99" i="2" s="1"/>
  <c r="M75" i="2"/>
  <c r="O75" i="2" s="1"/>
  <c r="P205" i="2"/>
  <c r="P175" i="2"/>
  <c r="M175" i="2" s="1"/>
  <c r="O175" i="2" s="1"/>
  <c r="O334" i="2"/>
  <c r="O333" i="2"/>
  <c r="O1076" i="2"/>
  <c r="O646" i="2"/>
  <c r="O1172" i="2"/>
  <c r="O980" i="2"/>
  <c r="O957" i="2"/>
  <c r="O874" i="2"/>
  <c r="O730" i="2"/>
  <c r="O57" i="2"/>
  <c r="O536" i="2"/>
  <c r="O1028" i="2"/>
  <c r="O213" i="2"/>
  <c r="O893" i="2"/>
  <c r="O740" i="2"/>
  <c r="O752" i="2"/>
  <c r="O537" i="2"/>
  <c r="O753" i="2"/>
  <c r="O465" i="2"/>
  <c r="O273" i="2"/>
  <c r="O1100" i="2"/>
  <c r="O668" i="2"/>
  <c r="O428" i="2"/>
  <c r="O908" i="2"/>
  <c r="O332" i="2"/>
  <c r="O212" i="2"/>
  <c r="O68" i="2"/>
  <c r="O1197" i="2"/>
  <c r="O1125" i="2"/>
  <c r="O1053" i="2"/>
  <c r="O1029" i="2"/>
  <c r="O645" i="2"/>
  <c r="O1196" i="2"/>
  <c r="O1124" i="2"/>
  <c r="O884" i="2"/>
  <c r="O812" i="2"/>
  <c r="O716" i="2"/>
  <c r="O620" i="2"/>
  <c r="O548" i="2"/>
  <c r="O356" i="2"/>
  <c r="O524" i="2"/>
  <c r="O691" i="2"/>
  <c r="O1099" i="2"/>
  <c r="O1052" i="2"/>
  <c r="O975" i="2"/>
  <c r="O903" i="2"/>
  <c r="O380" i="2"/>
  <c r="O1022" i="2"/>
  <c r="O734" i="2"/>
  <c r="O236" i="2"/>
  <c r="O92" i="2"/>
  <c r="O877" i="2"/>
  <c r="O613" i="2"/>
  <c r="O43" i="2"/>
  <c r="O476" i="2"/>
  <c r="O297" i="2"/>
  <c r="O972" i="2"/>
  <c r="O1184" i="2"/>
  <c r="O944" i="2"/>
  <c r="O632" i="2"/>
  <c r="O1021" i="2"/>
  <c r="O670" i="2"/>
  <c r="O572" i="2"/>
  <c r="O116" i="2"/>
  <c r="O764" i="2"/>
  <c r="O1086" i="2"/>
  <c r="O462" i="2"/>
  <c r="O390" i="2"/>
  <c r="O1147" i="2"/>
  <c r="O404" i="2"/>
  <c r="O260" i="2"/>
  <c r="O1133" i="2"/>
  <c r="O261" i="2"/>
  <c r="O1017" i="2"/>
  <c r="O961" i="2"/>
  <c r="O673" i="2"/>
  <c r="O553" i="2"/>
  <c r="O20" i="2"/>
  <c r="O870" i="2"/>
  <c r="O789" i="2"/>
  <c r="O500" i="2"/>
  <c r="O299" i="2"/>
  <c r="O80" i="2"/>
  <c r="O880" i="2"/>
  <c r="O328" i="2"/>
  <c r="O1081" i="2"/>
  <c r="O570" i="2"/>
  <c r="O997" i="2"/>
  <c r="O474" i="2"/>
  <c r="O540" i="2"/>
  <c r="O1088" i="2"/>
  <c r="O1071" i="2"/>
  <c r="O229" i="2"/>
  <c r="O1193" i="2"/>
  <c r="O1049" i="2"/>
  <c r="O783" i="2"/>
  <c r="O85" i="2"/>
  <c r="O1045" i="2"/>
  <c r="O47" i="2"/>
  <c r="O445" i="2"/>
  <c r="O970" i="2"/>
  <c r="O1007" i="2"/>
  <c r="O929" i="2"/>
  <c r="O455" i="2"/>
  <c r="O1192" i="2"/>
  <c r="O1012" i="2"/>
  <c r="O169" i="2"/>
  <c r="O373" i="2"/>
  <c r="O569" i="2"/>
  <c r="O1110" i="2"/>
  <c r="O567" i="2"/>
  <c r="O71" i="2"/>
  <c r="O556" i="2"/>
  <c r="O329" i="2"/>
  <c r="O1199" i="2"/>
  <c r="O952" i="2"/>
  <c r="O1117" i="2"/>
  <c r="O131" i="2"/>
  <c r="O565" i="2"/>
  <c r="O1163" i="2"/>
  <c r="O851" i="2"/>
  <c r="O779" i="2"/>
  <c r="O683" i="2"/>
  <c r="O587" i="2"/>
  <c r="O515" i="2"/>
  <c r="O347" i="2"/>
  <c r="O59" i="2"/>
  <c r="O203" i="2"/>
  <c r="O106" i="2"/>
  <c r="O836" i="2"/>
  <c r="O644" i="2"/>
  <c r="O164" i="2"/>
  <c r="O44" i="2"/>
  <c r="O777" i="2"/>
  <c r="O407" i="2"/>
  <c r="O995" i="2"/>
  <c r="O947" i="2"/>
  <c r="O899" i="2"/>
  <c r="O635" i="2"/>
  <c r="O563" i="2"/>
  <c r="O251" i="2"/>
  <c r="O155" i="2"/>
  <c r="O1162" i="2"/>
  <c r="O1138" i="2"/>
  <c r="O1114" i="2"/>
  <c r="O1090" i="2"/>
  <c r="O1066" i="2"/>
  <c r="O946" i="2"/>
  <c r="O634" i="2"/>
  <c r="O610" i="2"/>
  <c r="O346" i="2"/>
  <c r="O298" i="2"/>
  <c r="O1113" i="2"/>
  <c r="O585" i="2"/>
  <c r="O513" i="2"/>
  <c r="O441" i="2"/>
  <c r="O1136" i="2"/>
  <c r="O1112" i="2"/>
  <c r="O824" i="2"/>
  <c r="O776" i="2"/>
  <c r="O848" i="2"/>
  <c r="O317" i="2"/>
  <c r="P5" i="2"/>
  <c r="M5" i="2" s="1"/>
  <c r="O5" i="2" s="1"/>
  <c r="O1134" i="2"/>
  <c r="O1038" i="2"/>
  <c r="O582" i="2"/>
  <c r="O965" i="2"/>
  <c r="O581" i="2"/>
  <c r="O1156" i="2"/>
  <c r="O1084" i="2"/>
  <c r="O988" i="2"/>
  <c r="O868" i="2"/>
  <c r="O796" i="2"/>
  <c r="O700" i="2"/>
  <c r="O580" i="2"/>
  <c r="O292" i="2"/>
  <c r="O124" i="2"/>
  <c r="O76" i="2"/>
  <c r="O1011" i="2"/>
  <c r="O699" i="2"/>
  <c r="O579" i="2"/>
  <c r="O291" i="2"/>
  <c r="O171" i="2"/>
  <c r="O123" i="2"/>
  <c r="O51" i="2"/>
  <c r="P3" i="2"/>
  <c r="M3" i="2" s="1"/>
  <c r="O3" i="2" s="1"/>
  <c r="P2" i="2"/>
  <c r="M2" i="2" s="1"/>
  <c r="O2" i="2" s="1"/>
  <c r="O986" i="2"/>
  <c r="O938" i="2"/>
  <c r="O842" i="2"/>
  <c r="O602" i="2"/>
  <c r="O706" i="2"/>
  <c r="O250" i="2"/>
  <c r="O629" i="2"/>
  <c r="O247" i="2"/>
  <c r="O284" i="2"/>
  <c r="O295" i="2"/>
  <c r="O774" i="2"/>
  <c r="O630" i="2"/>
  <c r="O366" i="2"/>
  <c r="O222" i="2"/>
  <c r="O1013" i="2"/>
  <c r="O941" i="2"/>
  <c r="O749" i="2"/>
  <c r="O173" i="2"/>
  <c r="O53" i="2"/>
  <c r="O942" i="2"/>
  <c r="O461" i="2"/>
  <c r="O1060" i="2"/>
  <c r="O724" i="2"/>
  <c r="O364" i="2"/>
  <c r="O172" i="2"/>
  <c r="O932" i="2"/>
  <c r="O860" i="2"/>
  <c r="O692" i="2"/>
  <c r="O308" i="2"/>
  <c r="O140" i="2"/>
  <c r="O1123" i="2"/>
  <c r="O1075" i="2"/>
  <c r="O775" i="2"/>
  <c r="O487" i="2"/>
  <c r="O439" i="2"/>
  <c r="O79" i="2"/>
  <c r="O990" i="2"/>
  <c r="O966" i="2"/>
  <c r="O894" i="2"/>
  <c r="O798" i="2"/>
  <c r="O678" i="2"/>
  <c r="O606" i="2"/>
  <c r="O510" i="2"/>
  <c r="O438" i="2"/>
  <c r="O342" i="2"/>
  <c r="O318" i="2"/>
  <c r="O126" i="2"/>
  <c r="O78" i="2"/>
  <c r="O30" i="2"/>
  <c r="O1181" i="2"/>
  <c r="O1061" i="2"/>
  <c r="O773" i="2"/>
  <c r="O437" i="2"/>
  <c r="O341" i="2"/>
  <c r="O221" i="2"/>
  <c r="O77" i="2"/>
  <c r="O1132" i="2"/>
  <c r="O1108" i="2"/>
  <c r="O1036" i="2"/>
  <c r="O940" i="2"/>
  <c r="O820" i="2"/>
  <c r="O772" i="2"/>
  <c r="O628" i="2"/>
  <c r="O436" i="2"/>
  <c r="O220" i="2"/>
  <c r="P4" i="2"/>
  <c r="M4" i="2" s="1"/>
  <c r="O4" i="2" s="1"/>
  <c r="O452" i="2"/>
  <c r="O653" i="2"/>
  <c r="O1131" i="2"/>
  <c r="O1083" i="2"/>
  <c r="O963" i="2"/>
  <c r="O795" i="2"/>
  <c r="O627" i="2"/>
  <c r="O459" i="2"/>
  <c r="O387" i="2"/>
  <c r="O363" i="2"/>
  <c r="O243" i="2"/>
  <c r="O147" i="2"/>
  <c r="O27" i="2"/>
  <c r="O844" i="2"/>
  <c r="O1178" i="2"/>
  <c r="O1106" i="2"/>
  <c r="O1058" i="2"/>
  <c r="O1034" i="2"/>
  <c r="O1010" i="2"/>
  <c r="O962" i="2"/>
  <c r="O914" i="2"/>
  <c r="O698" i="2"/>
  <c r="O578" i="2"/>
  <c r="O1177" i="2"/>
  <c r="O677" i="2"/>
  <c r="O802" i="2"/>
  <c r="O917" i="2"/>
  <c r="O801" i="2"/>
  <c r="O1037" i="2"/>
  <c r="O605" i="2"/>
  <c r="O365" i="2"/>
  <c r="O197" i="2"/>
  <c r="O1054" i="2"/>
  <c r="O862" i="2"/>
  <c r="O574" i="2"/>
  <c r="O286" i="2"/>
  <c r="O803" i="2"/>
  <c r="O1004" i="2"/>
  <c r="O596" i="2"/>
  <c r="O1171" i="2"/>
  <c r="O967" i="2"/>
  <c r="O415" i="2"/>
  <c r="O883" i="2"/>
  <c r="O1014" i="2"/>
  <c r="O125" i="2"/>
  <c r="O430" i="2"/>
  <c r="O1005" i="2"/>
  <c r="O861" i="2"/>
  <c r="O405" i="2"/>
  <c r="O285" i="2"/>
  <c r="O669" i="2"/>
  <c r="O1186" i="2"/>
  <c r="O227" i="2"/>
  <c r="O210" i="2"/>
  <c r="O554" i="2"/>
  <c r="O482" i="2"/>
  <c r="O194" i="2"/>
  <c r="O1129" i="2"/>
  <c r="O841" i="2"/>
  <c r="O433" i="2"/>
  <c r="O385" i="2"/>
  <c r="O410" i="2"/>
  <c r="O338" i="2"/>
  <c r="O242" i="2"/>
  <c r="O170" i="2"/>
  <c r="O1033" i="2"/>
  <c r="O1009" i="2"/>
  <c r="O721" i="2"/>
  <c r="O697" i="2"/>
  <c r="O409" i="2"/>
  <c r="O337" i="2"/>
  <c r="O289" i="2"/>
  <c r="O265" i="2"/>
  <c r="O193" i="2"/>
  <c r="O97" i="2"/>
  <c r="O1128" i="2"/>
  <c r="O984" i="2"/>
  <c r="O720" i="2"/>
  <c r="O696" i="2"/>
  <c r="O672" i="2"/>
  <c r="O600" i="2"/>
  <c r="O480" i="2"/>
  <c r="O408" i="2"/>
  <c r="O312" i="2"/>
  <c r="O240" i="2"/>
  <c r="O192" i="2"/>
  <c r="O144" i="2"/>
  <c r="O744" i="2"/>
  <c r="O1151" i="2"/>
  <c r="O985" i="2"/>
  <c r="O640" i="2"/>
  <c r="O1098" i="2"/>
  <c r="O314" i="2"/>
  <c r="O937" i="2"/>
  <c r="O1121" i="2"/>
  <c r="O1073" i="2"/>
  <c r="O953" i="2"/>
  <c r="O905" i="2"/>
  <c r="O881" i="2"/>
  <c r="O857" i="2"/>
  <c r="O809" i="2"/>
  <c r="O665" i="2"/>
  <c r="O617" i="2"/>
  <c r="O593" i="2"/>
  <c r="O497" i="2"/>
  <c r="O449" i="2"/>
  <c r="O377" i="2"/>
  <c r="O305" i="2"/>
  <c r="O281" i="2"/>
  <c r="O161" i="2"/>
  <c r="O65" i="2"/>
  <c r="O17" i="2"/>
  <c r="O473" i="2"/>
  <c r="O218" i="2"/>
  <c r="O738" i="2"/>
  <c r="O859" i="2"/>
  <c r="O1194" i="2"/>
  <c r="O1122" i="2"/>
  <c r="O1074" i="2"/>
  <c r="O642" i="2"/>
  <c r="O42" i="2"/>
  <c r="O1048" i="2"/>
  <c r="O928" i="2"/>
  <c r="O856" i="2"/>
  <c r="O736" i="2"/>
  <c r="O568" i="2"/>
  <c r="O472" i="2"/>
  <c r="O184" i="2"/>
  <c r="O16" i="2"/>
  <c r="O762" i="2"/>
  <c r="O1143" i="2"/>
  <c r="O1047" i="2"/>
  <c r="O1023" i="2"/>
  <c r="O999" i="2"/>
  <c r="O927" i="2"/>
  <c r="O879" i="2"/>
  <c r="O855" i="2"/>
  <c r="O735" i="2"/>
  <c r="O711" i="2"/>
  <c r="O687" i="2"/>
  <c r="O639" i="2"/>
  <c r="O615" i="2"/>
  <c r="O591" i="2"/>
  <c r="O543" i="2"/>
  <c r="O495" i="2"/>
  <c r="O471" i="2"/>
  <c r="O447" i="2"/>
  <c r="O423" i="2"/>
  <c r="O399" i="2"/>
  <c r="O351" i="2"/>
  <c r="O327" i="2"/>
  <c r="O303" i="2"/>
  <c r="O279" i="2"/>
  <c r="O231" i="2"/>
  <c r="O207" i="2"/>
  <c r="O183" i="2"/>
  <c r="O159" i="2"/>
  <c r="O135" i="2"/>
  <c r="O111" i="2"/>
  <c r="O15" i="2"/>
  <c r="O960" i="2"/>
  <c r="O833" i="2"/>
  <c r="O906" i="2"/>
  <c r="O954" i="2"/>
  <c r="O1168" i="2"/>
  <c r="O854" i="2"/>
  <c r="O782" i="2"/>
  <c r="O614" i="2"/>
  <c r="O446" i="2"/>
  <c r="O182" i="2"/>
  <c r="O134" i="2"/>
  <c r="O110" i="2"/>
  <c r="O978" i="2"/>
  <c r="O1144" i="2"/>
  <c r="O1096" i="2"/>
  <c r="O1024" i="2"/>
  <c r="O904" i="2"/>
  <c r="O832" i="2"/>
  <c r="O784" i="2"/>
  <c r="O664" i="2"/>
  <c r="O592" i="2"/>
  <c r="O544" i="2"/>
  <c r="O496" i="2"/>
  <c r="O448" i="2"/>
  <c r="O304" i="2"/>
  <c r="O208" i="2"/>
  <c r="O160" i="2"/>
  <c r="O1094" i="2"/>
  <c r="O926" i="2"/>
  <c r="O662" i="2"/>
  <c r="O996" i="2"/>
  <c r="O900" i="2"/>
  <c r="O780" i="2"/>
  <c r="O684" i="2"/>
  <c r="O612" i="2"/>
  <c r="O564" i="2"/>
  <c r="O516" i="2"/>
  <c r="O396" i="2"/>
  <c r="O324" i="2"/>
  <c r="O204" i="2"/>
  <c r="O180" i="2"/>
  <c r="O156" i="2"/>
  <c r="O756" i="2"/>
  <c r="O211" i="2"/>
  <c r="O133" i="2"/>
  <c r="O560" i="2"/>
  <c r="O512" i="2"/>
  <c r="O464" i="2"/>
  <c r="O392" i="2"/>
  <c r="O368" i="2"/>
  <c r="O517" i="2"/>
  <c r="O911" i="2"/>
  <c r="O791" i="2"/>
  <c r="O599" i="2"/>
  <c r="O575" i="2"/>
  <c r="O527" i="2"/>
  <c r="O431" i="2"/>
  <c r="O119" i="2"/>
  <c r="O253" i="2"/>
  <c r="O1189" i="2"/>
  <c r="O1165" i="2"/>
  <c r="O1141" i="2"/>
  <c r="O973" i="2"/>
  <c r="O949" i="2"/>
  <c r="O901" i="2"/>
  <c r="O805" i="2"/>
  <c r="O733" i="2"/>
  <c r="O709" i="2"/>
  <c r="O685" i="2"/>
  <c r="O589" i="2"/>
  <c r="O397" i="2"/>
  <c r="O301" i="2"/>
  <c r="O109" i="2"/>
  <c r="O13" i="2"/>
</calcChain>
</file>

<file path=xl/sharedStrings.xml><?xml version="1.0" encoding="utf-8"?>
<sst xmlns="http://schemas.openxmlformats.org/spreadsheetml/2006/main" count="9277" uniqueCount="1709">
  <si>
    <t>Retail Sales Dataset (synthetic practice data - not real company data)</t>
  </si>
  <si>
    <t>Orders: 1,200 orders, Jan 2024 - Dec 2025. Sales and Profit are NOT given - you calculate them (Task L / F).</t>
  </si>
  <si>
    <t>Products: lookup table for Product Name, Category, Cost Price, Unit Price.</t>
  </si>
  <si>
    <t>Customers: lookup table for Customer Name, City, State, Region, Segment.</t>
  </si>
  <si>
    <t>Monthly_Targets_2025: wide format (months as columns) - use Power Query Unpivot.</t>
  </si>
  <si>
    <t>Formulas to use:  Sales = Quantity x Unit Price x (1 - Discount)   |   Profit = Sales - (Quantity x Cost Price)</t>
  </si>
  <si>
    <t>Note: Returned / Cancelled orders should be excluded from Sales analysis (Status = Delivered or Pending only).</t>
  </si>
  <si>
    <t>Order ID</t>
  </si>
  <si>
    <t>Order Date</t>
  </si>
  <si>
    <t>Customer ID</t>
  </si>
  <si>
    <t>Product ID</t>
  </si>
  <si>
    <t>Quantity</t>
  </si>
  <si>
    <t>Discount</t>
  </si>
  <si>
    <t>Ship Mode</t>
  </si>
  <si>
    <t>Payment Mode</t>
  </si>
  <si>
    <t>Status</t>
  </si>
  <si>
    <t>ORD00001</t>
  </si>
  <si>
    <t>C0032</t>
  </si>
  <si>
    <t>P009</t>
  </si>
  <si>
    <t>Express</t>
  </si>
  <si>
    <t>Cash on Delivery</t>
  </si>
  <si>
    <t>Delivered</t>
  </si>
  <si>
    <t>ORD00002</t>
  </si>
  <si>
    <t>C0048</t>
  </si>
  <si>
    <t>P011</t>
  </si>
  <si>
    <t>Same Day</t>
  </si>
  <si>
    <t>Debit Card</t>
  </si>
  <si>
    <t>ORD00003</t>
  </si>
  <si>
    <t>C0187</t>
  </si>
  <si>
    <t>P003</t>
  </si>
  <si>
    <t>Standard</t>
  </si>
  <si>
    <t>Net Banking</t>
  </si>
  <si>
    <t>ORD00004</t>
  </si>
  <si>
    <t>C0083</t>
  </si>
  <si>
    <t>P010</t>
  </si>
  <si>
    <t>ORD00005</t>
  </si>
  <si>
    <t>C0184</t>
  </si>
  <si>
    <t>P020</t>
  </si>
  <si>
    <t>UPI</t>
  </si>
  <si>
    <t>ORD00006</t>
  </si>
  <si>
    <t>C0158</t>
  </si>
  <si>
    <t>P012</t>
  </si>
  <si>
    <t>Pending</t>
  </si>
  <si>
    <t>ORD00007</t>
  </si>
  <si>
    <t>C0164</t>
  </si>
  <si>
    <t>P022</t>
  </si>
  <si>
    <t>Credit Card</t>
  </si>
  <si>
    <t>ORD00008</t>
  </si>
  <si>
    <t>C0037</t>
  </si>
  <si>
    <t>P001</t>
  </si>
  <si>
    <t>ORD00009</t>
  </si>
  <si>
    <t>C0099</t>
  </si>
  <si>
    <t>ORD00010</t>
  </si>
  <si>
    <t>C0196</t>
  </si>
  <si>
    <t>P015</t>
  </si>
  <si>
    <t>ORD00011</t>
  </si>
  <si>
    <t>C0072</t>
  </si>
  <si>
    <t>P021</t>
  </si>
  <si>
    <t>ORD00012</t>
  </si>
  <si>
    <t>C0100</t>
  </si>
  <si>
    <t>P017</t>
  </si>
  <si>
    <t>ORD00013</t>
  </si>
  <si>
    <t>C0157</t>
  </si>
  <si>
    <t>P007</t>
  </si>
  <si>
    <t>ORD00014</t>
  </si>
  <si>
    <t>C0019</t>
  </si>
  <si>
    <t>P005</t>
  </si>
  <si>
    <t>ORD00015</t>
  </si>
  <si>
    <t>C0089</t>
  </si>
  <si>
    <t>ORD00016</t>
  </si>
  <si>
    <t>C0045</t>
  </si>
  <si>
    <t>ORD00017</t>
  </si>
  <si>
    <t>C0127</t>
  </si>
  <si>
    <t>P008</t>
  </si>
  <si>
    <t>ORD00018</t>
  </si>
  <si>
    <t>ORD00019</t>
  </si>
  <si>
    <t>C0106</t>
  </si>
  <si>
    <t>ORD00020</t>
  </si>
  <si>
    <t>C0120</t>
  </si>
  <si>
    <t>Returned</t>
  </si>
  <si>
    <t>ORD00021</t>
  </si>
  <si>
    <t>C0197</t>
  </si>
  <si>
    <t>P006</t>
  </si>
  <si>
    <t>ORD00022</t>
  </si>
  <si>
    <t>C0040</t>
  </si>
  <si>
    <t>ORD00023</t>
  </si>
  <si>
    <t>C0133</t>
  </si>
  <si>
    <t>ORD00024</t>
  </si>
  <si>
    <t>C0033</t>
  </si>
  <si>
    <t>ORD00025</t>
  </si>
  <si>
    <t>C0149</t>
  </si>
  <si>
    <t>P019</t>
  </si>
  <si>
    <t>ORD00026</t>
  </si>
  <si>
    <t>C0011</t>
  </si>
  <si>
    <t>Cancelled</t>
  </si>
  <si>
    <t>ORD00027</t>
  </si>
  <si>
    <t>C0054</t>
  </si>
  <si>
    <t>ORD00028</t>
  </si>
  <si>
    <t>C0165</t>
  </si>
  <si>
    <t>ORD00029</t>
  </si>
  <si>
    <t>C0117</t>
  </si>
  <si>
    <t>ORD00030</t>
  </si>
  <si>
    <t>C0053</t>
  </si>
  <si>
    <t>ORD00031</t>
  </si>
  <si>
    <t>C0103</t>
  </si>
  <si>
    <t>ORD00032</t>
  </si>
  <si>
    <t>ORD00033</t>
  </si>
  <si>
    <t>ORD00034</t>
  </si>
  <si>
    <t>C0185</t>
  </si>
  <si>
    <t>ORD00035</t>
  </si>
  <si>
    <t>C0079</t>
  </si>
  <si>
    <t>P016</t>
  </si>
  <si>
    <t>ORD00036</t>
  </si>
  <si>
    <t>C0056</t>
  </si>
  <si>
    <t>ORD00037</t>
  </si>
  <si>
    <t>C0138</t>
  </si>
  <si>
    <t>ORD00038</t>
  </si>
  <si>
    <t>C0094</t>
  </si>
  <si>
    <t>P013</t>
  </si>
  <si>
    <t>ORD00039</t>
  </si>
  <si>
    <t>C0074</t>
  </si>
  <si>
    <t>P018</t>
  </si>
  <si>
    <t>ORD00040</t>
  </si>
  <si>
    <t>C0175</t>
  </si>
  <si>
    <t>ORD00041</t>
  </si>
  <si>
    <t>ORD00042</t>
  </si>
  <si>
    <t>C0010</t>
  </si>
  <si>
    <t>P002</t>
  </si>
  <si>
    <t>ORD00043</t>
  </si>
  <si>
    <t>C0156</t>
  </si>
  <si>
    <t>ORD00044</t>
  </si>
  <si>
    <t>ORD00045</t>
  </si>
  <si>
    <t>C0182</t>
  </si>
  <si>
    <t>ORD00046</t>
  </si>
  <si>
    <t>C0150</t>
  </si>
  <si>
    <t>P014</t>
  </si>
  <si>
    <t>ORD00047</t>
  </si>
  <si>
    <t>C0122</t>
  </si>
  <si>
    <t>ORD00048</t>
  </si>
  <si>
    <t>ORD00049</t>
  </si>
  <si>
    <t>C0038</t>
  </si>
  <si>
    <t>ORD00050</t>
  </si>
  <si>
    <t>C0113</t>
  </si>
  <si>
    <t>ORD00051</t>
  </si>
  <si>
    <t>C0199</t>
  </si>
  <si>
    <t>ORD00052</t>
  </si>
  <si>
    <t>ORD00053</t>
  </si>
  <si>
    <t>ORD00054</t>
  </si>
  <si>
    <t>C0124</t>
  </si>
  <si>
    <t>ORD00055</t>
  </si>
  <si>
    <t>C0198</t>
  </si>
  <si>
    <t>ORD00056</t>
  </si>
  <si>
    <t>C0090</t>
  </si>
  <si>
    <t>ORD00057</t>
  </si>
  <si>
    <t>C0147</t>
  </si>
  <si>
    <t>P004</t>
  </si>
  <si>
    <t>ORD00058</t>
  </si>
  <si>
    <t>ORD00059</t>
  </si>
  <si>
    <t>C0055</t>
  </si>
  <si>
    <t>ORD00060</t>
  </si>
  <si>
    <t>C0028</t>
  </si>
  <si>
    <t>ORD00061</t>
  </si>
  <si>
    <t>C0060</t>
  </si>
  <si>
    <t>ORD00062</t>
  </si>
  <si>
    <t>ORD00063</t>
  </si>
  <si>
    <t>ORD00064</t>
  </si>
  <si>
    <t>C0166</t>
  </si>
  <si>
    <t>ORD00065</t>
  </si>
  <si>
    <t>C0190</t>
  </si>
  <si>
    <t>ORD00066</t>
  </si>
  <si>
    <t>ORD00067</t>
  </si>
  <si>
    <t>C0077</t>
  </si>
  <si>
    <t>ORD00068</t>
  </si>
  <si>
    <t>ORD00069</t>
  </si>
  <si>
    <t>C0042</t>
  </si>
  <si>
    <t>ORD00070</t>
  </si>
  <si>
    <t>C0146</t>
  </si>
  <si>
    <t>ORD00071</t>
  </si>
  <si>
    <t>C0084</t>
  </si>
  <si>
    <t>ORD00072</t>
  </si>
  <si>
    <t>C0064</t>
  </si>
  <si>
    <t>ORD00073</t>
  </si>
  <si>
    <t>ORD00074</t>
  </si>
  <si>
    <t>C0031</t>
  </si>
  <si>
    <t>ORD00075</t>
  </si>
  <si>
    <t>ORD00076</t>
  </si>
  <si>
    <t>ORD00077</t>
  </si>
  <si>
    <t>ORD00078</t>
  </si>
  <si>
    <t>C0136</t>
  </si>
  <si>
    <t>ORD00079</t>
  </si>
  <si>
    <t>C0052</t>
  </si>
  <si>
    <t>ORD00080</t>
  </si>
  <si>
    <t>ORD00081</t>
  </si>
  <si>
    <t>ORD00082</t>
  </si>
  <si>
    <t>C0173</t>
  </si>
  <si>
    <t>ORD00083</t>
  </si>
  <si>
    <t>ORD00084</t>
  </si>
  <si>
    <t>C0121</t>
  </si>
  <si>
    <t>ORD00085</t>
  </si>
  <si>
    <t>C0098</t>
  </si>
  <si>
    <t>ORD00086</t>
  </si>
  <si>
    <t>C0170</t>
  </si>
  <si>
    <t>ORD00087</t>
  </si>
  <si>
    <t>C0101</t>
  </si>
  <si>
    <t>ORD00088</t>
  </si>
  <si>
    <t>C0119</t>
  </si>
  <si>
    <t>ORD00089</t>
  </si>
  <si>
    <t>ORD00090</t>
  </si>
  <si>
    <t>ORD00091</t>
  </si>
  <si>
    <t>C0018</t>
  </si>
  <si>
    <t>ORD00092</t>
  </si>
  <si>
    <t>ORD00093</t>
  </si>
  <si>
    <t>C0129</t>
  </si>
  <si>
    <t>ORD00094</t>
  </si>
  <si>
    <t>C0154</t>
  </si>
  <si>
    <t>ORD00095</t>
  </si>
  <si>
    <t>ORD00096</t>
  </si>
  <si>
    <t>C0174</t>
  </si>
  <si>
    <t>ORD00097</t>
  </si>
  <si>
    <t>C0082</t>
  </si>
  <si>
    <t>ORD00098</t>
  </si>
  <si>
    <t>C0062</t>
  </si>
  <si>
    <t>ORD00099</t>
  </si>
  <si>
    <t>ORD00100</t>
  </si>
  <si>
    <t>C0085</t>
  </si>
  <si>
    <t>ORD00101</t>
  </si>
  <si>
    <t>C0014</t>
  </si>
  <si>
    <t>ORD00102</t>
  </si>
  <si>
    <t>C0195</t>
  </si>
  <si>
    <t>ORD00103</t>
  </si>
  <si>
    <t>ORD00104</t>
  </si>
  <si>
    <t>C0181</t>
  </si>
  <si>
    <t>ORD00105</t>
  </si>
  <si>
    <t>ORD00106</t>
  </si>
  <si>
    <t>ORD00107</t>
  </si>
  <si>
    <t>C0081</t>
  </si>
  <si>
    <t>ORD00108</t>
  </si>
  <si>
    <t>C0067</t>
  </si>
  <si>
    <t>ORD00109</t>
  </si>
  <si>
    <t>C0051</t>
  </si>
  <si>
    <t>ORD00110</t>
  </si>
  <si>
    <t>C0168</t>
  </si>
  <si>
    <t>ORD00111</t>
  </si>
  <si>
    <t>C0044</t>
  </si>
  <si>
    <t>ORD00112</t>
  </si>
  <si>
    <t>ORD00113</t>
  </si>
  <si>
    <t>ORD00114</t>
  </si>
  <si>
    <t>ORD00115</t>
  </si>
  <si>
    <t>C0169</t>
  </si>
  <si>
    <t>ORD00116</t>
  </si>
  <si>
    <t>ORD00117</t>
  </si>
  <si>
    <t>ORD00118</t>
  </si>
  <si>
    <t>C0091</t>
  </si>
  <si>
    <t>ORD00119</t>
  </si>
  <si>
    <t>C0063</t>
  </si>
  <si>
    <t>ORD00120</t>
  </si>
  <si>
    <t>C0104</t>
  </si>
  <si>
    <t>ORD00121</t>
  </si>
  <si>
    <t>C0022</t>
  </si>
  <si>
    <t>ORD00122</t>
  </si>
  <si>
    <t>ORD00123</t>
  </si>
  <si>
    <t>C0070</t>
  </si>
  <si>
    <t>ORD00124</t>
  </si>
  <si>
    <t>ORD00125</t>
  </si>
  <si>
    <t>ORD00126</t>
  </si>
  <si>
    <t>ORD00127</t>
  </si>
  <si>
    <t>C0191</t>
  </si>
  <si>
    <t>ORD00128</t>
  </si>
  <si>
    <t>ORD00129</t>
  </si>
  <si>
    <t>C0126</t>
  </si>
  <si>
    <t>ORD00130</t>
  </si>
  <si>
    <t>ORD00131</t>
  </si>
  <si>
    <t>C0069</t>
  </si>
  <si>
    <t>ORD00132</t>
  </si>
  <si>
    <t>C0093</t>
  </si>
  <si>
    <t>ORD00133</t>
  </si>
  <si>
    <t>C0027</t>
  </si>
  <si>
    <t>ORD00134</t>
  </si>
  <si>
    <t>C0105</t>
  </si>
  <si>
    <t>ORD00135</t>
  </si>
  <si>
    <t>ORD00136</t>
  </si>
  <si>
    <t>ORD00137</t>
  </si>
  <si>
    <t>ORD00138</t>
  </si>
  <si>
    <t>ORD00139</t>
  </si>
  <si>
    <t>ORD00140</t>
  </si>
  <si>
    <t>C0159</t>
  </si>
  <si>
    <t>ORD00141</t>
  </si>
  <si>
    <t>C0153</t>
  </si>
  <si>
    <t>ORD00142</t>
  </si>
  <si>
    <t>ORD00143</t>
  </si>
  <si>
    <t>ORD00144</t>
  </si>
  <si>
    <t>C0145</t>
  </si>
  <si>
    <t>ORD00145</t>
  </si>
  <si>
    <t>ORD00146</t>
  </si>
  <si>
    <t>ORD00147</t>
  </si>
  <si>
    <t>C0097</t>
  </si>
  <si>
    <t>ORD00148</t>
  </si>
  <si>
    <t>C0130</t>
  </si>
  <si>
    <t>ORD00149</t>
  </si>
  <si>
    <t>ORD00150</t>
  </si>
  <si>
    <t>ORD00151</t>
  </si>
  <si>
    <t>C0111</t>
  </si>
  <si>
    <t>ORD00152</t>
  </si>
  <si>
    <t>ORD00153</t>
  </si>
  <si>
    <t>C0039</t>
  </si>
  <si>
    <t>ORD00154</t>
  </si>
  <si>
    <t>C0030</t>
  </si>
  <si>
    <t>ORD00155</t>
  </si>
  <si>
    <t>ORD00156</t>
  </si>
  <si>
    <t>ORD00157</t>
  </si>
  <si>
    <t>C0043</t>
  </si>
  <si>
    <t>ORD00158</t>
  </si>
  <si>
    <t>ORD00159</t>
  </si>
  <si>
    <t>C0008</t>
  </si>
  <si>
    <t>ORD00160</t>
  </si>
  <si>
    <t>ORD00161</t>
  </si>
  <si>
    <t>ORD00162</t>
  </si>
  <si>
    <t>ORD00163</t>
  </si>
  <si>
    <t>ORD00164</t>
  </si>
  <si>
    <t>ORD00165</t>
  </si>
  <si>
    <t>C0178</t>
  </si>
  <si>
    <t>ORD00166</t>
  </si>
  <si>
    <t>C0109</t>
  </si>
  <si>
    <t>ORD00167</t>
  </si>
  <si>
    <t>ORD00168</t>
  </si>
  <si>
    <t>C0092</t>
  </si>
  <si>
    <t>ORD00169</t>
  </si>
  <si>
    <t>ORD00170</t>
  </si>
  <si>
    <t>ORD00171</t>
  </si>
  <si>
    <t>C0071</t>
  </si>
  <si>
    <t>ORD00172</t>
  </si>
  <si>
    <t>C0141</t>
  </si>
  <si>
    <t>ORD00173</t>
  </si>
  <si>
    <t>C0194</t>
  </si>
  <si>
    <t>ORD00174</t>
  </si>
  <si>
    <t>C0189</t>
  </si>
  <si>
    <t>ORD00175</t>
  </si>
  <si>
    <t>C0023</t>
  </si>
  <si>
    <t>ORD00176</t>
  </si>
  <si>
    <t>C0177</t>
  </si>
  <si>
    <t>ORD00177</t>
  </si>
  <si>
    <t>C0036</t>
  </si>
  <si>
    <t>ORD00178</t>
  </si>
  <si>
    <t>ORD00179</t>
  </si>
  <si>
    <t>ORD00180</t>
  </si>
  <si>
    <t>C0016</t>
  </si>
  <si>
    <t>ORD00181</t>
  </si>
  <si>
    <t>C0183</t>
  </si>
  <si>
    <t>ORD00182</t>
  </si>
  <si>
    <t>ORD00183</t>
  </si>
  <si>
    <t>C0132</t>
  </si>
  <si>
    <t>ORD00184</t>
  </si>
  <si>
    <t>ORD00185</t>
  </si>
  <si>
    <t>C0171</t>
  </si>
  <si>
    <t>ORD00186</t>
  </si>
  <si>
    <t>ORD00187</t>
  </si>
  <si>
    <t>C0034</t>
  </si>
  <si>
    <t>ORD00188</t>
  </si>
  <si>
    <t>C0161</t>
  </si>
  <si>
    <t>ORD00189</t>
  </si>
  <si>
    <t>C0001</t>
  </si>
  <si>
    <t>ORD00190</t>
  </si>
  <si>
    <t>ORD00191</t>
  </si>
  <si>
    <t>C0102</t>
  </si>
  <si>
    <t>ORD00192</t>
  </si>
  <si>
    <t>ORD00193</t>
  </si>
  <si>
    <t>C0114</t>
  </si>
  <si>
    <t>ORD00194</t>
  </si>
  <si>
    <t>C0123</t>
  </si>
  <si>
    <t>ORD00195</t>
  </si>
  <si>
    <t>C0095</t>
  </si>
  <si>
    <t>ORD00196</t>
  </si>
  <si>
    <t>ORD00197</t>
  </si>
  <si>
    <t>C0192</t>
  </si>
  <si>
    <t>ORD00198</t>
  </si>
  <si>
    <t>C0026</t>
  </si>
  <si>
    <t>ORD00199</t>
  </si>
  <si>
    <t>ORD00200</t>
  </si>
  <si>
    <t>ORD00201</t>
  </si>
  <si>
    <t>ORD00202</t>
  </si>
  <si>
    <t>ORD00203</t>
  </si>
  <si>
    <t>C0004</t>
  </si>
  <si>
    <t>ORD00204</t>
  </si>
  <si>
    <t>C0140</t>
  </si>
  <si>
    <t>ORD00205</t>
  </si>
  <si>
    <t>ORD00206</t>
  </si>
  <si>
    <t>ORD00207</t>
  </si>
  <si>
    <t>ORD00208</t>
  </si>
  <si>
    <t>ORD00209</t>
  </si>
  <si>
    <t>C0179</t>
  </si>
  <si>
    <t>ORD00210</t>
  </si>
  <si>
    <t>C0112</t>
  </si>
  <si>
    <t>ORD00211</t>
  </si>
  <si>
    <t>ORD00212</t>
  </si>
  <si>
    <t>ORD00213</t>
  </si>
  <si>
    <t>C0086</t>
  </si>
  <si>
    <t>ORD00214</t>
  </si>
  <si>
    <t>C0020</t>
  </si>
  <si>
    <t>ORD00215</t>
  </si>
  <si>
    <t>ORD00216</t>
  </si>
  <si>
    <t>ORD00217</t>
  </si>
  <si>
    <t>ORD00218</t>
  </si>
  <si>
    <t>C0108</t>
  </si>
  <si>
    <t>ORD00219</t>
  </si>
  <si>
    <t>ORD00220</t>
  </si>
  <si>
    <t>ORD00221</t>
  </si>
  <si>
    <t>ORD00222</t>
  </si>
  <si>
    <t>C0078</t>
  </si>
  <si>
    <t>ORD00223</t>
  </si>
  <si>
    <t>ORD00224</t>
  </si>
  <si>
    <t>ORD00225</t>
  </si>
  <si>
    <t>ORD00226</t>
  </si>
  <si>
    <t>ORD00227</t>
  </si>
  <si>
    <t>C0118</t>
  </si>
  <si>
    <t>ORD00228</t>
  </si>
  <si>
    <t>C0152</t>
  </si>
  <si>
    <t>ORD00229</t>
  </si>
  <si>
    <t>ORD00230</t>
  </si>
  <si>
    <t>ORD00231</t>
  </si>
  <si>
    <t>ORD00232</t>
  </si>
  <si>
    <t>ORD00233</t>
  </si>
  <si>
    <t>C0176</t>
  </si>
  <si>
    <t>ORD00234</t>
  </si>
  <si>
    <t>ORD00235</t>
  </si>
  <si>
    <t>ORD00236</t>
  </si>
  <si>
    <t>C0143</t>
  </si>
  <si>
    <t>ORD00237</t>
  </si>
  <si>
    <t>ORD00238</t>
  </si>
  <si>
    <t>C0151</t>
  </si>
  <si>
    <t>ORD00239</t>
  </si>
  <si>
    <t>ORD00240</t>
  </si>
  <si>
    <t>ORD00241</t>
  </si>
  <si>
    <t>ORD00242</t>
  </si>
  <si>
    <t>ORD00243</t>
  </si>
  <si>
    <t>ORD00244</t>
  </si>
  <si>
    <t>ORD00245</t>
  </si>
  <si>
    <t>ORD00246</t>
  </si>
  <si>
    <t>C0125</t>
  </si>
  <si>
    <t>ORD00247</t>
  </si>
  <si>
    <t>C0007</t>
  </si>
  <si>
    <t>ORD00248</t>
  </si>
  <si>
    <t>ORD00249</t>
  </si>
  <si>
    <t>ORD00250</t>
  </si>
  <si>
    <t>C0148</t>
  </si>
  <si>
    <t>ORD00251</t>
  </si>
  <si>
    <t>ORD00252</t>
  </si>
  <si>
    <t>ORD00253</t>
  </si>
  <si>
    <t>ORD00254</t>
  </si>
  <si>
    <t>C0135</t>
  </si>
  <si>
    <t>ORD00255</t>
  </si>
  <si>
    <t>ORD00256</t>
  </si>
  <si>
    <t>ORD00257</t>
  </si>
  <si>
    <t>ORD00258</t>
  </si>
  <si>
    <t>C0188</t>
  </si>
  <si>
    <t>ORD00259</t>
  </si>
  <si>
    <t>ORD00260</t>
  </si>
  <si>
    <t>ORD00261</t>
  </si>
  <si>
    <t>ORD00262</t>
  </si>
  <si>
    <t>C0047</t>
  </si>
  <si>
    <t>ORD00263</t>
  </si>
  <si>
    <t>C0128</t>
  </si>
  <si>
    <t>ORD00264</t>
  </si>
  <si>
    <t>C0163</t>
  </si>
  <si>
    <t>ORD00265</t>
  </si>
  <si>
    <t>C0003</t>
  </si>
  <si>
    <t>ORD00266</t>
  </si>
  <si>
    <t>ORD00267</t>
  </si>
  <si>
    <t>ORD00268</t>
  </si>
  <si>
    <t>ORD00269</t>
  </si>
  <si>
    <t>ORD00270</t>
  </si>
  <si>
    <t>ORD00271</t>
  </si>
  <si>
    <t>ORD00272</t>
  </si>
  <si>
    <t>ORD00273</t>
  </si>
  <si>
    <t>ORD00274</t>
  </si>
  <si>
    <t>ORD00275</t>
  </si>
  <si>
    <t>ORD00276</t>
  </si>
  <si>
    <t>ORD00277</t>
  </si>
  <si>
    <t>ORD00278</t>
  </si>
  <si>
    <t>ORD00279</t>
  </si>
  <si>
    <t>C0012</t>
  </si>
  <si>
    <t>ORD00280</t>
  </si>
  <si>
    <t>ORD00281</t>
  </si>
  <si>
    <t>C0059</t>
  </si>
  <si>
    <t>ORD00282</t>
  </si>
  <si>
    <t>ORD00283</t>
  </si>
  <si>
    <t>ORD00284</t>
  </si>
  <si>
    <t>ORD00285</t>
  </si>
  <si>
    <t>ORD00286</t>
  </si>
  <si>
    <t>ORD00287</t>
  </si>
  <si>
    <t>ORD00288</t>
  </si>
  <si>
    <t>C0180</t>
  </si>
  <si>
    <t>ORD00289</t>
  </si>
  <si>
    <t>ORD00290</t>
  </si>
  <si>
    <t>ORD00291</t>
  </si>
  <si>
    <t>ORD00292</t>
  </si>
  <si>
    <t>ORD00293</t>
  </si>
  <si>
    <t>C0006</t>
  </si>
  <si>
    <t>ORD00294</t>
  </si>
  <si>
    <t>ORD00295</t>
  </si>
  <si>
    <t>ORD00296</t>
  </si>
  <si>
    <t>ORD00297</t>
  </si>
  <si>
    <t>C0017</t>
  </si>
  <si>
    <t>ORD00298</t>
  </si>
  <si>
    <t>ORD00299</t>
  </si>
  <si>
    <t>ORD00300</t>
  </si>
  <si>
    <t>ORD00301</t>
  </si>
  <si>
    <t>ORD00302</t>
  </si>
  <si>
    <t>ORD00303</t>
  </si>
  <si>
    <t>ORD00304</t>
  </si>
  <si>
    <t>C0058</t>
  </si>
  <si>
    <t>ORD00305</t>
  </si>
  <si>
    <t>ORD00306</t>
  </si>
  <si>
    <t>ORD00307</t>
  </si>
  <si>
    <t>ORD00308</t>
  </si>
  <si>
    <t>ORD00309</t>
  </si>
  <si>
    <t>ORD00310</t>
  </si>
  <si>
    <t>ORD00311</t>
  </si>
  <si>
    <t>ORD00312</t>
  </si>
  <si>
    <t>ORD00313</t>
  </si>
  <si>
    <t>ORD00314</t>
  </si>
  <si>
    <t>C0186</t>
  </si>
  <si>
    <t>ORD00315</t>
  </si>
  <si>
    <t>ORD00316</t>
  </si>
  <si>
    <t>ORD00317</t>
  </si>
  <si>
    <t>ORD00318</t>
  </si>
  <si>
    <t>C0096</t>
  </si>
  <si>
    <t>ORD00319</t>
  </si>
  <si>
    <t>ORD00320</t>
  </si>
  <si>
    <t>ORD00321</t>
  </si>
  <si>
    <t>ORD00322</t>
  </si>
  <si>
    <t>ORD00323</t>
  </si>
  <si>
    <t>ORD00324</t>
  </si>
  <si>
    <t>ORD00325</t>
  </si>
  <si>
    <t>C0137</t>
  </si>
  <si>
    <t>ORD00326</t>
  </si>
  <si>
    <t>C0005</t>
  </si>
  <si>
    <t>ORD00327</t>
  </si>
  <si>
    <t>ORD00328</t>
  </si>
  <si>
    <t>ORD00329</t>
  </si>
  <si>
    <t>ORD00330</t>
  </si>
  <si>
    <t>ORD00331</t>
  </si>
  <si>
    <t>ORD00332</t>
  </si>
  <si>
    <t>ORD00333</t>
  </si>
  <si>
    <t>ORD00334</t>
  </si>
  <si>
    <t>ORD00335</t>
  </si>
  <si>
    <t>ORD00336</t>
  </si>
  <si>
    <t>ORD00337</t>
  </si>
  <si>
    <t>ORD00338</t>
  </si>
  <si>
    <t>C0076</t>
  </si>
  <si>
    <t>ORD00339</t>
  </si>
  <si>
    <t>C0061</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</si>
  <si>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</si>
  <si>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</si>
  <si>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</si>
  <si>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</si>
  <si>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</si>
  <si>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</si>
  <si>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</si>
  <si>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</si>
  <si>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</si>
  <si>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</si>
  <si>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</si>
  <si>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</si>
  <si>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</si>
  <si>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</si>
  <si>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</si>
  <si>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</si>
  <si>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C0193</t>
  </si>
  <si>
    <t>ORD00356</t>
  </si>
  <si>
    <t>ORD00357</t>
  </si>
  <si>
    <t>ORD00358</t>
  </si>
  <si>
    <t>ORD00359</t>
  </si>
  <si>
    <t>C0024</t>
  </si>
  <si>
    <t>ORD00360</t>
  </si>
  <si>
    <t>ORD00361</t>
  </si>
  <si>
    <t>ORD00362</t>
  </si>
  <si>
    <t>ORD00363</t>
  </si>
  <si>
    <t>C0134</t>
  </si>
  <si>
    <t>ORD00364</t>
  </si>
  <si>
    <t>ORD00365</t>
  </si>
  <si>
    <t>ORD00366</t>
  </si>
  <si>
    <t>ORD00367</t>
  </si>
  <si>
    <t>C0035</t>
  </si>
  <si>
    <t>ORD00368</t>
  </si>
  <si>
    <t>ORD00369</t>
  </si>
  <si>
    <t>ORD00370</t>
  </si>
  <si>
    <t>ORD00371</t>
  </si>
  <si>
    <t>C0088</t>
  </si>
  <si>
    <t>ORD00372</t>
  </si>
  <si>
    <t>ORD00373</t>
  </si>
  <si>
    <t>ORD00374</t>
  </si>
  <si>
    <t>C0139</t>
  </si>
  <si>
    <t>ORD00375</t>
  </si>
  <si>
    <t>ORD00376</t>
  </si>
  <si>
    <t>ORD00377</t>
  </si>
  <si>
    <t>ORD00378</t>
  </si>
  <si>
    <t>ORD00379</t>
  </si>
  <si>
    <t>ORD00380</t>
  </si>
  <si>
    <t>C0131</t>
  </si>
  <si>
    <t>ORD00381</t>
  </si>
  <si>
    <t>ORD00382</t>
  </si>
  <si>
    <t>ORD00383</t>
  </si>
  <si>
    <t>ORD00384</t>
  </si>
  <si>
    <t>ORD00385</t>
  </si>
  <si>
    <t>ORD00386</t>
  </si>
  <si>
    <t>C0002</t>
  </si>
  <si>
    <t>ORD00387</t>
  </si>
  <si>
    <t>ORD00388</t>
  </si>
  <si>
    <t>ORD00389</t>
  </si>
  <si>
    <t>ORD00390</t>
  </si>
  <si>
    <t>ORD00391</t>
  </si>
  <si>
    <t>ORD00392</t>
  </si>
  <si>
    <t>ORD00393</t>
  </si>
  <si>
    <t>ORD00394</t>
  </si>
  <si>
    <t>ORD00395</t>
  </si>
  <si>
    <t>C0115</t>
  </si>
  <si>
    <t>ORD00396</t>
  </si>
  <si>
    <t>ORD00397</t>
  </si>
  <si>
    <t>ORD00398</t>
  </si>
  <si>
    <t>ORD00399</t>
  </si>
  <si>
    <t>ORD00400</t>
  </si>
  <si>
    <t>ORD00401</t>
  </si>
  <si>
    <t>ORD00402</t>
  </si>
  <si>
    <t>ORD00403</t>
  </si>
  <si>
    <t>ORD00404</t>
  </si>
  <si>
    <t>ORD00405</t>
  </si>
  <si>
    <t>C0041</t>
  </si>
  <si>
    <t>ORD00406</t>
  </si>
  <si>
    <t>ORD00407</t>
  </si>
  <si>
    <t>C0142</t>
  </si>
  <si>
    <t>ORD00408</t>
  </si>
  <si>
    <t>ORD00409</t>
  </si>
  <si>
    <t>ORD00410</t>
  </si>
  <si>
    <t>ORD00411</t>
  </si>
  <si>
    <t>ORD00412</t>
  </si>
  <si>
    <t>ORD00413</t>
  </si>
  <si>
    <t>C0073</t>
  </si>
  <si>
    <t>ORD00414</t>
  </si>
  <si>
    <t>ORD00415</t>
  </si>
  <si>
    <t>C0110</t>
  </si>
  <si>
    <t>ORD00416</t>
  </si>
  <si>
    <t>ORD00417</t>
  </si>
  <si>
    <t>ORD00418</t>
  </si>
  <si>
    <t>ORD00419</t>
  </si>
  <si>
    <t>ORD00420</t>
  </si>
  <si>
    <t>ORD00421</t>
  </si>
  <si>
    <t>ORD00422</t>
  </si>
  <si>
    <t>ORD00423</t>
  </si>
  <si>
    <t>ORD00424</t>
  </si>
  <si>
    <t>ORD00425</t>
  </si>
  <si>
    <t>ORD00426</t>
  </si>
  <si>
    <t>ORD00427</t>
  </si>
  <si>
    <t>ORD00428</t>
  </si>
  <si>
    <t>ORD00429</t>
  </si>
  <si>
    <t>C0065</t>
  </si>
  <si>
    <t>ORD00430</t>
  </si>
  <si>
    <t>C0155</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</si>
  <si>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</si>
  <si>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</si>
  <si>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</si>
  <si>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</si>
  <si>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</si>
  <si>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</si>
  <si>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</si>
  <si>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</si>
  <si>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</si>
  <si>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</si>
  <si>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</si>
  <si>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</si>
  <si>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</si>
  <si>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</si>
  <si>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</si>
  <si>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</si>
  <si>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</si>
  <si>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</si>
  <si>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</si>
  <si>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C0046</t>
  </si>
  <si>
    <t>ORD00450</t>
  </si>
  <si>
    <t>ORD00451</t>
  </si>
  <si>
    <t>ORD00452</t>
  </si>
  <si>
    <t>ORD00453</t>
  </si>
  <si>
    <t>ORD00454</t>
  </si>
  <si>
    <t>ORD00455</t>
  </si>
  <si>
    <t>ORD00456</t>
  </si>
  <si>
    <t>C0050</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</si>
  <si>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</si>
  <si>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</si>
  <si>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</si>
  <si>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</si>
  <si>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</si>
  <si>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</si>
  <si>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</si>
  <si>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</si>
  <si>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</si>
  <si>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</si>
  <si>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</si>
  <si>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</si>
  <si>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</si>
  <si>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</si>
  <si>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</si>
  <si>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</si>
  <si>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</si>
  <si>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</si>
  <si>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</si>
  <si>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</si>
  <si>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</si>
  <si>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</si>
  <si>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</si>
  <si>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</si>
  <si>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</si>
  <si>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</si>
  <si>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</si>
  <si>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</si>
  <si>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C0167</t>
  </si>
  <si>
    <t>ORD00485</t>
  </si>
  <si>
    <t>ORD00486</t>
  </si>
  <si>
    <t>ORD00487</t>
  </si>
  <si>
    <t>ORD00488</t>
  </si>
  <si>
    <t>ORD00489</t>
  </si>
  <si>
    <t>C0116</t>
  </si>
  <si>
    <t>ORD00490</t>
  </si>
  <si>
    <t>ORD00491</t>
  </si>
  <si>
    <t>ORD00492</t>
  </si>
  <si>
    <t>ORD00493</t>
  </si>
  <si>
    <t>ORD00494</t>
  </si>
  <si>
    <t>ORD00495</t>
  </si>
  <si>
    <t>ORD00496</t>
  </si>
  <si>
    <t>ORD00497</t>
  </si>
  <si>
    <t>ORD00498</t>
  </si>
  <si>
    <t>ORD00499</t>
  </si>
  <si>
    <t>ORD00500</t>
  </si>
  <si>
    <t>ORD00501</t>
  </si>
  <si>
    <t>C0057</t>
  </si>
  <si>
    <t>ORD00502</t>
  </si>
  <si>
    <t>ORD00503</t>
  </si>
  <si>
    <t>C0029</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</si>
  <si>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</si>
  <si>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</si>
  <si>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</si>
  <si>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</si>
  <si>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</si>
  <si>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</si>
  <si>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</si>
  <si>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</si>
  <si>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</si>
  <si>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</si>
  <si>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</si>
  <si>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</si>
  <si>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</si>
  <si>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</si>
  <si>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</si>
  <si>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</si>
  <si>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C0144</t>
  </si>
  <si>
    <t>ORD00520</t>
  </si>
  <si>
    <t>ORD00521</t>
  </si>
  <si>
    <t>ORD00522</t>
  </si>
  <si>
    <t>ORD00523</t>
  </si>
  <si>
    <t>ORD00524</t>
  </si>
  <si>
    <t>ORD00525</t>
  </si>
  <si>
    <t>C0025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</si>
  <si>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</si>
  <si>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</si>
  <si>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</si>
  <si>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</si>
  <si>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</si>
  <si>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</si>
  <si>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</si>
  <si>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</si>
  <si>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</si>
  <si>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</si>
  <si>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</si>
  <si>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</si>
  <si>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</si>
  <si>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</si>
  <si>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</si>
  <si>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</si>
  <si>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</si>
  <si>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</si>
  <si>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</si>
  <si>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</si>
  <si>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</si>
  <si>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</si>
  <si>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</si>
  <si>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C0087</t>
  </si>
  <si>
    <t>ORD00549</t>
  </si>
  <si>
    <t>ORD00550</t>
  </si>
  <si>
    <t>ORD00551</t>
  </si>
  <si>
    <t>ORD00552</t>
  </si>
  <si>
    <t>C0172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</si>
  <si>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</si>
  <si>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</si>
  <si>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</si>
  <si>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</si>
  <si>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</si>
  <si>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</si>
  <si>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</si>
  <si>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</si>
  <si>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</si>
  <si>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</si>
  <si>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</si>
  <si>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</si>
  <si>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</si>
  <si>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</si>
  <si>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</si>
  <si>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</si>
  <si>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</si>
  <si>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C0080</t>
  </si>
  <si>
    <t>ORD00570</t>
  </si>
  <si>
    <t>ORD00571</t>
  </si>
  <si>
    <t>ORD00572</t>
  </si>
  <si>
    <t>ORD00573</t>
  </si>
  <si>
    <t>ORD00574</t>
  </si>
  <si>
    <t>ORD00575</t>
  </si>
  <si>
    <t>ORD00576</t>
  </si>
  <si>
    <t>ORD00577</t>
  </si>
  <si>
    <t>ORD00578</t>
  </si>
  <si>
    <t>ORD00579</t>
  </si>
  <si>
    <t>ORD00580</t>
  </si>
  <si>
    <t>ORD00581</t>
  </si>
  <si>
    <t>ORD00582</t>
  </si>
  <si>
    <t>C0075</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</si>
  <si>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</si>
  <si>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</si>
  <si>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</si>
  <si>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</si>
  <si>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</si>
  <si>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</si>
  <si>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</si>
  <si>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</si>
  <si>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</si>
  <si>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</si>
  <si>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</si>
  <si>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</si>
  <si>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</si>
  <si>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</si>
  <si>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</si>
  <si>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</si>
  <si>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</si>
  <si>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</si>
  <si>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</si>
  <si>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</si>
  <si>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</si>
  <si>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</si>
  <si>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</si>
  <si>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</si>
  <si>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</si>
  <si>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</si>
  <si>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</si>
  <si>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C0066</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</si>
  <si>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</si>
  <si>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</si>
  <si>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</si>
  <si>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</si>
  <si>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</si>
  <si>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</si>
  <si>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</si>
  <si>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</si>
  <si>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</si>
  <si>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</si>
  <si>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</si>
  <si>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</si>
  <si>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</si>
  <si>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</si>
  <si>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</si>
  <si>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</si>
  <si>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</si>
  <si>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</si>
  <si>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</si>
  <si>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</si>
  <si>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C0013</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</si>
  <si>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</si>
  <si>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</si>
  <si>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</si>
  <si>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</si>
  <si>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</si>
  <si>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</si>
  <si>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</si>
  <si>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</si>
  <si>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</si>
  <si>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</si>
  <si>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</si>
  <si>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</si>
  <si>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</si>
  <si>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</si>
  <si>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</si>
  <si>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</si>
  <si>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</si>
  <si>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</si>
  <si>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</si>
  <si>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</si>
  <si>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</si>
  <si>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</si>
  <si>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</si>
  <si>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</si>
  <si>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</si>
  <si>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</si>
  <si>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C0160</t>
  </si>
  <si>
    <t>ORD00656</t>
  </si>
  <si>
    <t>ORD00657</t>
  </si>
  <si>
    <t>ORD00658</t>
  </si>
  <si>
    <t>ORD00659</t>
  </si>
  <si>
    <t>ORD00660</t>
  </si>
  <si>
    <t>C0021</t>
  </si>
  <si>
    <t>ORD00661</t>
  </si>
  <si>
    <t>ORD00662</t>
  </si>
  <si>
    <t>C0200</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</si>
  <si>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</si>
  <si>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</si>
  <si>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</si>
  <si>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</si>
  <si>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</si>
  <si>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</si>
  <si>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</si>
  <si>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</si>
  <si>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</si>
  <si>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</si>
  <si>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</si>
  <si>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</si>
  <si>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</si>
  <si>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</si>
  <si>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</si>
  <si>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</si>
  <si>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</si>
  <si>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</si>
  <si>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</si>
  <si>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</si>
  <si>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</si>
  <si>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</si>
  <si>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</si>
  <si>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</si>
  <si>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</si>
  <si>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</si>
  <si>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</si>
  <si>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</si>
  <si>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</si>
  <si>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</si>
  <si>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</si>
  <si>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</si>
  <si>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</si>
  <si>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C0015</t>
  </si>
  <si>
    <t>ORD00696</t>
  </si>
  <si>
    <t>ORD00697</t>
  </si>
  <si>
    <t>C0049</t>
  </si>
  <si>
    <t>ORD00698</t>
  </si>
  <si>
    <t>ORD00699</t>
  </si>
  <si>
    <t>ORD00700</t>
  </si>
  <si>
    <t>ORD00701</t>
  </si>
  <si>
    <t>ORD00702</t>
  </si>
  <si>
    <t>ORD00703</t>
  </si>
  <si>
    <t>ORD00704</t>
  </si>
  <si>
    <t>ORD00705</t>
  </si>
  <si>
    <t>ORD00706</t>
  </si>
  <si>
    <t>ORD00707</t>
  </si>
  <si>
    <t>ORD00708</t>
  </si>
  <si>
    <t>ORD00709</t>
  </si>
  <si>
    <t>ORD00710</t>
  </si>
  <si>
    <t>C0162</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</si>
  <si>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</si>
  <si>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</si>
  <si>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</si>
  <si>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</si>
  <si>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</si>
  <si>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</si>
  <si>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</si>
  <si>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</si>
  <si>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</si>
  <si>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</si>
  <si>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</si>
  <si>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</si>
  <si>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</si>
  <si>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</si>
  <si>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</si>
  <si>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</si>
  <si>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</si>
  <si>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</si>
  <si>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</si>
  <si>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</si>
  <si>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</si>
  <si>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</si>
  <si>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</si>
  <si>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</si>
  <si>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</si>
  <si>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</si>
  <si>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</si>
  <si>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</si>
  <si>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</si>
  <si>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</si>
  <si>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</si>
  <si>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</si>
  <si>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</si>
  <si>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</si>
  <si>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</si>
  <si>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</si>
  <si>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</si>
  <si>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</si>
  <si>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</si>
  <si>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</si>
  <si>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</si>
  <si>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</si>
  <si>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</si>
  <si>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</si>
  <si>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</si>
  <si>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</si>
  <si>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</si>
  <si>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</si>
  <si>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</si>
  <si>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</si>
  <si>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</si>
  <si>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</si>
  <si>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</si>
  <si>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</si>
  <si>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</si>
  <si>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</si>
  <si>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</si>
  <si>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</si>
  <si>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</si>
  <si>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</si>
  <si>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</si>
  <si>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</si>
  <si>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</si>
  <si>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</si>
  <si>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</si>
  <si>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</si>
  <si>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</si>
  <si>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</si>
  <si>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</si>
  <si>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</si>
  <si>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</si>
  <si>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</si>
  <si>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</si>
  <si>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</si>
  <si>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</si>
  <si>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</si>
  <si>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</si>
  <si>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</si>
  <si>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</si>
  <si>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</si>
  <si>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</si>
  <si>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</si>
  <si>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</si>
  <si>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</si>
  <si>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</si>
  <si>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</si>
  <si>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</si>
  <si>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</si>
  <si>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</si>
  <si>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</si>
  <si>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</si>
  <si>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</si>
  <si>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</si>
  <si>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</si>
  <si>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</si>
  <si>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</si>
  <si>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</si>
  <si>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</si>
  <si>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</si>
  <si>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</si>
  <si>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</si>
  <si>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</si>
  <si>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</si>
  <si>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</si>
  <si>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</si>
  <si>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</si>
  <si>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</si>
  <si>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</si>
  <si>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</si>
  <si>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</si>
  <si>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</si>
  <si>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</si>
  <si>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</si>
  <si>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</si>
  <si>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</si>
  <si>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</si>
  <si>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</si>
  <si>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</si>
  <si>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</si>
  <si>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</si>
  <si>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</si>
  <si>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</si>
  <si>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</si>
  <si>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</si>
  <si>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</si>
  <si>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</si>
  <si>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</si>
  <si>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</si>
  <si>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</si>
  <si>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</si>
  <si>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</si>
  <si>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</si>
  <si>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</si>
  <si>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</si>
  <si>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</si>
  <si>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</si>
  <si>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</si>
  <si>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</si>
  <si>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</si>
  <si>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</si>
  <si>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</si>
  <si>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</si>
  <si>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</si>
  <si>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</si>
  <si>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</si>
  <si>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</si>
  <si>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</si>
  <si>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</si>
  <si>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</si>
  <si>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</si>
  <si>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</si>
  <si>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</si>
  <si>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</si>
  <si>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</si>
  <si>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</si>
  <si>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</si>
  <si>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</si>
  <si>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</si>
  <si>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</si>
  <si>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</si>
  <si>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</si>
  <si>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</si>
  <si>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</si>
  <si>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</si>
  <si>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</si>
  <si>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</si>
  <si>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</si>
  <si>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</si>
  <si>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</si>
  <si>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</si>
  <si>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</si>
  <si>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</si>
  <si>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</si>
  <si>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</si>
  <si>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</si>
  <si>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</si>
  <si>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</si>
  <si>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</si>
  <si>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C0107</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</si>
  <si>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</si>
  <si>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</si>
  <si>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</si>
  <si>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</si>
  <si>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</si>
  <si>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</si>
  <si>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</si>
  <si>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</si>
  <si>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</si>
  <si>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</si>
  <si>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</si>
  <si>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</si>
  <si>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</si>
  <si>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</si>
  <si>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</si>
  <si>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</si>
  <si>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</si>
  <si>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</si>
  <si>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</si>
  <si>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</si>
  <si>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</si>
  <si>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</si>
  <si>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</si>
  <si>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</si>
  <si>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</si>
  <si>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</si>
  <si>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</si>
  <si>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</si>
  <si>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</si>
  <si>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</si>
  <si>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</si>
  <si>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</si>
  <si>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</si>
  <si>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</si>
  <si>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</si>
  <si>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</si>
  <si>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</si>
  <si>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</si>
  <si>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</si>
  <si>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</si>
  <si>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</si>
  <si>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</si>
  <si>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</si>
  <si>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</si>
  <si>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</si>
  <si>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</si>
  <si>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</si>
  <si>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</si>
  <si>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</si>
  <si>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</si>
  <si>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</si>
  <si>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</si>
  <si>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</si>
  <si>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</si>
  <si>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</si>
  <si>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</si>
  <si>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</si>
  <si>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</si>
  <si>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</si>
  <si>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</si>
  <si>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</si>
  <si>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</si>
  <si>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</si>
  <si>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</si>
  <si>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</si>
  <si>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</si>
  <si>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</si>
  <si>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</si>
  <si>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</si>
  <si>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</si>
  <si>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</si>
  <si>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</si>
  <si>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</si>
  <si>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</si>
  <si>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</si>
  <si>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</si>
  <si>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</si>
  <si>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</si>
  <si>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</si>
  <si>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</si>
  <si>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</si>
  <si>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</si>
  <si>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</si>
  <si>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</si>
  <si>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</si>
  <si>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</si>
  <si>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</si>
  <si>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</si>
  <si>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</si>
  <si>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</si>
  <si>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</si>
  <si>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</si>
  <si>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</si>
  <si>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</si>
  <si>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</si>
  <si>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</si>
  <si>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</si>
  <si>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</si>
  <si>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</si>
  <si>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</si>
  <si>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</si>
  <si>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</si>
  <si>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</si>
  <si>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</si>
  <si>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</si>
  <si>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</si>
  <si>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</si>
  <si>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</si>
  <si>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</si>
  <si>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</si>
  <si>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</si>
  <si>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</si>
  <si>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</si>
  <si>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</si>
  <si>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</si>
  <si>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</si>
  <si>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</si>
  <si>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</si>
  <si>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</si>
  <si>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</si>
  <si>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</si>
  <si>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</si>
  <si>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</si>
  <si>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</si>
  <si>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</si>
  <si>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</si>
  <si>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</si>
  <si>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</si>
  <si>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</si>
  <si>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</si>
  <si>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</si>
  <si>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</si>
  <si>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</si>
  <si>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</si>
  <si>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</si>
  <si>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</si>
  <si>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</si>
  <si>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</si>
  <si>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</si>
  <si>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</si>
  <si>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</si>
  <si>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</si>
  <si>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</si>
  <si>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</si>
  <si>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</si>
  <si>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</si>
  <si>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</si>
  <si>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</si>
  <si>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</si>
  <si>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</si>
  <si>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</si>
  <si>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</si>
  <si>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</si>
  <si>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</si>
  <si>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</si>
  <si>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</si>
  <si>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</si>
  <si>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</si>
  <si>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</si>
  <si>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</si>
  <si>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</si>
  <si>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</si>
  <si>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</si>
  <si>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</si>
  <si>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</si>
  <si>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</si>
  <si>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</si>
  <si>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</si>
  <si>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</si>
  <si>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</si>
  <si>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</si>
  <si>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</si>
  <si>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</si>
  <si>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</si>
  <si>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</si>
  <si>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</si>
  <si>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</si>
  <si>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</si>
  <si>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</si>
  <si>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</si>
  <si>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</si>
  <si>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</si>
  <si>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</si>
  <si>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</si>
  <si>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</si>
  <si>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</si>
  <si>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</si>
  <si>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</si>
  <si>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</si>
  <si>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</si>
  <si>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</si>
  <si>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</si>
  <si>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</si>
  <si>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</si>
  <si>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</si>
  <si>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</si>
  <si>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</si>
  <si>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</si>
  <si>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</si>
  <si>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</si>
  <si>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</si>
  <si>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</si>
  <si>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</si>
  <si>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</si>
  <si>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</si>
  <si>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</si>
  <si>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</si>
  <si>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</si>
  <si>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</si>
  <si>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</si>
  <si>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</si>
  <si>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</si>
  <si>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</si>
  <si>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</si>
  <si>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</si>
  <si>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</si>
  <si>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</si>
  <si>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</si>
  <si>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</si>
  <si>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</si>
  <si>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</si>
  <si>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</si>
  <si>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</si>
  <si>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</si>
  <si>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</si>
  <si>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</si>
  <si>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</si>
  <si>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</si>
  <si>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</si>
  <si>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</si>
  <si>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</si>
  <si>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</si>
  <si>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</si>
  <si>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</si>
  <si>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</si>
  <si>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</si>
  <si>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</si>
  <si>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</si>
  <si>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</si>
  <si>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</si>
  <si>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</si>
  <si>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</si>
  <si>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</si>
  <si>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</si>
  <si>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</si>
  <si>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</si>
  <si>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</si>
  <si>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</si>
  <si>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</si>
  <si>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</si>
  <si>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</si>
  <si>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</si>
  <si>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</si>
  <si>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</si>
  <si>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</si>
  <si>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</si>
  <si>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</si>
  <si>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</si>
  <si>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</si>
  <si>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</si>
  <si>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</si>
  <si>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</si>
  <si>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</si>
  <si>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</si>
  <si>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</si>
  <si>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</si>
  <si>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</si>
  <si>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</si>
  <si>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</si>
  <si>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</si>
  <si>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</si>
  <si>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</si>
  <si>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</si>
  <si>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</si>
  <si>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</si>
  <si>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</si>
  <si>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</si>
  <si>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</si>
  <si>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</si>
  <si>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</si>
  <si>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</si>
  <si>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</si>
  <si>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</si>
  <si>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</si>
  <si>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</si>
  <si>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</si>
  <si>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</si>
  <si>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</si>
  <si>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</si>
  <si>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</si>
  <si>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</si>
  <si>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</si>
  <si>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</si>
  <si>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</si>
  <si>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</si>
  <si>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</si>
  <si>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</si>
  <si>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</si>
  <si>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</si>
  <si>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</si>
  <si>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</si>
  <si>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</si>
  <si>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</si>
  <si>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</si>
  <si>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</si>
  <si>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</si>
  <si>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</si>
  <si>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C0068</t>
  </si>
  <si>
    <t>ORD01196</t>
  </si>
  <si>
    <t>ORD01197</t>
  </si>
  <si>
    <t>ORD01198</t>
  </si>
  <si>
    <t>ORD01199</t>
  </si>
  <si>
    <t>ORD01200</t>
  </si>
  <si>
    <t>Product Name</t>
  </si>
  <si>
    <t>Category</t>
  </si>
  <si>
    <t>Cost Price (INR)</t>
  </si>
  <si>
    <t>Unit Price (INR)</t>
  </si>
  <si>
    <t>Wireless Mouse</t>
  </si>
  <si>
    <t>Electronics</t>
  </si>
  <si>
    <t>Bluetooth Speaker</t>
  </si>
  <si>
    <t>USB Flash Drive 64GB</t>
  </si>
  <si>
    <t>Headphones</t>
  </si>
  <si>
    <t>Power Bank 10000mAh</t>
  </si>
  <si>
    <t>Webcam HD</t>
  </si>
  <si>
    <t>Office Chair</t>
  </si>
  <si>
    <t>Furniture</t>
  </si>
  <si>
    <t>Study Table</t>
  </si>
  <si>
    <t>Bookshelf</t>
  </si>
  <si>
    <t>Filing Cabinet</t>
  </si>
  <si>
    <t>Monitor Stand</t>
  </si>
  <si>
    <t>A4 Paper Ream</t>
  </si>
  <si>
    <t>Office Supplies</t>
  </si>
  <si>
    <t>Gel Pen Box</t>
  </si>
  <si>
    <t>Stapler</t>
  </si>
  <si>
    <t>Notebook Pack of 5</t>
  </si>
  <si>
    <t>Whiteboard Marker Set</t>
  </si>
  <si>
    <t>Desk Organizer</t>
  </si>
  <si>
    <t>Cotton T-Shirt</t>
  </si>
  <si>
    <t>Clothing</t>
  </si>
  <si>
    <t>Formal Shirt</t>
  </si>
  <si>
    <t>Denim Jeans</t>
  </si>
  <si>
    <t>Hoodie</t>
  </si>
  <si>
    <t>Track Pants</t>
  </si>
  <si>
    <t>Customer Name</t>
  </si>
  <si>
    <t>City</t>
  </si>
  <si>
    <t>State</t>
  </si>
  <si>
    <t>Region</t>
  </si>
  <si>
    <t>Segment</t>
  </si>
  <si>
    <t>Aarav Joshi</t>
  </si>
  <si>
    <t>Rajkot</t>
  </si>
  <si>
    <t>Gujarat</t>
  </si>
  <si>
    <t>West</t>
  </si>
  <si>
    <t>Consumer</t>
  </si>
  <si>
    <t>Rohan Joshi</t>
  </si>
  <si>
    <t>Jaipur</t>
  </si>
  <si>
    <t>Rajasthan</t>
  </si>
  <si>
    <t>North</t>
  </si>
  <si>
    <t>Aditya Nair</t>
  </si>
  <si>
    <t>Bhopal</t>
  </si>
  <si>
    <t>Madhya Pradesh</t>
  </si>
  <si>
    <t>Central</t>
  </si>
  <si>
    <t>Aditya Desai</t>
  </si>
  <si>
    <t>Ahmedabad</t>
  </si>
  <si>
    <t>Aarav Reddy</t>
  </si>
  <si>
    <t>Nagpur</t>
  </si>
  <si>
    <t>Maharashtra</t>
  </si>
  <si>
    <t>Kavya Desai</t>
  </si>
  <si>
    <t>Aarav Trivedi</t>
  </si>
  <si>
    <t>Chandigarh</t>
  </si>
  <si>
    <t>Corporate</t>
  </si>
  <si>
    <t>Priya Sharma</t>
  </si>
  <si>
    <t>Kochi</t>
  </si>
  <si>
    <t>Kerala</t>
  </si>
  <si>
    <t>South</t>
  </si>
  <si>
    <t>C0009</t>
  </si>
  <si>
    <t>Krish Shah</t>
  </si>
  <si>
    <t>Bengaluru</t>
  </si>
  <si>
    <t>Karnataka</t>
  </si>
  <si>
    <t>Ananya Nair</t>
  </si>
  <si>
    <t>Chennai</t>
  </si>
  <si>
    <t>Tamil Nadu</t>
  </si>
  <si>
    <t>Neha Reddy</t>
  </si>
  <si>
    <t>Surat</t>
  </si>
  <si>
    <t>Aditya Reddy</t>
  </si>
  <si>
    <t>Hyderabad</t>
  </si>
  <si>
    <t>Telangana</t>
  </si>
  <si>
    <t>Vivaan Iyer</t>
  </si>
  <si>
    <t>Vadodara</t>
  </si>
  <si>
    <t>Aditya Modi</t>
  </si>
  <si>
    <t>Lucknow</t>
  </si>
  <si>
    <t>Uttar Pradesh</t>
  </si>
  <si>
    <t>Riya Sharma</t>
  </si>
  <si>
    <t>Ishaan Verma</t>
  </si>
  <si>
    <t>Harsh Mehta</t>
  </si>
  <si>
    <t>Isha Desai</t>
  </si>
  <si>
    <t>Harsh Modi</t>
  </si>
  <si>
    <t>Priya Desai</t>
  </si>
  <si>
    <t>Indore</t>
  </si>
  <si>
    <t>Neha Mehta</t>
  </si>
  <si>
    <t>Isha Reddy</t>
  </si>
  <si>
    <t>Kavya Das</t>
  </si>
  <si>
    <t>Vivaan Modi</t>
  </si>
  <si>
    <t>Kavya Nair</t>
  </si>
  <si>
    <t>Pune</t>
  </si>
  <si>
    <t>Khushi Singh</t>
  </si>
  <si>
    <t>Aarav Iyer</t>
  </si>
  <si>
    <t>Jay Trivedi</t>
  </si>
  <si>
    <t>Dhruv Gupta</t>
  </si>
  <si>
    <t>Jay Reddy</t>
  </si>
  <si>
    <t>Krish Modi</t>
  </si>
  <si>
    <t>Patna</t>
  </si>
  <si>
    <t>Bihar</t>
  </si>
  <si>
    <t>East</t>
  </si>
  <si>
    <t>Khushi Desai</t>
  </si>
  <si>
    <t>Isha Trivedi</t>
  </si>
  <si>
    <t>Home Office</t>
  </si>
  <si>
    <t>Khushi Verma</t>
  </si>
  <si>
    <t>Ananya Das</t>
  </si>
  <si>
    <t>Harsh Patel</t>
  </si>
  <si>
    <t>Aditya Shah</t>
  </si>
  <si>
    <t>Isha Mehta</t>
  </si>
  <si>
    <t>Bhubaneswar</t>
  </si>
  <si>
    <t>Odisha</t>
  </si>
  <si>
    <t>Delhi</t>
  </si>
  <si>
    <t>Neha Das</t>
  </si>
  <si>
    <t>Harsh Desai</t>
  </si>
  <si>
    <t>Divya Reddy</t>
  </si>
  <si>
    <t>Aarav Shah</t>
  </si>
  <si>
    <t>Harsh Shah</t>
  </si>
  <si>
    <t>Meet Reddy</t>
  </si>
  <si>
    <t>Divya Singh</t>
  </si>
  <si>
    <t>Ananya Gupta</t>
  </si>
  <si>
    <t>Krish Patel</t>
  </si>
  <si>
    <t>Krish Desai</t>
  </si>
  <si>
    <t>Neha Desai</t>
  </si>
  <si>
    <t>Neha Trivedi</t>
  </si>
  <si>
    <t>Ishaan Gupta</t>
  </si>
  <si>
    <t>Riya Das</t>
  </si>
  <si>
    <t>Aarav Gupta</t>
  </si>
  <si>
    <t>Kolkata</t>
  </si>
  <si>
    <t>West Bengal</t>
  </si>
  <si>
    <t>Pooja Mehta</t>
  </si>
  <si>
    <t>Vivaan Nair</t>
  </si>
  <si>
    <t>Priya Patel</t>
  </si>
  <si>
    <t>Sneha Das</t>
  </si>
  <si>
    <t>Vivaan Reddy</t>
  </si>
  <si>
    <t>Riya Shah</t>
  </si>
  <si>
    <t>Harsh Nair</t>
  </si>
  <si>
    <t>Aditya Gupta</t>
  </si>
  <si>
    <t>Sneha Verma</t>
  </si>
  <si>
    <t>Dhruv Singh</t>
  </si>
  <si>
    <t>Mumbai</t>
  </si>
  <si>
    <t>Aarav Singh</t>
  </si>
  <si>
    <t>Jay Mehta</t>
  </si>
  <si>
    <t>Harsh Verma</t>
  </si>
  <si>
    <t>Isha Joshi</t>
  </si>
  <si>
    <t>Krish Das</t>
  </si>
  <si>
    <t>Krish Joshi</t>
  </si>
  <si>
    <t>Dhruv Nair</t>
  </si>
  <si>
    <t>Meet Iyer</t>
  </si>
  <si>
    <t>Sneha Singh</t>
  </si>
  <si>
    <t>Aditya Iyer</t>
  </si>
  <si>
    <t>Vivaan Patel</t>
  </si>
  <si>
    <t>Kavya Reddy</t>
  </si>
  <si>
    <t>Rohan Reddy</t>
  </si>
  <si>
    <t>Vivaan Sharma</t>
  </si>
  <si>
    <t>Ananya Desai</t>
  </si>
  <si>
    <t>Ananya Trivedi</t>
  </si>
  <si>
    <t>Khushi Joshi</t>
  </si>
  <si>
    <t>Ishaan Trivedi</t>
  </si>
  <si>
    <t>Aarav Mehta</t>
  </si>
  <si>
    <t>Kavya Trivedi</t>
  </si>
  <si>
    <t>Riya Modi</t>
  </si>
  <si>
    <t>Ananya Sharma</t>
  </si>
  <si>
    <t>Ananya Iyer</t>
  </si>
  <si>
    <t>Ishaan Nair</t>
  </si>
  <si>
    <t>Vivaan Shah</t>
  </si>
  <si>
    <t>Priya Gupta</t>
  </si>
  <si>
    <t>Krish Gupta</t>
  </si>
  <si>
    <t>Jay Patel</t>
  </si>
  <si>
    <t>Dhruv Reddy</t>
  </si>
  <si>
    <t>Rohan Desai</t>
  </si>
  <si>
    <t>Isha Modi</t>
  </si>
  <si>
    <t>Meet Gupta</t>
  </si>
  <si>
    <t>Priya Singh</t>
  </si>
  <si>
    <t>Aditya Sharma</t>
  </si>
  <si>
    <t>Priya Shah</t>
  </si>
  <si>
    <t>Dhruv Desai</t>
  </si>
  <si>
    <t>Aarav Patel</t>
  </si>
  <si>
    <t>Khushi Modi</t>
  </si>
  <si>
    <t>Riya Singh</t>
  </si>
  <si>
    <t>Aarav Das</t>
  </si>
  <si>
    <t>Neha Patel</t>
  </si>
  <si>
    <t>Isha Nair</t>
  </si>
  <si>
    <t>Kavya Modi</t>
  </si>
  <si>
    <t>Ishaan Joshi</t>
  </si>
  <si>
    <t>Neha Shah</t>
  </si>
  <si>
    <t>Jay Verma</t>
  </si>
  <si>
    <t>Aditya Mehta</t>
  </si>
  <si>
    <t>Kavya Verma</t>
  </si>
  <si>
    <t>Vivaan Desai</t>
  </si>
  <si>
    <t>Divya Joshi</t>
  </si>
  <si>
    <t>Dhruv Trivedi</t>
  </si>
  <si>
    <t>Harsh Singh</t>
  </si>
  <si>
    <t>Pooja Patel</t>
  </si>
  <si>
    <t>Ishaan Modi</t>
  </si>
  <si>
    <t>Khushi Reddy</t>
  </si>
  <si>
    <t>Divya Nair</t>
  </si>
  <si>
    <t>Kavya Mehta</t>
  </si>
  <si>
    <t>Neha Verma</t>
  </si>
  <si>
    <t>Jay Modi</t>
  </si>
  <si>
    <t>Isha Patel</t>
  </si>
  <si>
    <t>Harsh Iyer</t>
  </si>
  <si>
    <t>Aarav Desai</t>
  </si>
  <si>
    <t>Khushi Mehta</t>
  </si>
  <si>
    <t>Krish Nair</t>
  </si>
  <si>
    <t>Dhruv Shah</t>
  </si>
  <si>
    <t>Divya Iyer</t>
  </si>
  <si>
    <t>Riya Joshi</t>
  </si>
  <si>
    <t>Khushi Trivedi</t>
  </si>
  <si>
    <t>Vivaan Verma</t>
  </si>
  <si>
    <t>Rohan Gupta</t>
  </si>
  <si>
    <t>Jay Nair</t>
  </si>
  <si>
    <t>Pooja Singh</t>
  </si>
  <si>
    <t>Jay Das</t>
  </si>
  <si>
    <t>Pooja Desai</t>
  </si>
  <si>
    <t>Dhruv Iyer</t>
  </si>
  <si>
    <t>Priya Verma</t>
  </si>
  <si>
    <t>Dhruv Sharma</t>
  </si>
  <si>
    <t>Meet Desai</t>
  </si>
  <si>
    <t>Divya Trivedi</t>
  </si>
  <si>
    <t>Jan</t>
  </si>
  <si>
    <t>Feb</t>
  </si>
  <si>
    <t>Mar</t>
  </si>
  <si>
    <t>Apr</t>
  </si>
  <si>
    <t>May</t>
  </si>
  <si>
    <t>Jun</t>
  </si>
  <si>
    <t>Jul</t>
  </si>
  <si>
    <t>Aug</t>
  </si>
  <si>
    <t>Sep</t>
  </si>
  <si>
    <t>Oct</t>
  </si>
  <si>
    <t>Nov</t>
  </si>
  <si>
    <t>Dec</t>
  </si>
  <si>
    <t>unit_price</t>
  </si>
  <si>
    <t>cost_price</t>
  </si>
  <si>
    <t>discount_amount</t>
  </si>
  <si>
    <t>net_sales</t>
  </si>
  <si>
    <t>total_cost</t>
  </si>
  <si>
    <t>profit</t>
  </si>
  <si>
    <t>segment</t>
  </si>
  <si>
    <t>Month</t>
  </si>
  <si>
    <t>Months</t>
  </si>
  <si>
    <t>Row Labels</t>
  </si>
  <si>
    <t>Grand Total</t>
  </si>
  <si>
    <t>Sum of profit</t>
  </si>
  <si>
    <t>year</t>
  </si>
  <si>
    <t>2024</t>
  </si>
  <si>
    <t>2025</t>
  </si>
  <si>
    <t>Count of Order ID</t>
  </si>
  <si>
    <t>January</t>
  </si>
  <si>
    <t>February</t>
  </si>
  <si>
    <t>March</t>
  </si>
  <si>
    <t>April</t>
  </si>
  <si>
    <t>June</t>
  </si>
  <si>
    <t>August</t>
  </si>
  <si>
    <t>September</t>
  </si>
  <si>
    <t>October</t>
  </si>
  <si>
    <t>November</t>
  </si>
  <si>
    <t>December</t>
  </si>
  <si>
    <t>Sum of net_sales</t>
  </si>
  <si>
    <t>Column Labels</t>
  </si>
  <si>
    <t xml:space="preserve"> </t>
  </si>
  <si>
    <t>Average of net_sales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</si>
</sst>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 x14ac:knownFonts="1">
    <font>
      <sz val="11"/>
      <color theme="1"/>
      <name val="Calibri"/>
      <family val="2"/>
      <scheme val="minor"/>
    </font>
    <font>
      <b/>
      <sz val="10"/>
      <color rgb="FFFFFFFF"/>
      <name val="Arial"/>
    </font>
    <font>
      <sz val="10"/>
      <name val="Arial"/>
    </font>
    <font>
      <b/>
      <sz val="12"/>
      <name val="Arial"/>
    </font>
  </fonts>
  <fills count="4">
    <fill>
      <patternFill patternType="none"/>
    </fill>
    <fill>
      <patternFill patternType="gray125"/>
    </fill>
    <fill>
      <patternFill patternType="solid">
        <fgColor rgb="FF1F3864"/>
      </patternFill>
    </fill>
    <fill>
      <patternFill patternType="solid">
        <fgColor rgb="FF1F3864"/>
        <bgColor indexed="64"/>
      </patternFill>
    </fill>
  </fills>
  <borders count="1">
    <border>
      <left/>
      <right/>
      <top/>
      <bottom/>
      <diagonal/>
    </border>
  </borders>
  <cellStyleXfs count="1">
    <xf numFmtId="0" fontId="0" fillId="0" borderId="0"/>
  </cellStyleXfs>
  <cellXfs count="11">
    <xf numFmtId="0" fontId="0" fillId="0" borderId="0" xfId="0"/>
    <xf numFmtId="0" fontId="3" fillId="0" borderId="0" xfId="0" applyFont="1"/>
    <xf numFmtId="0" fontId="2" fillId="0" borderId="0" xfId="0" applyFont="1"/>
    <xf numFmtId="0" fontId="1" fillId="2" borderId="0" xfId="0" applyFont="1" applyFill="1" applyAlignment="1">
      <alignment horizontal="center"/>
    </xf>
    <xf numFmtId="164" fontId="2" fillId="0" borderId="0" xfId="0" applyNumberFormat="1" applyFont="1"/>
    <xf numFmtId="9" fontId="2" fillId="0" borderId="0" xfId="0" applyNumberFormat="1" applyFont="1"/>
    <xf numFmtId="0" fontId="1" fillId="3" borderId="0" xfId="0" applyFont="1" applyFill="1" applyAlignment="1">
      <alignment horizontal="center"/>
    </xf>
    <xf numFmtId="0" fontId="0" fillId="0" borderId="0" xfId="0" pivotButton="1"/>
    <xf numFmtId="0" fontId="0" fillId="0" borderId="0" xfId="0" applyAlignment="1">
      <alignment horizontal="left"/>
    </xf>
    <xf numFmtId="14" fontId="0" fillId="0" borderId="0" xfId="0" applyNumberFormat="1"/>
    <xf numFmtId="0" fontId="0" fillId="0" borderId="0" xfId="0" applyNumberFormat="1"/>
  </cellXfs>
  <cellStyles count="1">
    <cellStyle name="Normal" xfId="0" builtinId="0"/>
  </cellStyles>
  <dxfs count="22">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numFmt numFmtId="0" formatCode="General"/>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3" formatCode="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0" formatCode="General"/>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dd\-mm\-yyyy"/>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0"/>
        <color rgb="FFFFFFFF"/>
        <name val="Arial"/>
        <scheme val="none"/>
      </font>
      <fill>
        <patternFill patternType="solid">
          <fgColor indexed="64"/>
          <bgColor rgb="FF1F3864"/>
        </patternFill>
      </fill>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wise profit and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pivot_table!$B$1</c:f>
              <c:strCache>
                <c:ptCount val="1"/>
                <c:pt idx="0">
                  <c:v>Sum of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pivot_table!$B$2:$B$14</c:f>
              <c:numCache>
                <c:formatCode>General</c:formatCode>
                <c:ptCount val="12"/>
                <c:pt idx="0">
                  <c:v>217851.55</c:v>
                </c:pt>
                <c:pt idx="1">
                  <c:v>141957.55000000002</c:v>
                </c:pt>
                <c:pt idx="2">
                  <c:v>279373.34999999998</c:v>
                </c:pt>
                <c:pt idx="3">
                  <c:v>222276.60000000003</c:v>
                </c:pt>
                <c:pt idx="4">
                  <c:v>252334.44999999998</c:v>
                </c:pt>
                <c:pt idx="5">
                  <c:v>160152.49999999997</c:v>
                </c:pt>
                <c:pt idx="6">
                  <c:v>184184.90000000005</c:v>
                </c:pt>
                <c:pt idx="7">
                  <c:v>180688.30000000002</c:v>
                </c:pt>
                <c:pt idx="8">
                  <c:v>204758.65000000005</c:v>
                </c:pt>
                <c:pt idx="9">
                  <c:v>267305.55000000005</c:v>
                </c:pt>
                <c:pt idx="10">
                  <c:v>307084</c:v>
                </c:pt>
                <c:pt idx="11">
                  <c:v>300062.3000000001</c:v>
                </c:pt>
              </c:numCache>
            </c:numRef>
          </c:val>
          <c:smooth val="0"/>
          <c:extLst>
            <c:ext xmlns:c16="http://schemas.microsoft.com/office/drawing/2014/chart" uri="{C3380CC4-5D6E-409C-BE32-E72D297353CC}">
              <c16:uniqueId val="{00000000-2885-4B4B-BFA6-C00D908107A7}"/>
            </c:ext>
          </c:extLst>
        </c:ser>
        <c:ser>
          <c:idx val="1"/>
          <c:order val="1"/>
          <c:tx>
            <c:strRef>
              <c:f>pivot_table!$C$1</c:f>
              <c:strCache>
                <c:ptCount val="1"/>
                <c:pt idx="0">
                  <c:v>Sum of net_sales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pivot_table!$C$2:$C$14</c:f>
              <c:numCache>
                <c:formatCode>General</c:formatCode>
                <c:ptCount val="12"/>
                <c:pt idx="0">
                  <c:v>595921.55000000005</c:v>
                </c:pt>
                <c:pt idx="1">
                  <c:v>406277.54999999993</c:v>
                </c:pt>
                <c:pt idx="2">
                  <c:v>750483.34999999986</c:v>
                </c:pt>
                <c:pt idx="3">
                  <c:v>626176.60000000009</c:v>
                </c:pt>
                <c:pt idx="4">
                  <c:v>716064.45000000007</c:v>
                </c:pt>
                <c:pt idx="5">
                  <c:v>437662.49999999994</c:v>
                </c:pt>
                <c:pt idx="6">
                  <c:v>522634.89999999997</c:v>
                </c:pt>
                <c:pt idx="7">
                  <c:v>512178.29999999981</c:v>
                </c:pt>
                <c:pt idx="8">
                  <c:v>607238.64999999979</c:v>
                </c:pt>
                <c:pt idx="9">
                  <c:v>764125.54999999993</c:v>
                </c:pt>
                <c:pt idx="10">
                  <c:v>877913.99999999988</c:v>
                </c:pt>
                <c:pt idx="11">
                  <c:v>908992.2999999997</c:v>
                </c:pt>
              </c:numCache>
            </c:numRef>
          </c:val>
          <c:smooth val="0"/>
          <c:extLst>
            <c:ext xmlns:c16="http://schemas.microsoft.com/office/drawing/2014/chart" uri="{C3380CC4-5D6E-409C-BE32-E72D297353CC}">
              <c16:uniqueId val="{00000001-2885-4B4B-BFA6-C00D908107A7}"/>
            </c:ext>
          </c:extLst>
        </c:ser>
        <c:dLbls>
          <c:dLblPos val="t"/>
          <c:showLegendKey val="0"/>
          <c:showVal val="1"/>
          <c:showCatName val="0"/>
          <c:showSerName val="0"/>
          <c:showPercent val="0"/>
          <c:showBubbleSize val="0"/>
        </c:dLbls>
        <c:marker val="1"/>
        <c:smooth val="0"/>
        <c:axId val="1112486800"/>
        <c:axId val="272908368"/>
      </c:lineChart>
      <c:catAx>
        <c:axId val="1112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908368"/>
        <c:crosses val="autoZero"/>
        <c:auto val="1"/>
        <c:lblAlgn val="ctr"/>
        <c:lblOffset val="100"/>
        <c:noMultiLvlLbl val="0"/>
      </c:catAx>
      <c:valAx>
        <c:axId val="272908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48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profit</a:t>
            </a:r>
          </a:p>
        </c:rich>
      </c:tx>
      <c:layout>
        <c:manualLayout>
          <c:xMode val="edge"/>
          <c:yMode val="edge"/>
          <c:x val="0.3166233740178776"/>
          <c:y val="5.2882278604063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pivot_table!$A$18:$A$22</c:f>
              <c:strCache>
                <c:ptCount val="4"/>
                <c:pt idx="0">
                  <c:v>Clothing</c:v>
                </c:pt>
                <c:pt idx="1">
                  <c:v>Electronics</c:v>
                </c:pt>
                <c:pt idx="2">
                  <c:v>Furniture</c:v>
                </c:pt>
                <c:pt idx="3">
                  <c:v>Office Supplies</c:v>
                </c:pt>
              </c:strCache>
            </c:strRef>
          </c:cat>
          <c:val>
            <c:numRef>
              <c:f>pivot_table!$B$18:$B$22</c:f>
              <c:numCache>
                <c:formatCode>General</c:formatCode>
                <c:ptCount val="4"/>
                <c:pt idx="0">
                  <c:v>605436.7999999997</c:v>
                </c:pt>
                <c:pt idx="1">
                  <c:v>587290.89999999956</c:v>
                </c:pt>
                <c:pt idx="2">
                  <c:v>1380015.7500000002</c:v>
                </c:pt>
                <c:pt idx="3">
                  <c:v>145286.25000000003</c:v>
                </c:pt>
              </c:numCache>
            </c:numRef>
          </c:val>
          <c:extLst>
            <c:ext xmlns:c16="http://schemas.microsoft.com/office/drawing/2014/chart" uri="{C3380CC4-5D6E-409C-BE32-E72D297353CC}">
              <c16:uniqueId val="{00000000-A843-464C-A9D6-69F06203DC71}"/>
            </c:ext>
          </c:extLst>
        </c:ser>
        <c:dLbls>
          <c:showLegendKey val="0"/>
          <c:showVal val="0"/>
          <c:showCatName val="0"/>
          <c:showSerName val="0"/>
          <c:showPercent val="0"/>
          <c:showBubbleSize val="0"/>
        </c:dLbls>
        <c:gapWidth val="219"/>
        <c:overlap val="-27"/>
        <c:axId val="365772672"/>
        <c:axId val="365767680"/>
      </c:barChart>
      <c:catAx>
        <c:axId val="36577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767680"/>
        <c:crosses val="autoZero"/>
        <c:auto val="1"/>
        <c:lblAlgn val="ctr"/>
        <c:lblOffset val="100"/>
        <c:noMultiLvlLbl val="0"/>
      </c:catAx>
      <c:valAx>
        <c:axId val="36576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77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[Retail_Sales_Dataset.xlsx]pivot_table!PivotTable5</c:name>
    <c:fmtId val="4"/>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mn-lt"/>
                <a:ea typeface="+mn-ea"/>
                <a:cs typeface="+mn-cs"/>
              </a:defRPr>
            </a:pPr>
            <a:r>
              <a:rPr lang="en-IN" sz="1200"/>
              <a:t>Product</a:t>
            </a:r>
            <a:r>
              <a:rPr lang="en-IN" sz="1200" baseline="0"/>
              <a:t> wise sales and profit</a:t>
            </a:r>
            <a:endParaRPr lang="en-IN" sz="1200"/>
          </a:p>
        </c:rich>
      </c:tx>
      <c:layout>
        <c:manualLayout>
          <c:xMode val="edge"/>
          <c:yMode val="edge"/>
          <c:x val="0.37564929678855868"/>
          <c:y val="3.9414265136049911E-2"/>
        </c:manualLayout>
      </c:layout>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51954232969588E-2"/>
          <c:y val="0.13817969723481535"/>
          <c:w val="0.72427645721616607"/>
          <c:h val="0.51996040898928042"/>
        </c:manualLayout>
      </c:layout>
      <c:barChart>
        <c:barDir val="col"/>
        <c:grouping val="clustered"/>
        <c:varyColors val="0"/>
        <c:ser>
          <c:idx val="0"/>
          <c:order val="0"/>
          <c:tx>
            <c:strRef>
              <c:f>pivot_table!$E$9</c:f>
              <c:strCache>
                <c:ptCount val="1"/>
                <c:pt idx="0">
                  <c:v>Sum of profit</c:v>
                </c:pt>
              </c:strCache>
            </c:strRef>
          </c:tx>
          <c:spPr>
            <a:solidFill>
              <a:schemeClr val="accent1"/>
            </a:solidFill>
            <a:ln>
              <a:noFill/>
            </a:ln>
            <a:effectLst/>
          </c:spPr>
          <c:invertIfNegative val="0"/>
          <c:cat>
            <c:strRef>
              <c:f>pivot_table!$D$10:$D$32</c:f>
              <c:strCache>
                <c:ptCount val="22"/>
                <c:pt idx="0">
                  <c:v>A4 Paper Ream</c:v>
                </c:pt>
                <c:pt idx="1">
                  <c:v>Bluetooth Speaker</c:v>
                </c:pt>
                <c:pt idx="2">
                  <c:v>Bookshelf</c:v>
                </c:pt>
                <c:pt idx="3">
                  <c:v>Cotton T-Shirt</c:v>
                </c:pt>
                <c:pt idx="4">
                  <c:v>Denim Jeans</c:v>
                </c:pt>
                <c:pt idx="5">
                  <c:v>Desk Organizer</c:v>
                </c:pt>
                <c:pt idx="6">
                  <c:v>Filing Cabinet</c:v>
                </c:pt>
                <c:pt idx="7">
                  <c:v>Formal Shirt</c:v>
                </c:pt>
                <c:pt idx="8">
                  <c:v>Gel Pen Box</c:v>
                </c:pt>
                <c:pt idx="9">
                  <c:v>Headphones</c:v>
                </c:pt>
                <c:pt idx="10">
                  <c:v>Hoodie</c:v>
                </c:pt>
                <c:pt idx="11">
                  <c:v>Monitor Stand</c:v>
                </c:pt>
                <c:pt idx="12">
                  <c:v>Notebook Pack of 5</c:v>
                </c:pt>
                <c:pt idx="13">
                  <c:v>Office Chair</c:v>
                </c:pt>
                <c:pt idx="14">
                  <c:v>Power Bank 10000mAh</c:v>
                </c:pt>
                <c:pt idx="15">
                  <c:v>Stapler</c:v>
                </c:pt>
                <c:pt idx="16">
                  <c:v>Study Table</c:v>
                </c:pt>
                <c:pt idx="17">
                  <c:v>Track Pants</c:v>
                </c:pt>
                <c:pt idx="18">
                  <c:v>USB Flash Drive 64GB</c:v>
                </c:pt>
                <c:pt idx="19">
                  <c:v>Webcam HD</c:v>
                </c:pt>
                <c:pt idx="20">
                  <c:v>Whiteboard Marker Set</c:v>
                </c:pt>
                <c:pt idx="21">
                  <c:v>Wireless Mouse</c:v>
                </c:pt>
              </c:strCache>
            </c:strRef>
          </c:cat>
          <c:val>
            <c:numRef>
              <c:f>pivot_table!$E$10:$E$32</c:f>
              <c:numCache>
                <c:formatCode>General</c:formatCode>
                <c:ptCount val="22"/>
                <c:pt idx="0">
                  <c:v>16136</c:v>
                </c:pt>
                <c:pt idx="1">
                  <c:v>109449.20000000001</c:v>
                </c:pt>
                <c:pt idx="2">
                  <c:v>225478.14999999997</c:v>
                </c:pt>
                <c:pt idx="3">
                  <c:v>35450.300000000003</c:v>
                </c:pt>
                <c:pt idx="4">
                  <c:v>174206.60000000003</c:v>
                </c:pt>
                <c:pt idx="5">
                  <c:v>58419.89999999998</c:v>
                </c:pt>
                <c:pt idx="6">
                  <c:v>345615.90000000008</c:v>
                </c:pt>
                <c:pt idx="7">
                  <c:v>149728.5</c:v>
                </c:pt>
                <c:pt idx="8">
                  <c:v>9382.5</c:v>
                </c:pt>
                <c:pt idx="9">
                  <c:v>164537.25000000003</c:v>
                </c:pt>
                <c:pt idx="10">
                  <c:v>139251.85</c:v>
                </c:pt>
                <c:pt idx="11">
                  <c:v>75238.950000000026</c:v>
                </c:pt>
                <c:pt idx="12">
                  <c:v>25852.849999999991</c:v>
                </c:pt>
                <c:pt idx="13">
                  <c:v>395291.45</c:v>
                </c:pt>
                <c:pt idx="14">
                  <c:v>104349.40000000004</c:v>
                </c:pt>
                <c:pt idx="15">
                  <c:v>15331</c:v>
                </c:pt>
                <c:pt idx="16">
                  <c:v>338391.30000000005</c:v>
                </c:pt>
                <c:pt idx="17">
                  <c:v>106799.55000000003</c:v>
                </c:pt>
                <c:pt idx="18">
                  <c:v>41308.85</c:v>
                </c:pt>
                <c:pt idx="19">
                  <c:v>116351.20000000001</c:v>
                </c:pt>
                <c:pt idx="20">
                  <c:v>20164</c:v>
                </c:pt>
                <c:pt idx="21">
                  <c:v>51295</c:v>
                </c:pt>
              </c:numCache>
            </c:numRef>
          </c:val>
          <c:extLst>
            <c:ext xmlns:c16="http://schemas.microsoft.com/office/drawing/2014/chart" uri="{C3380CC4-5D6E-409C-BE32-E72D297353CC}">
              <c16:uniqueId val="{00000000-E7B4-454B-8719-EDD799B2A802}"/>
            </c:ext>
          </c:extLst>
        </c:ser>
        <c:ser>
          <c:idx val="1"/>
          <c:order val="1"/>
          <c:tx>
            <c:strRef>
              <c:f>pivot_table!$F$9</c:f>
              <c:strCache>
                <c:ptCount val="1"/>
                <c:pt idx="0">
                  <c:v>Sum of net_sales</c:v>
                </c:pt>
              </c:strCache>
            </c:strRef>
          </c:tx>
          <c:spPr>
            <a:solidFill>
              <a:schemeClr val="accent2"/>
            </a:solidFill>
            <a:ln>
              <a:noFill/>
            </a:ln>
            <a:effectLst/>
          </c:spPr>
          <c:invertIfNegative val="0"/>
          <c:cat>
            <c:strRef>
              <c:f>pivot_table!$D$10:$D$32</c:f>
              <c:strCache>
                <c:ptCount val="22"/>
                <c:pt idx="0">
                  <c:v>A4 Paper Ream</c:v>
                </c:pt>
                <c:pt idx="1">
                  <c:v>Bluetooth Speaker</c:v>
                </c:pt>
                <c:pt idx="2">
                  <c:v>Bookshelf</c:v>
                </c:pt>
                <c:pt idx="3">
                  <c:v>Cotton T-Shirt</c:v>
                </c:pt>
                <c:pt idx="4">
                  <c:v>Denim Jeans</c:v>
                </c:pt>
                <c:pt idx="5">
                  <c:v>Desk Organizer</c:v>
                </c:pt>
                <c:pt idx="6">
                  <c:v>Filing Cabinet</c:v>
                </c:pt>
                <c:pt idx="7">
                  <c:v>Formal Shirt</c:v>
                </c:pt>
                <c:pt idx="8">
                  <c:v>Gel Pen Box</c:v>
                </c:pt>
                <c:pt idx="9">
                  <c:v>Headphones</c:v>
                </c:pt>
                <c:pt idx="10">
                  <c:v>Hoodie</c:v>
                </c:pt>
                <c:pt idx="11">
                  <c:v>Monitor Stand</c:v>
                </c:pt>
                <c:pt idx="12">
                  <c:v>Notebook Pack of 5</c:v>
                </c:pt>
                <c:pt idx="13">
                  <c:v>Office Chair</c:v>
                </c:pt>
                <c:pt idx="14">
                  <c:v>Power Bank 10000mAh</c:v>
                </c:pt>
                <c:pt idx="15">
                  <c:v>Stapler</c:v>
                </c:pt>
                <c:pt idx="16">
                  <c:v>Study Table</c:v>
                </c:pt>
                <c:pt idx="17">
                  <c:v>Track Pants</c:v>
                </c:pt>
                <c:pt idx="18">
                  <c:v>USB Flash Drive 64GB</c:v>
                </c:pt>
                <c:pt idx="19">
                  <c:v>Webcam HD</c:v>
                </c:pt>
                <c:pt idx="20">
                  <c:v>Whiteboard Marker Set</c:v>
                </c:pt>
                <c:pt idx="21">
                  <c:v>Wireless Mouse</c:v>
                </c:pt>
              </c:strCache>
            </c:strRef>
          </c:cat>
          <c:val>
            <c:numRef>
              <c:f>pivot_table!$F$10:$F$32</c:f>
              <c:numCache>
                <c:formatCode>General</c:formatCode>
                <c:ptCount val="22"/>
                <c:pt idx="0">
                  <c:v>59696</c:v>
                </c:pt>
                <c:pt idx="1">
                  <c:v>301449.2</c:v>
                </c:pt>
                <c:pt idx="2">
                  <c:v>760278.15000000026</c:v>
                </c:pt>
                <c:pt idx="3">
                  <c:v>74700.299999999988</c:v>
                </c:pt>
                <c:pt idx="4">
                  <c:v>383906.60000000003</c:v>
                </c:pt>
                <c:pt idx="5">
                  <c:v>150459.90000000002</c:v>
                </c:pt>
                <c:pt idx="6">
                  <c:v>1122615.8999999997</c:v>
                </c:pt>
                <c:pt idx="7">
                  <c:v>325528.50000000012</c:v>
                </c:pt>
                <c:pt idx="8">
                  <c:v>25852.5</c:v>
                </c:pt>
                <c:pt idx="9">
                  <c:v>420137.24999999994</c:v>
                </c:pt>
                <c:pt idx="10">
                  <c:v>300851.84999999998</c:v>
                </c:pt>
                <c:pt idx="11">
                  <c:v>185238.94999999998</c:v>
                </c:pt>
                <c:pt idx="12">
                  <c:v>69412.849999999991</c:v>
                </c:pt>
                <c:pt idx="13">
                  <c:v>1284291.4500000002</c:v>
                </c:pt>
                <c:pt idx="14">
                  <c:v>299549.39999999991</c:v>
                </c:pt>
                <c:pt idx="15">
                  <c:v>36091</c:v>
                </c:pt>
                <c:pt idx="16">
                  <c:v>1031391.2999999999</c:v>
                </c:pt>
                <c:pt idx="17">
                  <c:v>229649.55000000005</c:v>
                </c:pt>
                <c:pt idx="18">
                  <c:v>108508.85000000002</c:v>
                </c:pt>
                <c:pt idx="19">
                  <c:v>339651.2</c:v>
                </c:pt>
                <c:pt idx="20">
                  <c:v>53064</c:v>
                </c:pt>
                <c:pt idx="21">
                  <c:v>163345</c:v>
                </c:pt>
              </c:numCache>
            </c:numRef>
          </c:val>
          <c:extLst>
            <c:ext xmlns:c16="http://schemas.microsoft.com/office/drawing/2014/chart" uri="{C3380CC4-5D6E-409C-BE32-E72D297353CC}">
              <c16:uniqueId val="{00000001-E7B4-454B-8719-EDD799B2A802}"/>
            </c:ext>
          </c:extLst>
        </c:ser>
        <c:dLbls>
          <c:showLegendKey val="0"/>
          <c:showVal val="0"/>
          <c:showCatName val="0"/>
          <c:showSerName val="0"/>
          <c:showPercent val="0"/>
          <c:showBubbleSize val="0"/>
        </c:dLbls>
        <c:gapWidth val="182"/>
        <c:axId val="350912064"/>
        <c:axId val="350919552"/>
      </c:barChart>
      <c:catAx>
        <c:axId val="35091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919552"/>
        <c:crosses val="autoZero"/>
        <c:auto val="1"/>
        <c:lblAlgn val="ctr"/>
        <c:lblOffset val="100"/>
        <c:noMultiLvlLbl val="0"/>
      </c:catAx>
      <c:valAx>
        <c:axId val="350919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91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[Retail_Sales_Dataset.xlsx]pivot_table!PivotTable3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pivot_table!$J$27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pivot_table!$I$28:$I$33</c:f>
              <c:strCache>
                <c:ptCount val="5"/>
                <c:pt idx="0">
                  <c:v>Central</c:v>
                </c:pt>
                <c:pt idx="1">
                  <c:v>East</c:v>
                </c:pt>
                <c:pt idx="2">
                  <c:v>North</c:v>
                </c:pt>
                <c:pt idx="3">
                  <c:v>South</c:v>
                </c:pt>
                <c:pt idx="4">
                  <c:v>West</c:v>
                </c:pt>
              </c:strCache>
            </c:strRef>
          </c:cat>
          <c:val>
            <c:numRef>
              <c:f>pivot_table!$J$28:$J$33</c:f>
              <c:numCache>
                <c:formatCode>General</c:formatCode>
                <c:ptCount val="5"/>
                <c:pt idx="0">
                  <c:v>447798.49999999988</c:v>
                </c:pt>
                <c:pt idx="1">
                  <c:v>403586.59999999992</c:v>
                </c:pt>
                <c:pt idx="2">
                  <c:v>551167.69999999972</c:v>
                </c:pt>
                <c:pt idx="3">
                  <c:v>537759</c:v>
                </c:pt>
                <c:pt idx="4">
                  <c:v>777717.89999999944</c:v>
                </c:pt>
              </c:numCache>
            </c:numRef>
          </c:val>
          <c:extLst>
            <c:ext xmlns:c16="http://schemas.microsoft.com/office/drawing/2014/chart" uri="{C3380CC4-5D6E-409C-BE32-E72D297353CC}">
              <c16:uniqueId val="{00000000-F30B-4C33-B6A0-6E672A287EB4}"/>
            </c:ext>
          </c:extLst>
        </c:ser>
        <c:dLbls>
          <c:showLegendKey val="0"/>
          <c:showVal val="0"/>
          <c:showCatName val="0"/>
          <c:showSerName val="0"/>
          <c:showPercent val="0"/>
          <c:showBubbleSize val="0"/>
        </c:dLbls>
        <c:gapWidth val="219"/>
        <c:overlap val="-27"/>
        <c:axId val="1964082591"/>
        <c:axId val="1779589039"/>
      </c:barChart>
      <c:catAx>
        <c:axId val="196408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589039"/>
        <c:crosses val="autoZero"/>
        <c:auto val="1"/>
        <c:lblAlgn val="ctr"/>
        <c:lblOffset val="100"/>
        <c:noMultiLvlLbl val="0"/>
      </c:catAx>
      <c:valAx>
        <c:axId val="1779589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08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[Retail_Sales_Dataset.xlsx]pivot_table!PivotTable11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Status</a:t>
            </a:r>
          </a:p>
        </c:rich>
      </c:tx>
      <c:layout>
        <c:manualLayout>
          <c:xMode val="edge"/>
          <c:yMode val="edge"/>
          <c:x val="5.2039594649038609E-2"/>
          <c:y val="5.35254630532062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0.18752779977528466"/>
              <c:y val="-2.238698889358581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8.8761892222275859E-2"/>
              <c:y val="5.79859183076400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s>
    <c:plotArea>
      <c:layout/>
      <c:pieChart>
        <c:varyColors val="1"/>
        <c:ser>
          <c:idx val="0"/>
          <c:order val="0"/>
          <c:tx>
            <c:strRef>
              <c:f>pivot_table!$J$1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2B-4D92-9C89-DB4CEFB642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2B-4D92-9C89-DB4CEFB642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2B-4D92-9C89-DB4CEFB642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42B-4D92-9C89-DB4CEFB642C9}"/>
              </c:ext>
            </c:extLst>
          </c:dPt>
          <c:dLbls>
            <c:dLbl>
              <c:idx val="1"/>
              <c:layout>
                <c:manualLayout>
                  <c:x val="0.18752779977528466"/>
                  <c:y val="-2.238698889358581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42B-4D92-9C89-DB4CEFB642C9}"/>
                </c:ext>
              </c:extLst>
            </c:dLbl>
            <c:dLbl>
              <c:idx val="2"/>
              <c:layout>
                <c:manualLayout>
                  <c:x val="-8.8761892222275859E-2"/>
                  <c:y val="5.798591830764005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42B-4D92-9C89-DB4CEFB642C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pivot_table!$I$2:$I$6</c:f>
              <c:strCache>
                <c:ptCount val="4"/>
                <c:pt idx="0">
                  <c:v>Cancelled</c:v>
                </c:pt>
                <c:pt idx="1">
                  <c:v>Delivered</c:v>
                </c:pt>
                <c:pt idx="2">
                  <c:v>Pending</c:v>
                </c:pt>
                <c:pt idx="3">
                  <c:v>Returned</c:v>
                </c:pt>
              </c:strCache>
            </c:strRef>
          </c:cat>
          <c:val>
            <c:numRef>
              <c:f>pivot_table!$J$2:$J$6</c:f>
              <c:numCache>
                <c:formatCode>General</c:formatCode>
                <c:ptCount val="4"/>
                <c:pt idx="0">
                  <c:v>67</c:v>
                </c:pt>
                <c:pt idx="1">
                  <c:v>1001</c:v>
                </c:pt>
                <c:pt idx="2">
                  <c:v>49</c:v>
                </c:pt>
                <c:pt idx="3">
                  <c:v>83</c:v>
                </c:pt>
              </c:numCache>
            </c:numRef>
          </c:val>
          <c:extLst>
            <c:ext xmlns:c16="http://schemas.microsoft.com/office/drawing/2014/chart" uri="{C3380CC4-5D6E-409C-BE32-E72D297353CC}">
              <c16:uniqueId val="{00000008-842B-4D92-9C89-DB4CEFB642C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[Retail_Sales_Dataset.xlsx]pivot_table!PivotTable12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wise profit and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pivot_table!$H$9</c:f>
              <c:strCache>
                <c:ptCount val="1"/>
                <c:pt idx="0">
                  <c:v>Sum of profit</c:v>
                </c:pt>
              </c:strCache>
            </c:strRef>
          </c:tx>
          <c:spPr>
            <a:solidFill>
              <a:schemeClr val="accent1"/>
            </a:solidFill>
            <a:ln>
              <a:noFill/>
            </a:ln>
            <a:effectLst/>
          </c:spPr>
          <c:invertIfNegative val="0"/>
          <c:cat>
            <c:strRef>
              <c:f>pivot_table!$G$10:$G$24</c:f>
              <c:strCache>
                <c:ptCount val="14"/>
                <c:pt idx="0">
                  <c:v>Bihar</c:v>
                </c:pt>
                <c:pt idx="1">
                  <c:v>Chandigarh</c:v>
                </c:pt>
                <c:pt idx="2">
                  <c:v>Delhi</c:v>
                </c:pt>
                <c:pt idx="3">
                  <c:v>Gujarat</c:v>
                </c:pt>
                <c:pt idx="4">
                  <c:v>Karnataka</c:v>
                </c:pt>
                <c:pt idx="5">
                  <c:v>Kerala</c:v>
                </c:pt>
                <c:pt idx="6">
                  <c:v>Madhya Pradesh</c:v>
                </c:pt>
                <c:pt idx="7">
                  <c:v>Maharashtra</c:v>
                </c:pt>
                <c:pt idx="8">
                  <c:v>Odisha</c:v>
                </c:pt>
                <c:pt idx="9">
                  <c:v>Rajasthan</c:v>
                </c:pt>
                <c:pt idx="10">
                  <c:v>Tamil Nadu</c:v>
                </c:pt>
                <c:pt idx="11">
                  <c:v>Telangana</c:v>
                </c:pt>
                <c:pt idx="12">
                  <c:v>Uttar Pradesh</c:v>
                </c:pt>
                <c:pt idx="13">
                  <c:v>West Bengal</c:v>
                </c:pt>
              </c:strCache>
            </c:strRef>
          </c:cat>
          <c:val>
            <c:numRef>
              <c:f>pivot_table!$H$10:$H$24</c:f>
              <c:numCache>
                <c:formatCode>General</c:formatCode>
                <c:ptCount val="14"/>
                <c:pt idx="0">
                  <c:v>117282.75</c:v>
                </c:pt>
                <c:pt idx="1">
                  <c:v>152129.95000000001</c:v>
                </c:pt>
                <c:pt idx="2">
                  <c:v>205561.24999999997</c:v>
                </c:pt>
                <c:pt idx="3">
                  <c:v>565493.79999999981</c:v>
                </c:pt>
                <c:pt idx="4">
                  <c:v>90663.799999999974</c:v>
                </c:pt>
                <c:pt idx="5">
                  <c:v>137398.70000000001</c:v>
                </c:pt>
                <c:pt idx="6">
                  <c:v>351407.35</c:v>
                </c:pt>
                <c:pt idx="7">
                  <c:v>308615.24999999988</c:v>
                </c:pt>
                <c:pt idx="8">
                  <c:v>155017.79999999999</c:v>
                </c:pt>
                <c:pt idx="9">
                  <c:v>139437.35</c:v>
                </c:pt>
                <c:pt idx="10">
                  <c:v>153041.1</c:v>
                </c:pt>
                <c:pt idx="11">
                  <c:v>156655.40000000005</c:v>
                </c:pt>
                <c:pt idx="12">
                  <c:v>54039.15</c:v>
                </c:pt>
                <c:pt idx="13">
                  <c:v>131286.05000000002</c:v>
                </c:pt>
              </c:numCache>
            </c:numRef>
          </c:val>
          <c:extLst>
            <c:ext xmlns:c16="http://schemas.microsoft.com/office/drawing/2014/chart" uri="{C3380CC4-5D6E-409C-BE32-E72D297353CC}">
              <c16:uniqueId val="{00000001-EFE1-4870-BE24-679E090931A2}"/>
            </c:ext>
          </c:extLst>
        </c:ser>
        <c:ser>
          <c:idx val="1"/>
          <c:order val="1"/>
          <c:tx>
            <c:strRef>
              <c:f>pivot_table!$I$9</c:f>
              <c:strCache>
                <c:ptCount val="1"/>
                <c:pt idx="0">
                  <c:v>Sum of net_sales</c:v>
                </c:pt>
              </c:strCache>
            </c:strRef>
          </c:tx>
          <c:spPr>
            <a:solidFill>
              <a:schemeClr val="accent2"/>
            </a:solidFill>
            <a:ln>
              <a:noFill/>
            </a:ln>
            <a:effectLst/>
          </c:spPr>
          <c:invertIfNegative val="0"/>
          <c:cat>
            <c:strRef>
              <c:f>pivot_table!$G$10:$G$24</c:f>
              <c:strCache>
                <c:ptCount val="14"/>
                <c:pt idx="0">
                  <c:v>Bihar</c:v>
                </c:pt>
                <c:pt idx="1">
                  <c:v>Chandigarh</c:v>
                </c:pt>
                <c:pt idx="2">
                  <c:v>Delhi</c:v>
                </c:pt>
                <c:pt idx="3">
                  <c:v>Gujarat</c:v>
                </c:pt>
                <c:pt idx="4">
                  <c:v>Karnataka</c:v>
                </c:pt>
                <c:pt idx="5">
                  <c:v>Kerala</c:v>
                </c:pt>
                <c:pt idx="6">
                  <c:v>Madhya Pradesh</c:v>
                </c:pt>
                <c:pt idx="7">
                  <c:v>Maharashtra</c:v>
                </c:pt>
                <c:pt idx="8">
                  <c:v>Odisha</c:v>
                </c:pt>
                <c:pt idx="9">
                  <c:v>Rajasthan</c:v>
                </c:pt>
                <c:pt idx="10">
                  <c:v>Tamil Nadu</c:v>
                </c:pt>
                <c:pt idx="11">
                  <c:v>Telangana</c:v>
                </c:pt>
                <c:pt idx="12">
                  <c:v>Uttar Pradesh</c:v>
                </c:pt>
                <c:pt idx="13">
                  <c:v>West Bengal</c:v>
                </c:pt>
              </c:strCache>
            </c:strRef>
          </c:cat>
          <c:val>
            <c:numRef>
              <c:f>pivot_table!$I$10:$I$24</c:f>
              <c:numCache>
                <c:formatCode>General</c:formatCode>
                <c:ptCount val="14"/>
                <c:pt idx="0">
                  <c:v>305792.75</c:v>
                </c:pt>
                <c:pt idx="1">
                  <c:v>419519.94999999995</c:v>
                </c:pt>
                <c:pt idx="2">
                  <c:v>586581.25</c:v>
                </c:pt>
                <c:pt idx="3">
                  <c:v>1636443.8000000007</c:v>
                </c:pt>
                <c:pt idx="4">
                  <c:v>306053.80000000005</c:v>
                </c:pt>
                <c:pt idx="5">
                  <c:v>379428.7</c:v>
                </c:pt>
                <c:pt idx="6">
                  <c:v>993437.35000000009</c:v>
                </c:pt>
                <c:pt idx="7">
                  <c:v>922835.25</c:v>
                </c:pt>
                <c:pt idx="8">
                  <c:v>418357.8000000001</c:v>
                </c:pt>
                <c:pt idx="9">
                  <c:v>382367.35</c:v>
                </c:pt>
                <c:pt idx="10">
                  <c:v>438531.10000000015</c:v>
                </c:pt>
                <c:pt idx="11">
                  <c:v>428675.39999999991</c:v>
                </c:pt>
                <c:pt idx="12">
                  <c:v>141969.15000000002</c:v>
                </c:pt>
                <c:pt idx="13">
                  <c:v>365676.04999999987</c:v>
                </c:pt>
              </c:numCache>
            </c:numRef>
          </c:val>
          <c:extLst>
            <c:ext xmlns:c16="http://schemas.microsoft.com/office/drawing/2014/chart" uri="{C3380CC4-5D6E-409C-BE32-E72D297353CC}">
              <c16:uniqueId val="{00000002-EFE1-4870-BE24-679E090931A2}"/>
            </c:ext>
          </c:extLst>
        </c:ser>
        <c:dLbls>
          <c:showLegendKey val="0"/>
          <c:showVal val="0"/>
          <c:showCatName val="0"/>
          <c:showSerName val="0"/>
          <c:showPercent val="0"/>
          <c:showBubbleSize val="0"/>
        </c:dLbls>
        <c:gapWidth val="219"/>
        <c:overlap val="-27"/>
        <c:axId val="1831370495"/>
        <c:axId val="1779679759"/>
      </c:barChart>
      <c:catAx>
        <c:axId val="183137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679759"/>
        <c:crosses val="autoZero"/>
        <c:auto val="1"/>
        <c:lblAlgn val="ctr"/>
        <c:lblOffset val="100"/>
        <c:noMultiLvlLbl val="0"/>
      </c:catAx>
      <c:valAx>
        <c:axId val="1779679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37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[Retail_Sales_Dataset.xlsx]pivot_table!PivotTable14</c:name>
    <c:fmtId val="2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pivot_table!$M$1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pivot_table!$L$2:$L$16</c:f>
              <c:strCache>
                <c:ptCount val="14"/>
                <c:pt idx="0">
                  <c:v>Uttar Pradesh</c:v>
                </c:pt>
                <c:pt idx="1">
                  <c:v>Karnataka</c:v>
                </c:pt>
                <c:pt idx="2">
                  <c:v>Odisha</c:v>
                </c:pt>
                <c:pt idx="3">
                  <c:v>Rajasthan</c:v>
                </c:pt>
                <c:pt idx="4">
                  <c:v>Bihar</c:v>
                </c:pt>
                <c:pt idx="5">
                  <c:v>Tamil Nadu</c:v>
                </c:pt>
                <c:pt idx="6">
                  <c:v>West Bengal</c:v>
                </c:pt>
                <c:pt idx="7">
                  <c:v>Kerala</c:v>
                </c:pt>
                <c:pt idx="8">
                  <c:v>Telangana</c:v>
                </c:pt>
                <c:pt idx="9">
                  <c:v>Chandigarh</c:v>
                </c:pt>
                <c:pt idx="10">
                  <c:v>Delhi</c:v>
                </c:pt>
                <c:pt idx="11">
                  <c:v>Maharashtra</c:v>
                </c:pt>
                <c:pt idx="12">
                  <c:v>Madhya Pradesh</c:v>
                </c:pt>
                <c:pt idx="13">
                  <c:v>Gujarat</c:v>
                </c:pt>
              </c:strCache>
            </c:strRef>
          </c:cat>
          <c:val>
            <c:numRef>
              <c:f>pivot_table!$M$2:$M$16</c:f>
              <c:numCache>
                <c:formatCode>General</c:formatCode>
                <c:ptCount val="14"/>
                <c:pt idx="0">
                  <c:v>37</c:v>
                </c:pt>
                <c:pt idx="1">
                  <c:v>38</c:v>
                </c:pt>
                <c:pt idx="2">
                  <c:v>57</c:v>
                </c:pt>
                <c:pt idx="3">
                  <c:v>57</c:v>
                </c:pt>
                <c:pt idx="4">
                  <c:v>62</c:v>
                </c:pt>
                <c:pt idx="5">
                  <c:v>63</c:v>
                </c:pt>
                <c:pt idx="6">
                  <c:v>64</c:v>
                </c:pt>
                <c:pt idx="7">
                  <c:v>67</c:v>
                </c:pt>
                <c:pt idx="8">
                  <c:v>71</c:v>
                </c:pt>
                <c:pt idx="9">
                  <c:v>77</c:v>
                </c:pt>
                <c:pt idx="10">
                  <c:v>82</c:v>
                </c:pt>
                <c:pt idx="11">
                  <c:v>142</c:v>
                </c:pt>
                <c:pt idx="12">
                  <c:v>148</c:v>
                </c:pt>
                <c:pt idx="13">
                  <c:v>235</c:v>
                </c:pt>
              </c:numCache>
            </c:numRef>
          </c:val>
          <c:extLst>
            <c:ext xmlns:c16="http://schemas.microsoft.com/office/drawing/2014/chart" uri="{C3380CC4-5D6E-409C-BE32-E72D297353CC}">
              <c16:uniqueId val="{00000000-3646-4F0D-86F9-524380E4F9CA}"/>
            </c:ext>
          </c:extLst>
        </c:ser>
        <c:dLbls>
          <c:showLegendKey val="0"/>
          <c:showVal val="0"/>
          <c:showCatName val="0"/>
          <c:showSerName val="0"/>
          <c:showPercent val="0"/>
          <c:showBubbleSize val="0"/>
        </c:dLbls>
        <c:gapWidth val="182"/>
        <c:axId val="109153695"/>
        <c:axId val="1779610159"/>
      </c:barChart>
      <c:catAx>
        <c:axId val="109153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610159"/>
        <c:crosses val="autoZero"/>
        <c:auto val="1"/>
        <c:lblAlgn val="ctr"/>
        <c:lblOffset val="100"/>
        <c:noMultiLvlLbl val="0"/>
      </c:catAx>
      <c:valAx>
        <c:axId val="1779610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5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wise profit</a:t>
            </a:r>
            <a:endParaRPr lang="en-US"/>
          </a:p>
        </c:rich>
      </c:tx>
      <c:layout>
        <c:manualLayout>
          <c:xMode val="edge"/>
          <c:yMode val="edge"/>
          <c:x val="0.3367764634441378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0633455150219037"/>
              <c:y val="0.134259259259259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5110699423995474"/>
              <c:y val="0.1990740740740741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2872077287107256"/>
              <c:y val="-0.194444444444444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pivot_table!$H$1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A1-4248-A3F9-3433938BD6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A1-4248-A3F9-3433938BD6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A1-4248-A3F9-3433938BD6F3}"/>
              </c:ext>
            </c:extLst>
          </c:dPt>
          <c:dLbls>
            <c:dLbl>
              <c:idx val="0"/>
              <c:layout>
                <c:manualLayout>
                  <c:x val="0.10633455150219037"/>
                  <c:y val="0.1342592592592592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DA1-4248-A3F9-3433938BD6F3}"/>
                </c:ext>
              </c:extLst>
            </c:dLbl>
            <c:dLbl>
              <c:idx val="1"/>
              <c:layout>
                <c:manualLayout>
                  <c:x val="-0.15110699423995474"/>
                  <c:y val="0.1990740740740741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DA1-4248-A3F9-3433938BD6F3}"/>
                </c:ext>
              </c:extLst>
            </c:dLbl>
            <c:dLbl>
              <c:idx val="2"/>
              <c:layout>
                <c:manualLayout>
                  <c:x val="-0.12872077287107256"/>
                  <c:y val="-0.1944444444444444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DA1-4248-A3F9-3433938BD6F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pivot_table!$G$2:$G$5</c:f>
              <c:strCache>
                <c:ptCount val="3"/>
                <c:pt idx="0">
                  <c:v>Consumer</c:v>
                </c:pt>
                <c:pt idx="1">
                  <c:v>Corporate</c:v>
                </c:pt>
                <c:pt idx="2">
                  <c:v>Home Office</c:v>
                </c:pt>
              </c:strCache>
            </c:strRef>
          </c:cat>
          <c:val>
            <c:numRef>
              <c:f>pivot_table!$H$2:$H$5</c:f>
              <c:numCache>
                <c:formatCode>General</c:formatCode>
                <c:ptCount val="3"/>
                <c:pt idx="0">
                  <c:v>1614174.7500000019</c:v>
                </c:pt>
                <c:pt idx="1">
                  <c:v>754055.74999999965</c:v>
                </c:pt>
                <c:pt idx="2">
                  <c:v>349799.19999999995</c:v>
                </c:pt>
              </c:numCache>
            </c:numRef>
          </c:val>
          <c:extLst>
            <c:ext xmlns:c16="http://schemas.microsoft.com/office/drawing/2014/chart" uri="{C3380CC4-5D6E-409C-BE32-E72D297353CC}">
              <c16:uniqueId val="{00000006-0DA1-4248-A3F9-3433938BD6F3}"/>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[Retail_Sales_Dataset.xlsx]pivot_table!PivotTable3</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layout>
            <c:manualLayout>
              <c:x val="-6.4584667193177368E-3"/>
              <c:y val="-0.3101851851851852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dLbl>
          <c:idx val="0"/>
          <c:layout>
            <c:manualLayout>
              <c:x val="-2.1528222397726054E-3"/>
              <c:y val="-0.240740740740740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layout>
            <c:manualLayout>
              <c:x val="0"/>
              <c:y val="-0.250000000000000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layout>
            <c:manualLayout>
              <c:x val="2.152822239772487E-3"/>
              <c:y val="-0.2222222222222222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dLbl>
          <c:idx val="0"/>
          <c:layout>
            <c:manualLayout>
              <c:x val="-6.458466719317579E-3"/>
              <c:y val="-0.2453703703703703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8.8715939851841757E-2"/>
          <c:y val="0.26328484981044037"/>
          <c:w val="0.79523253277163319"/>
          <c:h val="0.53774387576552929"/>
        </c:manualLayout>
      </c:layout>
      <c:barChart>
        <c:barDir val="col"/>
        <c:grouping val="stacked"/>
        <c:varyColors val="0"/>
        <c:ser>
          <c:idx val="0"/>
          <c:order val="0"/>
          <c:tx>
            <c:strRef>
              <c:f>pivot_table!$J$27</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5-BCE4-4B12-A2AC-4C4BA01C4B20}"/>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4-BCE4-4B12-A2AC-4C4BA01C4B20}"/>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3-BCE4-4B12-A2AC-4C4BA01C4B20}"/>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2-BCE4-4B12-A2AC-4C4BA01C4B20}"/>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1-BCE4-4B12-A2AC-4C4BA01C4B20}"/>
              </c:ext>
            </c:extLst>
          </c:dPt>
          <c:dLbls>
            <c:dLbl>
              <c:idx val="0"/>
              <c:layout>
                <c:manualLayout>
                  <c:x val="-6.458466719317579E-3"/>
                  <c:y val="-0.2453703703703703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CE4-4B12-A2AC-4C4BA01C4B20}"/>
                </c:ext>
              </c:extLst>
            </c:dLbl>
            <c:dLbl>
              <c:idx val="1"/>
              <c:layout>
                <c:manualLayout>
                  <c:x val="2.152822239772487E-3"/>
                  <c:y val="-0.2222222222222222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CE4-4B12-A2AC-4C4BA01C4B20}"/>
                </c:ext>
              </c:extLst>
            </c:dLbl>
            <c:dLbl>
              <c:idx val="2"/>
              <c:layout>
                <c:manualLayout>
                  <c:x val="0"/>
                  <c:y val="-0.2500000000000000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E4-4B12-A2AC-4C4BA01C4B20}"/>
                </c:ext>
              </c:extLst>
            </c:dLbl>
            <c:dLbl>
              <c:idx val="3"/>
              <c:layout>
                <c:manualLayout>
                  <c:x val="-2.1528222397726054E-3"/>
                  <c:y val="-0.2407407407407408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CE4-4B12-A2AC-4C4BA01C4B20}"/>
                </c:ext>
              </c:extLst>
            </c:dLbl>
            <c:dLbl>
              <c:idx val="4"/>
              <c:layout>
                <c:manualLayout>
                  <c:x val="-6.4584667193177368E-3"/>
                  <c:y val="-0.3101851851851852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E4-4B12-A2AC-4C4BA01C4B2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pivot_table!$I$28:$I$33</c:f>
              <c:strCache>
                <c:ptCount val="5"/>
                <c:pt idx="0">
                  <c:v>Central</c:v>
                </c:pt>
                <c:pt idx="1">
                  <c:v>East</c:v>
                </c:pt>
                <c:pt idx="2">
                  <c:v>North</c:v>
                </c:pt>
                <c:pt idx="3">
                  <c:v>South</c:v>
                </c:pt>
                <c:pt idx="4">
                  <c:v>West</c:v>
                </c:pt>
              </c:strCache>
            </c:strRef>
          </c:cat>
          <c:val>
            <c:numRef>
              <c:f>pivot_table!$J$28:$J$33</c:f>
              <c:numCache>
                <c:formatCode>General</c:formatCode>
                <c:ptCount val="5"/>
                <c:pt idx="0">
                  <c:v>447798.49999999988</c:v>
                </c:pt>
                <c:pt idx="1">
                  <c:v>403586.59999999992</c:v>
                </c:pt>
                <c:pt idx="2">
                  <c:v>551167.69999999972</c:v>
                </c:pt>
                <c:pt idx="3">
                  <c:v>537759</c:v>
                </c:pt>
                <c:pt idx="4">
                  <c:v>777717.89999999944</c:v>
                </c:pt>
              </c:numCache>
            </c:numRef>
          </c:val>
          <c:extLst>
            <c:ext xmlns:c16="http://schemas.microsoft.com/office/drawing/2014/chart" uri="{C3380CC4-5D6E-409C-BE32-E72D297353CC}">
              <c16:uniqueId val="{00000000-BCE4-4B12-A2AC-4C4BA01C4B20}"/>
            </c:ext>
          </c:extLst>
        </c:ser>
        <c:dLbls>
          <c:showLegendKey val="0"/>
          <c:showVal val="0"/>
          <c:showCatName val="0"/>
          <c:showSerName val="0"/>
          <c:showPercent val="0"/>
          <c:showBubbleSize val="0"/>
        </c:dLbls>
        <c:gapWidth val="150"/>
        <c:overlap val="100"/>
        <c:axId val="109268303"/>
        <c:axId val="1779597199"/>
      </c:barChart>
      <c:catAx>
        <c:axId val="10926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597199"/>
        <c:crosses val="autoZero"/>
        <c:auto val="1"/>
        <c:lblAlgn val="ctr"/>
        <c:lblOffset val="100"/>
        <c:noMultiLvlLbl val="0"/>
      </c:catAx>
      <c:valAx>
        <c:axId val="1779597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6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86942</xdr:colOff>
      <xdr:row>0</xdr:row>
      <xdr:rowOff>0</xdr:rowOff>
    </xdr:from>
    <xdr:to>
      <xdr:col>28</xdr:col>
      <xdr:colOff>60831</xdr:colOff>
      <xdr:row>51</xdr:row>
      <xdr:rowOff>40821</xdr:rowOff>
    </xdr:to>
    <xdr:sp macro="" textlink="">
      <xdr:nvSpPr>
        <xdr:cNvPr id="2" name="Rectangle 1">
          <a:extLst>
            <a:ext uri="{FF2B5EF4-FFF2-40B4-BE49-F238E27FC236}">
              <a16:creationId xmlns:a16="http://schemas.microsoft.com/office/drawing/2014/main" id="{2CC0DCA1-F52A-02DB-978E-39645AD63FA0}"/>
            </a:ext>
          </a:extLst>
        </xdr:cNvPr>
        <xdr:cNvSpPr/>
      </xdr:nvSpPr>
      <xdr:spPr>
        <a:xfrm>
          <a:off x="86942" y="0"/>
          <a:ext cx="16917183" cy="9756321"/>
        </a:xfrm>
        <a:prstGeom prst="rect">
          <a:avLst/>
        </a:prstGeom>
        <a:solidFill>
          <a:schemeClr val="bg2">
            <a:lumMod val="1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102053</xdr:colOff>
      <xdr:row>7</xdr:row>
      <xdr:rowOff>16329</xdr:rowOff>
    </xdr:from>
    <xdr:to>
      <xdr:col>11</xdr:col>
      <xdr:colOff>597353</xdr:colOff>
      <xdr:row>21</xdr:row>
      <xdr:rowOff>92529</xdr:rowOff>
    </xdr:to>
    <xdr:graphicFrame macro="">
      <xdr:nvGraphicFramePr>
        <xdr:cNvPr id="3" name="Chart 2">
          <a:extLst>
            <a:ext uri="{FF2B5EF4-FFF2-40B4-BE49-F238E27FC236}">
              <a16:creationId xmlns:a16="http://schemas.microsoft.com/office/drawing/2014/main" id="{4EDFCFA0-0AFF-4721-ACE6-368ACA4202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104775</xdr:colOff>
      <xdr:row>21</xdr:row>
      <xdr:rowOff>123824</xdr:rowOff>
    </xdr:from>
    <xdr:to>
      <xdr:col>6</xdr:col>
      <xdr:colOff>361950</xdr:colOff>
      <xdr:row>36</xdr:row>
      <xdr:rowOff>95249</xdr:rowOff>
    </xdr:to>
    <xdr:graphicFrame macro="">
      <xdr:nvGraphicFramePr>
        <xdr:cNvPr id="5" name="Chart 4">
          <a:extLst>
            <a:ext uri="{FF2B5EF4-FFF2-40B4-BE49-F238E27FC236}">
              <a16:creationId xmlns:a16="http://schemas.microsoft.com/office/drawing/2014/main" id="{A59878F7-4369-4578-A8A0-96E9BA9AA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400049</xdr:colOff>
      <xdr:row>21</xdr:row>
      <xdr:rowOff>123824</xdr:rowOff>
    </xdr:from>
    <xdr:to>
      <xdr:col>17</xdr:col>
      <xdr:colOff>314325</xdr:colOff>
      <xdr:row>36</xdr:row>
      <xdr:rowOff>95249</xdr:rowOff>
    </xdr:to>
    <xdr:graphicFrame macro="">
      <xdr:nvGraphicFramePr>
        <xdr:cNvPr id="6" name="Chart 5">
          <a:extLst>
            <a:ext uri="{FF2B5EF4-FFF2-40B4-BE49-F238E27FC236}">
              <a16:creationId xmlns:a16="http://schemas.microsoft.com/office/drawing/2014/main" id="{E3A62DBF-EA05-4978-AEA6-F0094E19E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387487</xdr:colOff>
      <xdr:row>7</xdr:row>
      <xdr:rowOff>13850</xdr:rowOff>
    </xdr:from>
    <xdr:to>
      <xdr:col>24</xdr:col>
      <xdr:colOff>470648</xdr:colOff>
      <xdr:row>21</xdr:row>
      <xdr:rowOff>90050</xdr:rowOff>
    </xdr:to>
    <xdr:graphicFrame macro="">
      <xdr:nvGraphicFramePr>
        <xdr:cNvPr id="8" name="Chart 7">
          <a:extLst>
            <a:ext uri="{FF2B5EF4-FFF2-40B4-BE49-F238E27FC236}">
              <a16:creationId xmlns:a16="http://schemas.microsoft.com/office/drawing/2014/main" id="{6A1A6C4D-F1CD-479F-9A21-3440C71A1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338506</xdr:colOff>
      <xdr:row>21</xdr:row>
      <xdr:rowOff>123608</xdr:rowOff>
    </xdr:from>
    <xdr:to>
      <xdr:col>24</xdr:col>
      <xdr:colOff>483577</xdr:colOff>
      <xdr:row>36</xdr:row>
      <xdr:rowOff>102577</xdr:rowOff>
    </xdr:to>
    <xdr:graphicFrame macro="">
      <xdr:nvGraphicFramePr>
        <xdr:cNvPr id="9" name="Chart 8">
          <a:extLst>
            <a:ext uri="{FF2B5EF4-FFF2-40B4-BE49-F238E27FC236}">
              <a16:creationId xmlns:a16="http://schemas.microsoft.com/office/drawing/2014/main" id="{902E05C3-D22B-4E01-9496-A8C73301E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26946</xdr:colOff>
      <xdr:row>7</xdr:row>
      <xdr:rowOff>8608</xdr:rowOff>
    </xdr:from>
    <xdr:to>
      <xdr:col>19</xdr:col>
      <xdr:colOff>355991</xdr:colOff>
      <xdr:row>21</xdr:row>
      <xdr:rowOff>84808</xdr:rowOff>
    </xdr:to>
    <xdr:graphicFrame macro="">
      <xdr:nvGraphicFramePr>
        <xdr:cNvPr id="10" name="Chart 9">
          <a:extLst>
            <a:ext uri="{FF2B5EF4-FFF2-40B4-BE49-F238E27FC236}">
              <a16:creationId xmlns:a16="http://schemas.microsoft.com/office/drawing/2014/main" id="{7E998191-51FE-4F70-830B-65BDCF74C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102695</xdr:colOff>
      <xdr:row>36</xdr:row>
      <xdr:rowOff>128306</xdr:rowOff>
    </xdr:from>
    <xdr:to>
      <xdr:col>7</xdr:col>
      <xdr:colOff>388445</xdr:colOff>
      <xdr:row>51</xdr:row>
      <xdr:rowOff>14006</xdr:rowOff>
    </xdr:to>
    <xdr:graphicFrame macro="">
      <xdr:nvGraphicFramePr>
        <xdr:cNvPr id="13" name="Chart 12">
          <a:extLst>
            <a:ext uri="{FF2B5EF4-FFF2-40B4-BE49-F238E27FC236}">
              <a16:creationId xmlns:a16="http://schemas.microsoft.com/office/drawing/2014/main" id="{67C280C5-0FBA-46BA-8311-F64028DB9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410107</xdr:colOff>
      <xdr:row>36</xdr:row>
      <xdr:rowOff>132447</xdr:rowOff>
    </xdr:from>
    <xdr:to>
      <xdr:col>15</xdr:col>
      <xdr:colOff>83536</xdr:colOff>
      <xdr:row>51</xdr:row>
      <xdr:rowOff>18147</xdr:rowOff>
    </xdr:to>
    <xdr:graphicFrame macro="">
      <xdr:nvGraphicFramePr>
        <xdr:cNvPr id="14" name="Chart 13">
          <a:extLst>
            <a:ext uri="{FF2B5EF4-FFF2-40B4-BE49-F238E27FC236}">
              <a16:creationId xmlns:a16="http://schemas.microsoft.com/office/drawing/2014/main" id="{BCCC3C52-1610-4968-9D66-89E22DA7C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105276</xdr:colOff>
      <xdr:row>36</xdr:row>
      <xdr:rowOff>133013</xdr:rowOff>
    </xdr:from>
    <xdr:to>
      <xdr:col>24</xdr:col>
      <xdr:colOff>500062</xdr:colOff>
      <xdr:row>51</xdr:row>
      <xdr:rowOff>18713</xdr:rowOff>
    </xdr:to>
    <xdr:graphicFrame macro="">
      <xdr:nvGraphicFramePr>
        <xdr:cNvPr id="15" name="Chart 14">
          <a:extLst>
            <a:ext uri="{FF2B5EF4-FFF2-40B4-BE49-F238E27FC236}">
              <a16:creationId xmlns:a16="http://schemas.microsoft.com/office/drawing/2014/main" id="{D85D8157-7779-4505-BA49-F90CB9CE5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0</xdr:col>
      <xdr:colOff>0</xdr:colOff>
      <xdr:row>0</xdr:row>
      <xdr:rowOff>1196</xdr:rowOff>
    </xdr:from>
    <xdr:ext cx="5255559" cy="1219436"/>
    <xdr:sp macro="" textlink="">
      <xdr:nvSpPr>
        <xdr:cNvPr id="16" name="Rectangle 15">
          <a:extLst>
            <a:ext uri="{FF2B5EF4-FFF2-40B4-BE49-F238E27FC236}">
              <a16:creationId xmlns:a16="http://schemas.microsoft.com/office/drawing/2014/main" id="{926C63BF-3F14-76E4-AFC4-FA9BB22652CA}"/>
            </a:ext>
          </a:extLst>
        </xdr:cNvPr>
        <xdr:cNvSpPr/>
      </xdr:nvSpPr>
      <xdr:spPr>
        <a:xfrm>
          <a:off x="0" y="1196"/>
          <a:ext cx="5255559" cy="1219436"/>
        </a:xfrm>
        <a:prstGeom prst="rect">
          <a:avLst/>
        </a:prstGeom>
        <a:noFill/>
      </xdr:spPr>
      <xdr:txBody>
        <a:bodyPr wrap="square" lIns="91440" tIns="45720" rIns="91440" bIns="45720">
          <a:spAutoFit/>
        </a:bodyPr>
        <a:lstStyle/>
        <a:p>
          <a:pPr algn="ctr"/>
          <a:r>
            <a:rPr lang="en-US" sz="3600" b="1" cap="none" spc="0">
              <a:ln w="0"/>
              <a:solidFill>
                <a:schemeClr val="bg1"/>
              </a:solidFill>
              <a:effectLst>
                <a:outerShdw blurRad="38100" dist="19050" dir="2700000" algn="tl" rotWithShape="0">
                  <a:schemeClr val="dk1">
                    <a:alpha val="40000"/>
                  </a:schemeClr>
                </a:outerShdw>
              </a:effectLst>
            </a:rPr>
            <a:t>Retail</a:t>
          </a:r>
          <a:r>
            <a:rPr lang="en-US" sz="3600" b="1" cap="none" spc="0" baseline="0">
              <a:ln w="0"/>
              <a:solidFill>
                <a:schemeClr val="bg1"/>
              </a:solidFill>
              <a:effectLst>
                <a:outerShdw blurRad="38100" dist="19050" dir="2700000" algn="tl" rotWithShape="0">
                  <a:schemeClr val="dk1">
                    <a:alpha val="40000"/>
                  </a:schemeClr>
                </a:outerShdw>
              </a:effectLst>
            </a:rPr>
            <a:t> S</a:t>
          </a:r>
          <a:r>
            <a:rPr lang="en-US" sz="3600" b="1" cap="none" spc="0">
              <a:ln w="0"/>
              <a:solidFill>
                <a:schemeClr val="bg1"/>
              </a:solidFill>
              <a:effectLst>
                <a:outerShdw blurRad="38100" dist="19050" dir="2700000" algn="tl" rotWithShape="0">
                  <a:schemeClr val="dk1">
                    <a:alpha val="40000"/>
                  </a:schemeClr>
                </a:outerShdw>
              </a:effectLst>
            </a:rPr>
            <a:t>ales</a:t>
          </a:r>
        </a:p>
        <a:p>
          <a:pPr algn="ctr"/>
          <a:r>
            <a:rPr lang="en-US" sz="3600" b="1" cap="none" spc="0">
              <a:ln w="0"/>
              <a:solidFill>
                <a:schemeClr val="bg1"/>
              </a:solidFill>
              <a:effectLst>
                <a:outerShdw blurRad="38100" dist="19050" dir="2700000" algn="tl" rotWithShape="0">
                  <a:schemeClr val="dk1">
                    <a:alpha val="40000"/>
                  </a:schemeClr>
                </a:outerShdw>
              </a:effectLst>
            </a:rPr>
            <a:t>Dashboard</a:t>
          </a:r>
        </a:p>
      </xdr:txBody>
    </xdr:sp>
    <xdr:clientData/>
  </xdr:oneCellAnchor>
  <xdr:twoCellAnchor>
    <xdr:from>
      <xdr:col>20</xdr:col>
      <xdr:colOff>347384</xdr:colOff>
      <xdr:row>0</xdr:row>
      <xdr:rowOff>189672</xdr:rowOff>
    </xdr:from>
    <xdr:to>
      <xdr:col>23</xdr:col>
      <xdr:colOff>543601</xdr:colOff>
      <xdr:row>3</xdr:row>
      <xdr:rowOff>11206</xdr:rowOff>
    </xdr:to>
    <xdr:sp macro="" textlink="">
      <xdr:nvSpPr>
        <xdr:cNvPr id="26" name="TextBox 25">
          <a:extLst>
            <a:ext uri="{FF2B5EF4-FFF2-40B4-BE49-F238E27FC236}">
              <a16:creationId xmlns:a16="http://schemas.microsoft.com/office/drawing/2014/main" id="{A16B770C-DB27-4D84-9DB6-88909B579075}"/>
            </a:ext>
          </a:extLst>
        </xdr:cNvPr>
        <xdr:cNvSpPr txBox="1"/>
      </xdr:nvSpPr>
      <xdr:spPr>
        <a:xfrm>
          <a:off x="12449737" y="189672"/>
          <a:ext cx="2011570" cy="3930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baseline="0"/>
            <a:t>AVERAGE SALES</a:t>
          </a:r>
          <a:endParaRPr lang="en-IN" sz="1800" b="1"/>
        </a:p>
      </xdr:txBody>
    </xdr:sp>
    <xdr:clientData/>
  </xdr:twoCellAnchor>
  <xdr:twoCellAnchor>
    <xdr:from>
      <xdr:col>20</xdr:col>
      <xdr:colOff>358588</xdr:colOff>
      <xdr:row>3</xdr:row>
      <xdr:rowOff>112059</xdr:rowOff>
    </xdr:from>
    <xdr:to>
      <xdr:col>23</xdr:col>
      <xdr:colOff>532438</xdr:colOff>
      <xdr:row>5</xdr:row>
      <xdr:rowOff>168088</xdr:rowOff>
    </xdr:to>
    <xdr:sp macro="" textlink="pivot_table!$L$23">
      <xdr:nvSpPr>
        <xdr:cNvPr id="28" name="TextBox 27">
          <a:extLst>
            <a:ext uri="{FF2B5EF4-FFF2-40B4-BE49-F238E27FC236}">
              <a16:creationId xmlns:a16="http://schemas.microsoft.com/office/drawing/2014/main" id="{4B97A81B-DBB6-47AD-9A00-84C6B4D68035}"/>
            </a:ext>
          </a:extLst>
        </xdr:cNvPr>
        <xdr:cNvSpPr txBox="1"/>
      </xdr:nvSpPr>
      <xdr:spPr>
        <a:xfrm>
          <a:off x="12460941" y="683559"/>
          <a:ext cx="1989203" cy="4370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F522FC-F7E5-4565-8954-F0755EF48165}" type="TxLink">
            <a:rPr lang="en-US" sz="1800" b="0" i="0" u="none" strike="noStrike">
              <a:solidFill>
                <a:srgbClr val="000000"/>
              </a:solidFill>
              <a:latin typeface="Calibri"/>
              <a:ea typeface="Calibri"/>
              <a:cs typeface="Calibri"/>
            </a:rPr>
            <a:t>6438.058083</a:t>
          </a:fld>
          <a:endParaRPr lang="en-IN" sz="5400"/>
        </a:p>
      </xdr:txBody>
    </xdr:sp>
    <xdr:clientData/>
  </xdr:twoCellAnchor>
  <xdr:twoCellAnchor editAs="oneCell">
    <xdr:from>
      <xdr:col>24</xdr:col>
      <xdr:colOff>561875</xdr:colOff>
      <xdr:row>6</xdr:row>
      <xdr:rowOff>176894</xdr:rowOff>
    </xdr:from>
    <xdr:to>
      <xdr:col>27</xdr:col>
      <xdr:colOff>553710</xdr:colOff>
      <xdr:row>21</xdr:row>
      <xdr:rowOff>95250</xdr:rowOff>
    </xdr:to>
    <mc:AlternateContent xmlns:mc="http://schemas.openxmlformats.org/markup-compatibility/2006">
      <mc:Choice xmlns:a14="http://schemas.microsoft.com/office/drawing/2010/main" Requires="a14">
        <xdr:graphicFrame macro="">
          <xdr:nvGraphicFramePr>
            <xdr:cNvPr id="29" name="Months">
              <a:extLst>
                <a:ext uri="{FF2B5EF4-FFF2-40B4-BE49-F238E27FC236}">
                  <a16:creationId xmlns:a16="http://schemas.microsoft.com/office/drawing/2014/main" id="{AD36F5E1-FFBB-4A26-A34B-8167FE048035}"/>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15257589" y="1319894"/>
              <a:ext cx="1828800" cy="27758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550386</xdr:colOff>
      <xdr:row>0</xdr:row>
      <xdr:rowOff>81644</xdr:rowOff>
    </xdr:from>
    <xdr:to>
      <xdr:col>27</xdr:col>
      <xdr:colOff>549421</xdr:colOff>
      <xdr:row>6</xdr:row>
      <xdr:rowOff>149680</xdr:rowOff>
    </xdr:to>
    <mc:AlternateContent xmlns:mc="http://schemas.openxmlformats.org/markup-compatibility/2006">
      <mc:Choice xmlns:a14="http://schemas.microsoft.com/office/drawing/2010/main" Requires="a14">
        <xdr:graphicFrame macro="">
          <xdr:nvGraphicFramePr>
            <xdr:cNvPr id="30" name="year">
              <a:extLst>
                <a:ext uri="{FF2B5EF4-FFF2-40B4-BE49-F238E27FC236}">
                  <a16:creationId xmlns:a16="http://schemas.microsoft.com/office/drawing/2014/main" id="{F46522C3-850A-4AE1-9EA5-C9F2CC42B04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5246100" y="81644"/>
              <a:ext cx="1836000" cy="1211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536778</xdr:colOff>
      <xdr:row>26</xdr:row>
      <xdr:rowOff>122466</xdr:rowOff>
    </xdr:from>
    <xdr:to>
      <xdr:col>27</xdr:col>
      <xdr:colOff>528613</xdr:colOff>
      <xdr:row>35</xdr:row>
      <xdr:rowOff>149680</xdr:rowOff>
    </xdr:to>
    <mc:AlternateContent xmlns:mc="http://schemas.openxmlformats.org/markup-compatibility/2006">
      <mc:Choice xmlns:a14="http://schemas.microsoft.com/office/drawing/2010/main" Requires="a14">
        <xdr:graphicFrame macro="">
          <xdr:nvGraphicFramePr>
            <xdr:cNvPr id="31" name="Region">
              <a:extLst>
                <a:ext uri="{FF2B5EF4-FFF2-40B4-BE49-F238E27FC236}">
                  <a16:creationId xmlns:a16="http://schemas.microsoft.com/office/drawing/2014/main" id="{DDF08112-FEEC-432A-BFDF-EDA5449448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232492" y="5075466"/>
              <a:ext cx="1828800" cy="1741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540181</xdr:colOff>
      <xdr:row>36</xdr:row>
      <xdr:rowOff>13608</xdr:rowOff>
    </xdr:from>
    <xdr:to>
      <xdr:col>27</xdr:col>
      <xdr:colOff>532016</xdr:colOff>
      <xdr:row>43</xdr:row>
      <xdr:rowOff>176894</xdr:rowOff>
    </xdr:to>
    <mc:AlternateContent xmlns:mc="http://schemas.openxmlformats.org/markup-compatibility/2006">
      <mc:Choice xmlns:a14="http://schemas.microsoft.com/office/drawing/2010/main" Requires="a14">
        <xdr:graphicFrame macro="">
          <xdr:nvGraphicFramePr>
            <xdr:cNvPr id="32" name="Status">
              <a:extLst>
                <a:ext uri="{FF2B5EF4-FFF2-40B4-BE49-F238E27FC236}">
                  <a16:creationId xmlns:a16="http://schemas.microsoft.com/office/drawing/2014/main" id="{C32D8462-FEAA-41C4-97AA-D2C5C8687AF7}"/>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5235895" y="6871608"/>
              <a:ext cx="1828800" cy="1496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550386</xdr:colOff>
      <xdr:row>44</xdr:row>
      <xdr:rowOff>54429</xdr:rowOff>
    </xdr:from>
    <xdr:to>
      <xdr:col>27</xdr:col>
      <xdr:colOff>542221</xdr:colOff>
      <xdr:row>51</xdr:row>
      <xdr:rowOff>1</xdr:rowOff>
    </xdr:to>
    <mc:AlternateContent xmlns:mc="http://schemas.openxmlformats.org/markup-compatibility/2006">
      <mc:Choice xmlns:a14="http://schemas.microsoft.com/office/drawing/2010/main" Requires="a14">
        <xdr:graphicFrame macro="">
          <xdr:nvGraphicFramePr>
            <xdr:cNvPr id="33" name="Ship Mode">
              <a:extLst>
                <a:ext uri="{FF2B5EF4-FFF2-40B4-BE49-F238E27FC236}">
                  <a16:creationId xmlns:a16="http://schemas.microsoft.com/office/drawing/2014/main" id="{4A0E043A-BD44-489A-886E-2CCDEACD0E64}"/>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5246100" y="8436429"/>
              <a:ext cx="1828800" cy="1279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547897</xdr:colOff>
      <xdr:row>21</xdr:row>
      <xdr:rowOff>123712</xdr:rowOff>
    </xdr:from>
    <xdr:to>
      <xdr:col>27</xdr:col>
      <xdr:colOff>539732</xdr:colOff>
      <xdr:row>26</xdr:row>
      <xdr:rowOff>82890</xdr:rowOff>
    </xdr:to>
    <mc:AlternateContent xmlns:mc="http://schemas.openxmlformats.org/markup-compatibility/2006">
      <mc:Choice xmlns:a14="http://schemas.microsoft.com/office/drawing/2010/main" Requires="a14">
        <xdr:graphicFrame macro="">
          <xdr:nvGraphicFramePr>
            <xdr:cNvPr id="34" name="Category">
              <a:extLst>
                <a:ext uri="{FF2B5EF4-FFF2-40B4-BE49-F238E27FC236}">
                  <a16:creationId xmlns:a16="http://schemas.microsoft.com/office/drawing/2014/main" id="{9D5FD59E-F7B0-4C77-B440-C956D8C2EBF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243611" y="4124212"/>
              <a:ext cx="1828800" cy="9116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309283</xdr:colOff>
      <xdr:row>3</xdr:row>
      <xdr:rowOff>118782</xdr:rowOff>
    </xdr:from>
    <xdr:to>
      <xdr:col>19</xdr:col>
      <xdr:colOff>483133</xdr:colOff>
      <xdr:row>5</xdr:row>
      <xdr:rowOff>174811</xdr:rowOff>
    </xdr:to>
    <xdr:sp macro="" textlink="pivot_table!$M$21">
      <xdr:nvSpPr>
        <xdr:cNvPr id="36" name="TextBox 35">
          <a:extLst>
            <a:ext uri="{FF2B5EF4-FFF2-40B4-BE49-F238E27FC236}">
              <a16:creationId xmlns:a16="http://schemas.microsoft.com/office/drawing/2014/main" id="{12E7511A-B3CB-4A5D-8549-B5E7C74C563E}"/>
            </a:ext>
          </a:extLst>
        </xdr:cNvPr>
        <xdr:cNvSpPr txBox="1"/>
      </xdr:nvSpPr>
      <xdr:spPr>
        <a:xfrm>
          <a:off x="9991165" y="690282"/>
          <a:ext cx="1989203" cy="4370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CDF5D6-90A3-4847-AA40-C1C9A9781CC2}" type="TxLink">
            <a:rPr lang="en-US" sz="1800" b="0" i="0" u="none" strike="noStrike">
              <a:solidFill>
                <a:srgbClr val="000000"/>
              </a:solidFill>
              <a:latin typeface="Calibri"/>
              <a:ea typeface="Calibri"/>
              <a:cs typeface="Calibri"/>
            </a:rPr>
            <a:t>7725669.7</a:t>
          </a:fld>
          <a:endParaRPr lang="en-IN" sz="8000"/>
        </a:p>
      </xdr:txBody>
    </xdr:sp>
    <xdr:clientData/>
  </xdr:twoCellAnchor>
  <xdr:twoCellAnchor>
    <xdr:from>
      <xdr:col>16</xdr:col>
      <xdr:colOff>298078</xdr:colOff>
      <xdr:row>0</xdr:row>
      <xdr:rowOff>185189</xdr:rowOff>
    </xdr:from>
    <xdr:to>
      <xdr:col>19</xdr:col>
      <xdr:colOff>494295</xdr:colOff>
      <xdr:row>3</xdr:row>
      <xdr:rowOff>6723</xdr:rowOff>
    </xdr:to>
    <xdr:sp macro="" textlink="">
      <xdr:nvSpPr>
        <xdr:cNvPr id="37" name="TextBox 36">
          <a:extLst>
            <a:ext uri="{FF2B5EF4-FFF2-40B4-BE49-F238E27FC236}">
              <a16:creationId xmlns:a16="http://schemas.microsoft.com/office/drawing/2014/main" id="{34405D96-7EF2-452C-ACBA-E62161FECD70}"/>
            </a:ext>
          </a:extLst>
        </xdr:cNvPr>
        <xdr:cNvSpPr txBox="1"/>
      </xdr:nvSpPr>
      <xdr:spPr>
        <a:xfrm>
          <a:off x="9979960" y="185189"/>
          <a:ext cx="2011570" cy="3930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TOTAL</a:t>
          </a:r>
          <a:r>
            <a:rPr lang="en-IN" sz="1800" b="1" baseline="0"/>
            <a:t> SALES</a:t>
          </a:r>
          <a:endParaRPr lang="en-IN" sz="1800" b="1"/>
        </a:p>
      </xdr:txBody>
    </xdr:sp>
    <xdr:clientData/>
  </xdr:twoCellAnchor>
  <xdr:twoCellAnchor>
    <xdr:from>
      <xdr:col>12</xdr:col>
      <xdr:colOff>398929</xdr:colOff>
      <xdr:row>3</xdr:row>
      <xdr:rowOff>118783</xdr:rowOff>
    </xdr:from>
    <xdr:to>
      <xdr:col>15</xdr:col>
      <xdr:colOff>572779</xdr:colOff>
      <xdr:row>5</xdr:row>
      <xdr:rowOff>174812</xdr:rowOff>
    </xdr:to>
    <xdr:sp macro="" textlink="pivot_table!$L$21">
      <xdr:nvSpPr>
        <xdr:cNvPr id="38" name="TextBox 37">
          <a:extLst>
            <a:ext uri="{FF2B5EF4-FFF2-40B4-BE49-F238E27FC236}">
              <a16:creationId xmlns:a16="http://schemas.microsoft.com/office/drawing/2014/main" id="{51829392-C4B4-4E1F-A0FF-53EF26BC78C0}"/>
            </a:ext>
          </a:extLst>
        </xdr:cNvPr>
        <xdr:cNvSpPr txBox="1"/>
      </xdr:nvSpPr>
      <xdr:spPr>
        <a:xfrm>
          <a:off x="7660341" y="690283"/>
          <a:ext cx="1989203" cy="4370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4F0135-B99F-479B-97CD-FEAC3003BCFA}" type="TxLink">
            <a:rPr lang="en-US" sz="1800" b="0" i="0" u="none" strike="noStrike">
              <a:solidFill>
                <a:srgbClr val="000000"/>
              </a:solidFill>
              <a:latin typeface="Calibri"/>
              <a:ea typeface="Calibri"/>
              <a:cs typeface="Calibri"/>
            </a:rPr>
            <a:t>2718029.7</a:t>
          </a:fld>
          <a:endParaRPr lang="en-IN" sz="8000"/>
        </a:p>
      </xdr:txBody>
    </xdr:sp>
    <xdr:clientData/>
  </xdr:twoCellAnchor>
  <xdr:twoCellAnchor>
    <xdr:from>
      <xdr:col>12</xdr:col>
      <xdr:colOff>394448</xdr:colOff>
      <xdr:row>1</xdr:row>
      <xdr:rowOff>23824</xdr:rowOff>
    </xdr:from>
    <xdr:to>
      <xdr:col>15</xdr:col>
      <xdr:colOff>590665</xdr:colOff>
      <xdr:row>3</xdr:row>
      <xdr:rowOff>35858</xdr:rowOff>
    </xdr:to>
    <xdr:sp macro="" textlink="">
      <xdr:nvSpPr>
        <xdr:cNvPr id="39" name="TextBox 38">
          <a:extLst>
            <a:ext uri="{FF2B5EF4-FFF2-40B4-BE49-F238E27FC236}">
              <a16:creationId xmlns:a16="http://schemas.microsoft.com/office/drawing/2014/main" id="{6C6EC411-1BC4-4012-8459-F3EB288DC40D}"/>
            </a:ext>
          </a:extLst>
        </xdr:cNvPr>
        <xdr:cNvSpPr txBox="1"/>
      </xdr:nvSpPr>
      <xdr:spPr>
        <a:xfrm>
          <a:off x="7655860" y="214324"/>
          <a:ext cx="2011570" cy="3930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baseline="0"/>
            <a:t>TOTAL PROFIT</a:t>
          </a:r>
          <a:endParaRPr lang="en-IN" sz="1800" b="1"/>
        </a:p>
      </xdr:txBody>
    </xdr:sp>
    <xdr:clientData/>
  </xdr:twoCellAnchor>
  <xdr:twoCellAnchor>
    <xdr:from>
      <xdr:col>8</xdr:col>
      <xdr:colOff>502025</xdr:colOff>
      <xdr:row>1</xdr:row>
      <xdr:rowOff>41753</xdr:rowOff>
    </xdr:from>
    <xdr:to>
      <xdr:col>12</xdr:col>
      <xdr:colOff>93124</xdr:colOff>
      <xdr:row>3</xdr:row>
      <xdr:rowOff>53787</xdr:rowOff>
    </xdr:to>
    <xdr:sp macro="" textlink="">
      <xdr:nvSpPr>
        <xdr:cNvPr id="40" name="TextBox 39">
          <a:extLst>
            <a:ext uri="{FF2B5EF4-FFF2-40B4-BE49-F238E27FC236}">
              <a16:creationId xmlns:a16="http://schemas.microsoft.com/office/drawing/2014/main" id="{5543A01D-2CEF-4DFD-B3CA-BF1969C5E327}"/>
            </a:ext>
          </a:extLst>
        </xdr:cNvPr>
        <xdr:cNvSpPr txBox="1"/>
      </xdr:nvSpPr>
      <xdr:spPr>
        <a:xfrm>
          <a:off x="5342966" y="232253"/>
          <a:ext cx="2011570" cy="3930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baseline="0"/>
            <a:t>TOTAL ORDERS</a:t>
          </a:r>
          <a:endParaRPr lang="en-IN" sz="1800" b="1"/>
        </a:p>
      </xdr:txBody>
    </xdr:sp>
    <xdr:clientData/>
  </xdr:twoCellAnchor>
  <xdr:twoCellAnchor>
    <xdr:from>
      <xdr:col>8</xdr:col>
      <xdr:colOff>506505</xdr:colOff>
      <xdr:row>3</xdr:row>
      <xdr:rowOff>114301</xdr:rowOff>
    </xdr:from>
    <xdr:to>
      <xdr:col>12</xdr:col>
      <xdr:colOff>75237</xdr:colOff>
      <xdr:row>5</xdr:row>
      <xdr:rowOff>170330</xdr:rowOff>
    </xdr:to>
    <xdr:sp macro="" textlink="pivot_table!$G$8">
      <xdr:nvSpPr>
        <xdr:cNvPr id="41" name="TextBox 40">
          <a:extLst>
            <a:ext uri="{FF2B5EF4-FFF2-40B4-BE49-F238E27FC236}">
              <a16:creationId xmlns:a16="http://schemas.microsoft.com/office/drawing/2014/main" id="{304D0E27-5BCF-4AE5-AF44-AB4326E49966}"/>
            </a:ext>
          </a:extLst>
        </xdr:cNvPr>
        <xdr:cNvSpPr txBox="1"/>
      </xdr:nvSpPr>
      <xdr:spPr>
        <a:xfrm>
          <a:off x="5347446" y="685801"/>
          <a:ext cx="1989203" cy="4370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D6F842-6F9B-4998-9A83-426BFB05639D}" type="TxLink">
            <a:rPr lang="en-US" sz="1800" b="0" i="0" u="none" strike="noStrike">
              <a:solidFill>
                <a:srgbClr val="000000"/>
              </a:solidFill>
              <a:latin typeface="Calibri"/>
              <a:ea typeface="Calibri"/>
              <a:cs typeface="Calibri"/>
            </a:rPr>
            <a:t>1200</a:t>
          </a:fld>
          <a:endParaRPr lang="en-IN" sz="80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33" refreshedDate="46321.641817013886" createdVersion="8" refreshedVersion="8" minRefreshableVersion="3" recordCount="1200" xr:uid="{9AD0753C-2A11-4C79-807F-0C30E3917476}">
  <cacheSource type="worksheet">
    <worksheetSource name="Table1"/>
  </cacheSource>
  <cacheFields count="23">
    <cacheField name="Order ID" numFmtId="0">
      <sharedItems count="1200">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 v="ORD00451"/>
        <s v="ORD00452"/>
        <s v="ORD00453"/>
        <s v="ORD00454"/>
        <s v="ORD00455"/>
        <s v="ORD00456"/>
        <s v="ORD00457"/>
        <s v="ORD00458"/>
        <s v="ORD00459"/>
        <s v="ORD00460"/>
        <s v="ORD00461"/>
        <s v="ORD00462"/>
        <s v="ORD00463"/>
        <s v="ORD00464"/>
        <s v="ORD00465"/>
        <s v="ORD00466"/>
        <s v="ORD00467"/>
        <s v="ORD00468"/>
        <s v="ORD00469"/>
        <s v="ORD00470"/>
        <s v="ORD00471"/>
        <s v="ORD00472"/>
        <s v="ORD00473"/>
        <s v="ORD00474"/>
        <s v="ORD00475"/>
        <s v="ORD00476"/>
        <s v="ORD00477"/>
        <s v="ORD00478"/>
        <s v="ORD00479"/>
        <s v="ORD00480"/>
        <s v="ORD00481"/>
        <s v="ORD00482"/>
        <s v="ORD00483"/>
        <s v="ORD00484"/>
        <s v="ORD00485"/>
        <s v="ORD00486"/>
        <s v="ORD00487"/>
        <s v="ORD00488"/>
        <s v="ORD00489"/>
        <s v="ORD00490"/>
        <s v="ORD00491"/>
        <s v="ORD00492"/>
        <s v="ORD00493"/>
        <s v="ORD00494"/>
        <s v="ORD00495"/>
        <s v="ORD00496"/>
        <s v="ORD00497"/>
        <s v="ORD00498"/>
        <s v="ORD00499"/>
        <s v="ORD00500"/>
        <s v="ORD00501"/>
        <s v="ORD00502"/>
        <s v="ORD00503"/>
        <s v="ORD00504"/>
        <s v="ORD00505"/>
        <s v="ORD00506"/>
        <s v="ORD00507"/>
        <s v="ORD00508"/>
        <s v="ORD00509"/>
        <s v="ORD00510"/>
        <s v="ORD00511"/>
        <s v="ORD00512"/>
        <s v="ORD00513"/>
        <s v="ORD00514"/>
        <s v="ORD00515"/>
        <s v="ORD00516"/>
        <s v="ORD00517"/>
        <s v="ORD00518"/>
        <s v="ORD00519"/>
        <s v="ORD00520"/>
        <s v="ORD00521"/>
        <s v="ORD00522"/>
        <s v="ORD00523"/>
        <s v="ORD00524"/>
        <s v="ORD00525"/>
        <s v="ORD00526"/>
        <s v="ORD00527"/>
        <s v="ORD00528"/>
        <s v="ORD00529"/>
        <s v="ORD00530"/>
        <s v="ORD00531"/>
        <s v="ORD00532"/>
        <s v="ORD00533"/>
        <s v="ORD00534"/>
        <s v="ORD00535"/>
        <s v="ORD00536"/>
        <s v="ORD00537"/>
        <s v="ORD00538"/>
        <s v="ORD00539"/>
        <s v="ORD00540"/>
        <s v="ORD00541"/>
        <s v="ORD00542"/>
        <s v="ORD00543"/>
        <s v="ORD00544"/>
        <s v="ORD00545"/>
        <s v="ORD00546"/>
        <s v="ORD00547"/>
        <s v="ORD00548"/>
        <s v="ORD00549"/>
        <s v="ORD00550"/>
        <s v="ORD00551"/>
        <s v="ORD00552"/>
        <s v="ORD00553"/>
        <s v="ORD00554"/>
        <s v="ORD00555"/>
        <s v="ORD00556"/>
        <s v="ORD00557"/>
        <s v="ORD00558"/>
        <s v="ORD00559"/>
        <s v="ORD00560"/>
        <s v="ORD00561"/>
        <s v="ORD00562"/>
        <s v="ORD00563"/>
        <s v="ORD00564"/>
        <s v="ORD00565"/>
        <s v="ORD00566"/>
        <s v="ORD00567"/>
        <s v="ORD00568"/>
        <s v="ORD00569"/>
        <s v="ORD00570"/>
        <s v="ORD00571"/>
        <s v="ORD00572"/>
        <s v="ORD00573"/>
        <s v="ORD00574"/>
        <s v="ORD00575"/>
        <s v="ORD00576"/>
        <s v="ORD00577"/>
        <s v="ORD00578"/>
        <s v="ORD00579"/>
        <s v="ORD00580"/>
        <s v="ORD00581"/>
        <s v="ORD00582"/>
        <s v="ORD00583"/>
        <s v="ORD00584"/>
        <s v="ORD00585"/>
        <s v="ORD00586"/>
        <s v="ORD00587"/>
        <s v="ORD00588"/>
        <s v="ORD00589"/>
        <s v="ORD00590"/>
        <s v="ORD00591"/>
        <s v="ORD00592"/>
        <s v="ORD00593"/>
        <s v="ORD00594"/>
        <s v="ORD00595"/>
        <s v="ORD00596"/>
        <s v="ORD00597"/>
        <s v="ORD00598"/>
        <s v="ORD00599"/>
        <s v="ORD00600"/>
        <s v="ORD00601"/>
        <s v="ORD00602"/>
        <s v="ORD00603"/>
        <s v="ORD00604"/>
        <s v="ORD00605"/>
        <s v="ORD00606"/>
        <s v="ORD00607"/>
        <s v="ORD00608"/>
        <s v="ORD00609"/>
        <s v="ORD00610"/>
        <s v="ORD00611"/>
        <s v="ORD00612"/>
        <s v="ORD00613"/>
        <s v="ORD00614"/>
        <s v="ORD00615"/>
        <s v="ORD00616"/>
        <s v="ORD00617"/>
        <s v="ORD00618"/>
        <s v="ORD00619"/>
        <s v="ORD00620"/>
        <s v="ORD00621"/>
        <s v="ORD00622"/>
        <s v="ORD00623"/>
        <s v="ORD00624"/>
        <s v="ORD00625"/>
        <s v="ORD00626"/>
        <s v="ORD00627"/>
        <s v="ORD00628"/>
        <s v="ORD00629"/>
        <s v="ORD00630"/>
        <s v="ORD00631"/>
        <s v="ORD00632"/>
        <s v="ORD00633"/>
        <s v="ORD00634"/>
        <s v="ORD00635"/>
        <s v="ORD00636"/>
        <s v="ORD00637"/>
        <s v="ORD00638"/>
        <s v="ORD00639"/>
        <s v="ORD00640"/>
        <s v="ORD00641"/>
        <s v="ORD00642"/>
        <s v="ORD00643"/>
        <s v="ORD00644"/>
        <s v="ORD00645"/>
        <s v="ORD00646"/>
        <s v="ORD00647"/>
        <s v="ORD00648"/>
        <s v="ORD00649"/>
        <s v="ORD00650"/>
        <s v="ORD00651"/>
        <s v="ORD00652"/>
        <s v="ORD00653"/>
        <s v="ORD00654"/>
        <s v="ORD00655"/>
        <s v="ORD00656"/>
        <s v="ORD00657"/>
        <s v="ORD00658"/>
        <s v="ORD00659"/>
        <s v="ORD00660"/>
        <s v="ORD00661"/>
        <s v="ORD00662"/>
        <s v="ORD00663"/>
        <s v="ORD00664"/>
        <s v="ORD00665"/>
        <s v="ORD00666"/>
        <s v="ORD00667"/>
        <s v="ORD00668"/>
        <s v="ORD00669"/>
        <s v="ORD00670"/>
        <s v="ORD00671"/>
        <s v="ORD00672"/>
        <s v="ORD00673"/>
        <s v="ORD00674"/>
        <s v="ORD00675"/>
        <s v="ORD00676"/>
        <s v="ORD00677"/>
        <s v="ORD00678"/>
        <s v="ORD00679"/>
        <s v="ORD00680"/>
        <s v="ORD00681"/>
        <s v="ORD00682"/>
        <s v="ORD00683"/>
        <s v="ORD00684"/>
        <s v="ORD00685"/>
        <s v="ORD00686"/>
        <s v="ORD00687"/>
        <s v="ORD00688"/>
        <s v="ORD00689"/>
        <s v="ORD00690"/>
        <s v="ORD00691"/>
        <s v="ORD00692"/>
        <s v="ORD00693"/>
        <s v="ORD00694"/>
        <s v="ORD00695"/>
        <s v="ORD00696"/>
        <s v="ORD00697"/>
        <s v="ORD00698"/>
        <s v="ORD00699"/>
        <s v="ORD00700"/>
        <s v="ORD00701"/>
        <s v="ORD00702"/>
        <s v="ORD00703"/>
        <s v="ORD00704"/>
        <s v="ORD00705"/>
        <s v="ORD00706"/>
        <s v="ORD00707"/>
        <s v="ORD00708"/>
        <s v="ORD00709"/>
        <s v="ORD00710"/>
        <s v="ORD00711"/>
        <s v="ORD00712"/>
        <s v="ORD00713"/>
        <s v="ORD00714"/>
        <s v="ORD00715"/>
        <s v="ORD00716"/>
        <s v="ORD00717"/>
        <s v="ORD00718"/>
        <s v="ORD00719"/>
        <s v="ORD00720"/>
        <s v="ORD00721"/>
        <s v="ORD00722"/>
        <s v="ORD00723"/>
        <s v="ORD00724"/>
        <s v="ORD00725"/>
        <s v="ORD00726"/>
        <s v="ORD00727"/>
        <s v="ORD00728"/>
        <s v="ORD00729"/>
        <s v="ORD00730"/>
        <s v="ORD00731"/>
        <s v="ORD00732"/>
        <s v="ORD00733"/>
        <s v="ORD00734"/>
        <s v="ORD00735"/>
        <s v="ORD00736"/>
        <s v="ORD00737"/>
        <s v="ORD00738"/>
        <s v="ORD00739"/>
        <s v="ORD00740"/>
        <s v="ORD00741"/>
        <s v="ORD00742"/>
        <s v="ORD00743"/>
        <s v="ORD00744"/>
        <s v="ORD00745"/>
        <s v="ORD00746"/>
        <s v="ORD00747"/>
        <s v="ORD00748"/>
        <s v="ORD00749"/>
        <s v="ORD00750"/>
        <s v="ORD00751"/>
        <s v="ORD00752"/>
        <s v="ORD00753"/>
        <s v="ORD00754"/>
        <s v="ORD00755"/>
        <s v="ORD00756"/>
        <s v="ORD00757"/>
        <s v="ORD00758"/>
        <s v="ORD00759"/>
        <s v="ORD00760"/>
        <s v="ORD00761"/>
        <s v="ORD00762"/>
        <s v="ORD00763"/>
        <s v="ORD00764"/>
        <s v="ORD00765"/>
        <s v="ORD00766"/>
        <s v="ORD00767"/>
        <s v="ORD00768"/>
        <s v="ORD00769"/>
        <s v="ORD00770"/>
        <s v="ORD00771"/>
        <s v="ORD00772"/>
        <s v="ORD00773"/>
        <s v="ORD00774"/>
        <s v="ORD00775"/>
        <s v="ORD00776"/>
        <s v="ORD00777"/>
        <s v="ORD00778"/>
        <s v="ORD00779"/>
        <s v="ORD00780"/>
        <s v="ORD00781"/>
        <s v="ORD00782"/>
        <s v="ORD00783"/>
        <s v="ORD00784"/>
        <s v="ORD00785"/>
        <s v="ORD00786"/>
        <s v="ORD00787"/>
        <s v="ORD00788"/>
        <s v="ORD00789"/>
        <s v="ORD00790"/>
        <s v="ORD00791"/>
        <s v="ORD00792"/>
        <s v="ORD00793"/>
        <s v="ORD00794"/>
        <s v="ORD00795"/>
        <s v="ORD00796"/>
        <s v="ORD00797"/>
        <s v="ORD00798"/>
        <s v="ORD00799"/>
        <s v="ORD00800"/>
        <s v="ORD00801"/>
        <s v="ORD00802"/>
        <s v="ORD00803"/>
        <s v="ORD00804"/>
        <s v="ORD00805"/>
        <s v="ORD00806"/>
        <s v="ORD00807"/>
        <s v="ORD00808"/>
        <s v="ORD00809"/>
        <s v="ORD00810"/>
        <s v="ORD00811"/>
        <s v="ORD00812"/>
        <s v="ORD00813"/>
        <s v="ORD00814"/>
        <s v="ORD00815"/>
        <s v="ORD00816"/>
        <s v="ORD00817"/>
        <s v="ORD00818"/>
        <s v="ORD00819"/>
        <s v="ORD00820"/>
        <s v="ORD00821"/>
        <s v="ORD00822"/>
        <s v="ORD00823"/>
        <s v="ORD00824"/>
        <s v="ORD00825"/>
        <s v="ORD00826"/>
        <s v="ORD00827"/>
        <s v="ORD00828"/>
        <s v="ORD00829"/>
        <s v="ORD00830"/>
        <s v="ORD00831"/>
        <s v="ORD00832"/>
        <s v="ORD00833"/>
        <s v="ORD00834"/>
        <s v="ORD00835"/>
        <s v="ORD00836"/>
        <s v="ORD00837"/>
        <s v="ORD00838"/>
        <s v="ORD00839"/>
        <s v="ORD00840"/>
        <s v="ORD00841"/>
        <s v="ORD00842"/>
        <s v="ORD00843"/>
        <s v="ORD00844"/>
        <s v="ORD00845"/>
        <s v="ORD00846"/>
        <s v="ORD00847"/>
        <s v="ORD00848"/>
        <s v="ORD00849"/>
        <s v="ORD00850"/>
        <s v="ORD00851"/>
        <s v="ORD00852"/>
        <s v="ORD00853"/>
        <s v="ORD00854"/>
        <s v="ORD00855"/>
        <s v="ORD00856"/>
        <s v="ORD00857"/>
        <s v="ORD00858"/>
        <s v="ORD00859"/>
        <s v="ORD00860"/>
        <s v="ORD00861"/>
        <s v="ORD00862"/>
        <s v="ORD00863"/>
        <s v="ORD00864"/>
        <s v="ORD00865"/>
        <s v="ORD00866"/>
        <s v="ORD00867"/>
        <s v="ORD00868"/>
        <s v="ORD00869"/>
        <s v="ORD00870"/>
        <s v="ORD00871"/>
        <s v="ORD00872"/>
        <s v="ORD00873"/>
        <s v="ORD00874"/>
        <s v="ORD00875"/>
        <s v="ORD00876"/>
        <s v="ORD00877"/>
        <s v="ORD00878"/>
        <s v="ORD00879"/>
        <s v="ORD00880"/>
        <s v="ORD00881"/>
        <s v="ORD00882"/>
        <s v="ORD00883"/>
        <s v="ORD00884"/>
        <s v="ORD00885"/>
        <s v="ORD00886"/>
        <s v="ORD00887"/>
        <s v="ORD00888"/>
        <s v="ORD00889"/>
        <s v="ORD00890"/>
        <s v="ORD00891"/>
        <s v="ORD00892"/>
        <s v="ORD00893"/>
        <s v="ORD00894"/>
        <s v="ORD00895"/>
        <s v="ORD00896"/>
        <s v="ORD00897"/>
        <s v="ORD00898"/>
        <s v="ORD00899"/>
        <s v="ORD00900"/>
        <s v="ORD00901"/>
        <s v="ORD00902"/>
        <s v="ORD00903"/>
        <s v="ORD00904"/>
        <s v="ORD00905"/>
        <s v="ORD00906"/>
        <s v="ORD00907"/>
        <s v="ORD00908"/>
        <s v="ORD00909"/>
        <s v="ORD00910"/>
        <s v="ORD00911"/>
        <s v="ORD00912"/>
        <s v="ORD00913"/>
        <s v="ORD00914"/>
        <s v="ORD00915"/>
        <s v="ORD00916"/>
        <s v="ORD00917"/>
        <s v="ORD00918"/>
        <s v="ORD00919"/>
        <s v="ORD00920"/>
        <s v="ORD00921"/>
        <s v="ORD00922"/>
        <s v="ORD00923"/>
        <s v="ORD00924"/>
        <s v="ORD00925"/>
        <s v="ORD00926"/>
        <s v="ORD00927"/>
        <s v="ORD00928"/>
        <s v="ORD00929"/>
        <s v="ORD00930"/>
        <s v="ORD00931"/>
        <s v="ORD00932"/>
        <s v="ORD00933"/>
        <s v="ORD00934"/>
        <s v="ORD00935"/>
        <s v="ORD00936"/>
        <s v="ORD00937"/>
        <s v="ORD00938"/>
        <s v="ORD00939"/>
        <s v="ORD00940"/>
        <s v="ORD00941"/>
        <s v="ORD00942"/>
        <s v="ORD00943"/>
        <s v="ORD00944"/>
        <s v="ORD00945"/>
        <s v="ORD00946"/>
        <s v="ORD00947"/>
        <s v="ORD00948"/>
        <s v="ORD00949"/>
        <s v="ORD00950"/>
        <s v="ORD00951"/>
        <s v="ORD00952"/>
        <s v="ORD00953"/>
        <s v="ORD00954"/>
        <s v="ORD00955"/>
        <s v="ORD00956"/>
        <s v="ORD00957"/>
        <s v="ORD00958"/>
        <s v="ORD00959"/>
        <s v="ORD00960"/>
        <s v="ORD00961"/>
        <s v="ORD00962"/>
        <s v="ORD00963"/>
        <s v="ORD00964"/>
        <s v="ORD00965"/>
        <s v="ORD00966"/>
        <s v="ORD00967"/>
        <s v="ORD00968"/>
        <s v="ORD00969"/>
        <s v="ORD00970"/>
        <s v="ORD00971"/>
        <s v="ORD00972"/>
        <s v="ORD00973"/>
        <s v="ORD00974"/>
        <s v="ORD00975"/>
        <s v="ORD00976"/>
        <s v="ORD00977"/>
        <s v="ORD00978"/>
        <s v="ORD00979"/>
        <s v="ORD00980"/>
        <s v="ORD00981"/>
        <s v="ORD00982"/>
        <s v="ORD00983"/>
        <s v="ORD00984"/>
        <s v="ORD00985"/>
        <s v="ORD00986"/>
        <s v="ORD00987"/>
        <s v="ORD00988"/>
        <s v="ORD00989"/>
        <s v="ORD00990"/>
        <s v="ORD00991"/>
        <s v="ORD00992"/>
        <s v="ORD00993"/>
        <s v="ORD00994"/>
        <s v="ORD00995"/>
        <s v="ORD00996"/>
        <s v="ORD00997"/>
        <s v="ORD00998"/>
        <s v="ORD00999"/>
        <s v="ORD01000"/>
        <s v="ORD01001"/>
        <s v="ORD01002"/>
        <s v="ORD01003"/>
        <s v="ORD01004"/>
        <s v="ORD01005"/>
        <s v="ORD01006"/>
        <s v="ORD01007"/>
        <s v="ORD01008"/>
        <s v="ORD01009"/>
        <s v="ORD01010"/>
        <s v="ORD01011"/>
        <s v="ORD01012"/>
        <s v="ORD01013"/>
        <s v="ORD01014"/>
        <s v="ORD01015"/>
        <s v="ORD01016"/>
        <s v="ORD01017"/>
        <s v="ORD01018"/>
        <s v="ORD01019"/>
        <s v="ORD01020"/>
        <s v="ORD01021"/>
        <s v="ORD01022"/>
        <s v="ORD01023"/>
        <s v="ORD01024"/>
        <s v="ORD01025"/>
        <s v="ORD01026"/>
        <s v="ORD01027"/>
        <s v="ORD01028"/>
        <s v="ORD01029"/>
        <s v="ORD01030"/>
        <s v="ORD01031"/>
        <s v="ORD01032"/>
        <s v="ORD01033"/>
        <s v="ORD01034"/>
        <s v="ORD01035"/>
        <s v="ORD01036"/>
        <s v="ORD01037"/>
        <s v="ORD01038"/>
        <s v="ORD01039"/>
        <s v="ORD01040"/>
        <s v="ORD01041"/>
        <s v="ORD01042"/>
        <s v="ORD01043"/>
        <s v="ORD01044"/>
        <s v="ORD01045"/>
        <s v="ORD01046"/>
        <s v="ORD01047"/>
        <s v="ORD01048"/>
        <s v="ORD01049"/>
        <s v="ORD01050"/>
        <s v="ORD01051"/>
        <s v="ORD01052"/>
        <s v="ORD01053"/>
        <s v="ORD01054"/>
        <s v="ORD01055"/>
        <s v="ORD01056"/>
        <s v="ORD01057"/>
        <s v="ORD01058"/>
        <s v="ORD01059"/>
        <s v="ORD01060"/>
        <s v="ORD01061"/>
        <s v="ORD01062"/>
        <s v="ORD01063"/>
        <s v="ORD01064"/>
        <s v="ORD01065"/>
        <s v="ORD01066"/>
        <s v="ORD01067"/>
        <s v="ORD01068"/>
        <s v="ORD01069"/>
        <s v="ORD01070"/>
        <s v="ORD01071"/>
        <s v="ORD01072"/>
        <s v="ORD01073"/>
        <s v="ORD01074"/>
        <s v="ORD01075"/>
        <s v="ORD01076"/>
        <s v="ORD01077"/>
        <s v="ORD01078"/>
        <s v="ORD01079"/>
        <s v="ORD01080"/>
        <s v="ORD01081"/>
        <s v="ORD01082"/>
        <s v="ORD01083"/>
        <s v="ORD01084"/>
        <s v="ORD01085"/>
        <s v="ORD01086"/>
        <s v="ORD01087"/>
        <s v="ORD01088"/>
        <s v="ORD01089"/>
        <s v="ORD01090"/>
        <s v="ORD01091"/>
        <s v="ORD01092"/>
        <s v="ORD01093"/>
        <s v="ORD01094"/>
        <s v="ORD01095"/>
        <s v="ORD01096"/>
        <s v="ORD01097"/>
        <s v="ORD01098"/>
        <s v="ORD01099"/>
        <s v="ORD01100"/>
        <s v="ORD01101"/>
        <s v="ORD01102"/>
        <s v="ORD01103"/>
        <s v="ORD01104"/>
        <s v="ORD01105"/>
        <s v="ORD01106"/>
        <s v="ORD01107"/>
        <s v="ORD01108"/>
        <s v="ORD01109"/>
        <s v="ORD01110"/>
        <s v="ORD01111"/>
        <s v="ORD01112"/>
        <s v="ORD01113"/>
        <s v="ORD01114"/>
        <s v="ORD01115"/>
        <s v="ORD01116"/>
        <s v="ORD01117"/>
        <s v="ORD01118"/>
        <s v="ORD01119"/>
        <s v="ORD01120"/>
        <s v="ORD01121"/>
        <s v="ORD01122"/>
        <s v="ORD01123"/>
        <s v="ORD01124"/>
        <s v="ORD01125"/>
        <s v="ORD01126"/>
        <s v="ORD01127"/>
        <s v="ORD01128"/>
        <s v="ORD01129"/>
        <s v="ORD01130"/>
        <s v="ORD01131"/>
        <s v="ORD01132"/>
        <s v="ORD01133"/>
        <s v="ORD01134"/>
        <s v="ORD01135"/>
        <s v="ORD01136"/>
        <s v="ORD01137"/>
        <s v="ORD01138"/>
        <s v="ORD01139"/>
        <s v="ORD01140"/>
        <s v="ORD01141"/>
        <s v="ORD01142"/>
        <s v="ORD01143"/>
        <s v="ORD01144"/>
        <s v="ORD01145"/>
        <s v="ORD01146"/>
        <s v="ORD01147"/>
        <s v="ORD01148"/>
        <s v="ORD01149"/>
        <s v="ORD01150"/>
        <s v="ORD01151"/>
        <s v="ORD01152"/>
        <s v="ORD01153"/>
        <s v="ORD01154"/>
        <s v="ORD01155"/>
        <s v="ORD01156"/>
        <s v="ORD01157"/>
        <s v="ORD01158"/>
        <s v="ORD01159"/>
        <s v="ORD01160"/>
        <s v="ORD01161"/>
        <s v="ORD01162"/>
        <s v="ORD01163"/>
        <s v="ORD01164"/>
        <s v="ORD01165"/>
        <s v="ORD01166"/>
        <s v="ORD01167"/>
        <s v="ORD01168"/>
        <s v="ORD01169"/>
        <s v="ORD01170"/>
        <s v="ORD01171"/>
        <s v="ORD01172"/>
        <s v="ORD01173"/>
        <s v="ORD01174"/>
        <s v="ORD01175"/>
        <s v="ORD01176"/>
        <s v="ORD01177"/>
        <s v="ORD01178"/>
        <s v="ORD01179"/>
        <s v="ORD01180"/>
        <s v="ORD01181"/>
        <s v="ORD01182"/>
        <s v="ORD01183"/>
        <s v="ORD01184"/>
        <s v="ORD01185"/>
        <s v="ORD01186"/>
        <s v="ORD01187"/>
        <s v="ORD01188"/>
        <s v="ORD01189"/>
        <s v="ORD01190"/>
        <s v="ORD01191"/>
        <s v="ORD01192"/>
        <s v="ORD01193"/>
        <s v="ORD01194"/>
        <s v="ORD01195"/>
        <s v="ORD01196"/>
        <s v="ORD01197"/>
        <s v="ORD01198"/>
        <s v="ORD01199"/>
        <s v="ORD01200"/>
      </sharedItems>
    </cacheField>
    <cacheField name="Order Date" numFmtId="164">
      <sharedItems containsSemiMixedTypes="0" containsNonDate="0" containsDate="1" containsString="0" minDate="2024-01-02T00:00:00" maxDate="2025-12-31T00:00:00"/>
    </cacheField>
    <cacheField name="Customer ID" numFmtId="0">
      <sharedItems/>
    </cacheField>
    <cacheField name="Month" numFmtId="0">
      <sharedItems count="12">
        <s v="January"/>
        <s v="February"/>
        <s v="March"/>
        <s v="April"/>
        <s v="May"/>
        <s v="June"/>
        <s v="July"/>
        <s v="August"/>
        <s v="September"/>
        <s v="October"/>
        <s v="November"/>
        <s v="December"/>
      </sharedItems>
    </cacheField>
    <cacheField name="Product ID" numFmtId="0">
      <sharedItems/>
    </cacheField>
    <cacheField name="Quantity" numFmtId="0">
      <sharedItems containsSemiMixedTypes="0" containsString="0" containsNumber="1" containsInteger="1" minValue="1" maxValue="20"/>
    </cacheField>
    <cacheField name="Discount" numFmtId="9">
      <sharedItems containsSemiMixedTypes="0" containsString="0" containsNumber="1" minValue="0" maxValue="0.2"/>
    </cacheField>
    <cacheField name="Ship Mode" numFmtId="0">
      <sharedItems count="3">
        <s v="Express"/>
        <s v="Same Day"/>
        <s v="Standard"/>
      </sharedItems>
    </cacheField>
    <cacheField name="Payment Mode" numFmtId="0">
      <sharedItems count="5">
        <s v="Cash on Delivery"/>
        <s v="Debit Card"/>
        <s v="Net Banking"/>
        <s v="UPI"/>
        <s v="Credit Card"/>
      </sharedItems>
    </cacheField>
    <cacheField name="Status" numFmtId="0">
      <sharedItems count="4">
        <s v="Delivered"/>
        <s v="Pending"/>
        <s v="Returned"/>
        <s v="Cancelled"/>
      </sharedItems>
    </cacheField>
    <cacheField name="unit_price" numFmtId="0">
      <sharedItems containsSemiMixedTypes="0" containsString="0" containsNumber="1" containsInteger="1" minValue="150" maxValue="6499"/>
    </cacheField>
    <cacheField name="cost_price" numFmtId="0">
      <sharedItems containsSemiMixedTypes="0" containsString="0" containsNumber="1" containsInteger="1" minValue="90" maxValue="4200"/>
    </cacheField>
    <cacheField name="net_sales" numFmtId="0">
      <sharedItems containsSemiMixedTypes="0" containsString="0" containsNumber="1" minValue="135" maxValue="98982"/>
    </cacheField>
    <cacheField name="total_cost" numFmtId="0">
      <sharedItems containsSemiMixedTypes="0" containsString="0" containsNumber="1" containsInteger="1" minValue="90" maxValue="70000"/>
    </cacheField>
    <cacheField name="profit" numFmtId="0">
      <sharedItems containsSemiMixedTypes="0" containsString="0" containsNumber="1" minValue="45" maxValue="28982" count="505">
        <n v="5136.2000000000007"/>
        <n v="1854.6000000000004"/>
        <n v="1245"/>
        <n v="1599"/>
        <n v="4495"/>
        <n v="500"/>
        <n v="2245"/>
        <n v="1500"/>
        <n v="84"/>
        <n v="104.05000000000001"/>
        <n v="958.40000000000009"/>
        <n v="1890"/>
        <n v="4347.2999999999993"/>
        <n v="2994"/>
        <n v="404.04999999999995"/>
        <n v="2876.2"/>
        <n v="2299"/>
        <n v="499"/>
        <n v="720.5"/>
        <n v="1190"/>
        <n v="1218.0999999999999"/>
        <n v="567"/>
        <n v="204"/>
        <n v="3852.1499999999996"/>
        <n v="1198"/>
        <n v="599"/>
        <n v="3595.25"/>
        <n v="4107.1499999999996"/>
        <n v="1139.1000000000004"/>
        <n v="416.20000000000005"/>
        <n v="136"/>
        <n v="7995"/>
        <n v="2396"/>
        <n v="600"/>
        <n v="9196"/>
        <n v="52.5"/>
        <n v="249"/>
        <n v="899"/>
        <n v="498"/>
        <n v="1198.1999999999998"/>
        <n v="4990"/>
        <n v="157.5"/>
        <n v="264"/>
        <n v="234"/>
        <n v="1617.6000000000004"/>
        <n v="1974.0500000000002"/>
        <n v="120"/>
        <n v="860"/>
        <n v="729.90000000000009"/>
        <n v="1584.8999999999996"/>
        <n v="1078.4000000000001"/>
        <n v="3417.2999999999993"/>
        <n v="640"/>
        <n v="6990"/>
        <n v="2037.6000000000004"/>
        <n v="152"/>
        <n v="998"/>
        <n v="799"/>
        <n v="898"/>
        <n v="3834.6000000000004"/>
        <n v="909.15000000000009"/>
        <n v="174.14999999999998"/>
        <n v="75"/>
        <n v="145"/>
        <n v="243.29999999999995"/>
        <n v="2124.3000000000002"/>
        <n v="3198"/>
        <n v="166.55"/>
        <n v="399"/>
        <n v="2694"/>
        <n v="2097"/>
        <n v="1736.1999999999998"/>
        <n v="718.2"/>
        <n v="476"/>
        <n v="1078.1999999999998"/>
        <n v="1398.1"/>
        <n v="267.29999999999995"/>
        <n v="539.04999999999995"/>
        <n v="312"/>
        <n v="4490"/>
        <n v="2490"/>
        <n v="13690.5"/>
        <n v="238"/>
        <n v="3495.25"/>
        <n v="1724.0500000000002"/>
        <n v="1497"/>
        <n v="6897"/>
        <n v="832.75"/>
        <n v="200"/>
        <n v="1120.25"/>
        <n v="1174.1499999999996"/>
        <n v="5997"/>
        <n v="19990"/>
        <n v="220"/>
        <n v="1798"/>
        <n v="525"/>
        <n v="76"/>
        <n v="1450"/>
        <n v="1996"/>
        <n v="996"/>
        <n v="224.05"/>
        <n v="360"/>
        <n v="2150"/>
        <n v="645"/>
        <n v="609.04999999999995"/>
        <n v="3207.2999999999993"/>
        <n v="3114.6000000000004"/>
        <n v="699"/>
        <n v="64"/>
        <n v="2095.75"/>
        <n v="5990"/>
        <n v="756"/>
        <n v="2696"/>
        <n v="2998"/>
        <n v="189"/>
        <n v="22990"/>
        <n v="9594"/>
        <n v="1618.1"/>
        <n v="1545.5"/>
        <n v="1598"/>
        <n v="104"/>
        <n v="1238.0999999999999"/>
        <n v="870"/>
        <n v="89"/>
        <n v="448.1"/>
        <n v="396.79999999999995"/>
        <n v="189.10000000000002"/>
        <n v="808.09999999999991"/>
        <n v="156"/>
        <n v="105"/>
        <n v="168"/>
        <n v="178.20000000000005"/>
        <n v="1494"/>
        <n v="699.05"/>
        <n v="999.30000000000018"/>
        <n v="88"/>
        <n v="1000"/>
        <n v="199.10000000000002"/>
        <n v="1398"/>
        <n v="1676.6"/>
        <n v="1438.1999999999998"/>
        <n v="3592"/>
        <n v="201"/>
        <n v="1476.3999999999996"/>
        <n v="135"/>
        <n v="264.14999999999998"/>
        <n v="2236.6000000000004"/>
        <n v="2874.6000000000004"/>
        <n v="4194"/>
        <n v="595"/>
        <n v="519.09999999999991"/>
        <n v="1797.3000000000002"/>
        <n v="449"/>
        <n v="1197"/>
        <n v="219.04999999999995"/>
        <n v="1118.3000000000002"/>
        <n v="378.20000000000005"/>
        <n v="2157.3000000000002"/>
        <n v="11495"/>
        <n v="486.59999999999991"/>
        <n v="1441"/>
        <n v="7190.5"/>
        <n v="333.1"/>
        <n v="5695.5"/>
        <n v="1250"/>
        <n v="4314.2999999999993"/>
        <n v="3196"/>
        <n v="5996"/>
        <n v="999.19999999999982"/>
        <n v="1369.0500000000002"/>
        <n v="1078.0999999999999"/>
        <n v="149.19999999999999"/>
        <n v="2738.1000000000004"/>
        <n v="5345.5"/>
        <n v="854.15000000000009"/>
        <n v="868.09999999999991"/>
        <n v="1557.3000000000002"/>
        <n v="309.10000000000002"/>
        <n v="2397"/>
        <n v="1257.4499999999998"/>
        <n v="380"/>
        <n v="5124.9000000000015"/>
        <n v="5922.1500000000015"/>
        <n v="479.20000000000005"/>
        <n v="696.59999999999991"/>
        <n v="2436.1999999999998"/>
        <n v="304"/>
        <n v="4598"/>
        <n v="6596.4000000000015"/>
        <n v="528.29999999999995"/>
        <n v="420"/>
        <n v="2595.5"/>
        <n v="5191"/>
        <n v="429.15000000000009"/>
        <n v="1996.6000000000004"/>
        <n v="357"/>
        <n v="330"/>
        <n v="4314.6000000000004"/>
        <n v="5991"/>
        <n v="3095.25"/>
        <n v="3995"/>
        <n v="312.14999999999998"/>
        <n v="1344.3000000000002"/>
        <n v="2495"/>
        <n v="2516.6000000000004"/>
        <n v="262.5"/>
        <n v="1800"/>
        <n v="419.15"/>
        <n v="2396.3999999999996"/>
        <n v="272"/>
        <n v="6420.25"/>
        <n v="468"/>
        <n v="290"/>
        <n v="499.15000000000009"/>
        <n v="520.25"/>
        <n v="176"/>
        <n v="8994"/>
        <n v="3416.6000000000004"/>
        <n v="14491"/>
        <n v="390"/>
        <n v="618.20000000000005"/>
        <n v="288.20000000000005"/>
        <n v="1062.1500000000001"/>
        <n v="945"/>
        <n v="2394"/>
        <n v="3448.1000000000004"/>
        <n v="4045.25"/>
        <n v="2097.1499999999996"/>
        <n v="2500"/>
        <n v="1857.1499999999996"/>
        <n v="780"/>
        <n v="628.29999999999995"/>
        <n v="2568.1000000000004"/>
        <n v="998.30000000000018"/>
        <n v="100"/>
        <n v="270"/>
        <n v="239.20000000000005"/>
        <n v="3594"/>
        <n v="430"/>
        <n v="718.40000000000009"/>
        <n v="1665.5"/>
        <n v="714"/>
        <n v="435"/>
        <n v="796.40000000000009"/>
        <n v="78"/>
        <n v="1134"/>
        <n v="4791"/>
        <n v="496"/>
        <n v="1216.5"/>
        <n v="576.40000000000009"/>
        <n v="2395.5"/>
        <n v="1798.3999999999996"/>
        <n v="15990"/>
        <n v="3141.5"/>
        <n v="4947.2999999999993"/>
        <n v="224"/>
        <n v="8694.5999999999985"/>
        <n v="958.19999999999982"/>
        <n v="300"/>
        <n v="719.09999999999991"/>
        <n v="4497"/>
        <n v="250"/>
        <n v="5391"/>
        <n v="1917.3000000000002"/>
        <n v="375"/>
        <n v="2898.2000000000007"/>
        <n v="5395.2000000000007"/>
        <n v="459.15000000000009"/>
        <n v="798"/>
        <n v="2138.1999999999998"/>
        <n v="318.29999999999995"/>
        <n v="2190.5"/>
        <n v="4340.5"/>
        <n v="13794"/>
        <n v="128"/>
        <n v="1795.5"/>
        <n v="5796.4000000000015"/>
        <n v="434.04999999999995"/>
        <n v="704"/>
        <n v="2796.2"/>
        <n v="1436.4"/>
        <n v="1134.5999999999999"/>
        <n v="1708.3000000000002"/>
        <n v="7704.2999999999993"/>
        <n v="4248.6000000000004"/>
        <n v="619.04999999999995"/>
        <n v="2832.3999999999996"/>
        <n v="11391"/>
        <n v="256"/>
        <n v="7191"/>
        <n v="2155.1999999999998"/>
        <n v="3948.1000000000004"/>
        <n v="89.100000000000023"/>
        <n v="252"/>
        <n v="708.09999999999991"/>
        <n v="315"/>
        <n v="1258.3000000000002"/>
        <n v="3169.7999999999993"/>
        <n v="6229.2000000000007"/>
        <n v="5591.5"/>
        <n v="1302.1500000000001"/>
        <n v="6845.25"/>
        <n v="16428.599999999999"/>
        <n v="438.40000000000009"/>
        <n v="17988"/>
        <n v="7245.5"/>
        <n v="378"/>
        <n v="719.05"/>
        <n v="608"/>
        <n v="900"/>
        <n v="534.59999999999991"/>
        <n v="7192"/>
        <n v="2268"/>
        <n v="13980"/>
        <n v="7182"/>
        <n v="629.15000000000009"/>
        <n v="4794"/>
        <n v="1449.1000000000004"/>
        <n v="666.2"/>
        <n v="178"/>
        <n v="2476.1999999999998"/>
        <n v="3236.2"/>
        <n v="6392"/>
        <n v="3835.2000000000007"/>
        <n v="5392"/>
        <n v="1617.3000000000002"/>
        <n v="1320.75"/>
        <n v="9980"/>
        <n v="1891"/>
        <n v="1194.5999999999999"/>
        <n v="1649.1000000000004"/>
        <n v="3495"/>
        <n v="1437.6"/>
        <n v="354.04999999999995"/>
        <n v="28982"/>
        <n v="954.90000000000009"/>
        <n v="3396"/>
        <n v="3990"/>
        <n v="1497.4499999999998"/>
        <n v="304.15000000000009"/>
        <n v="4854.2999999999993"/>
        <n v="210"/>
        <n v="7044.9000000000015"/>
        <n v="1827.1499999999996"/>
        <n v="838.3"/>
        <n v="539.09999999999991"/>
        <n v="1038.1999999999998"/>
        <n v="2697"/>
        <n v="3636.6000000000004"/>
        <n v="6396"/>
        <n v="2604.3000000000002"/>
        <n v="1278.1999999999998"/>
        <n v="3091"/>
        <n v="2796"/>
        <n v="2076.3999999999996"/>
        <n v="2995"/>
        <n v="1377.4499999999998"/>
        <n v="1314.3000000000002"/>
        <n v="2648.2999999999993"/>
        <n v="180"/>
        <n v="1916.3999999999996"/>
        <n v="608.25"/>
        <n v="2392"/>
        <n v="3591"/>
        <n v="876.80000000000018"/>
        <n v="479.09999999999991"/>
        <n v="3298.2000000000007"/>
        <n v="738.19999999999982"/>
        <n v="9894.5999999999985"/>
        <n v="1516.8000000000002"/>
        <n v="927.30000000000018"/>
        <n v="215"/>
        <n v="359.1"/>
        <n v="1796"/>
        <n v="355.20000000000005"/>
        <n v="1437.3000000000002"/>
        <n v="559.15000000000009"/>
        <n v="4591.5"/>
        <n v="60"/>
        <n v="1077.3000000000002"/>
        <n v="456"/>
        <n v="2695.5"/>
        <n v="8090.5"/>
        <n v="3654.2999999999993"/>
        <n v="2156.1999999999998"/>
        <n v="11844.300000000003"/>
        <n v="11994"/>
        <n v="4291.5"/>
        <n v="7896.2000000000007"/>
        <n v="7990"/>
        <n v="7996"/>
        <n v="1080"/>
        <n v="408"/>
        <n v="398.20000000000005"/>
        <n v="3596"/>
        <n v="7495"/>
        <n v="760"/>
        <n v="4556.4000000000015"/>
        <n v="119"/>
        <n v="2157.1499999999996"/>
        <n v="298.39999999999998"/>
        <n v="336"/>
        <n v="2295.75"/>
        <n v="2754.8999999999996"/>
        <n v="3691"/>
        <n v="150"/>
        <n v="1287.4499999999998"/>
        <n v="4040.5"/>
        <n v="52"/>
        <n v="2995.5"/>
        <n v="10691"/>
        <n v="267"/>
        <n v="440"/>
        <n v="1499"/>
        <n v="339.20000000000005"/>
        <n v="477.45000000000005"/>
        <n v="3234.3"/>
        <n v="10344.299999999999"/>
        <n v="599.09999999999991"/>
        <n v="3595.5"/>
        <n v="4276.3999999999996"/>
        <n v="2145.75"/>
        <n v="3045.25"/>
        <n v="240"/>
        <n v="1107.3000000000002"/>
        <n v="2427.1499999999996"/>
        <n v="1040.5"/>
        <n v="1278.3999999999996"/>
        <n v="3234.6000000000004"/>
        <n v="369.09999999999991"/>
        <n v="208.10000000000002"/>
        <n v="2278.2000000000007"/>
        <n v="68"/>
        <n v="370.75"/>
        <n v="1290"/>
        <n v="6896.2000000000007"/>
        <n v="5394"/>
        <n v="59.199999999999989"/>
        <n v="1520.75"/>
        <n v="876.19999999999982"/>
        <n v="45"/>
        <n v="4792"/>
        <n v="1999"/>
        <n v="864.59999999999991"/>
        <n v="3594.6000000000004"/>
        <n v="1617.15"/>
        <n v="17240.5"/>
        <n v="8992"/>
        <n v="5995.2000000000007"/>
        <n v="67"/>
        <n v="6190.5"/>
        <n v="219.20000000000005"/>
        <n v="1284.0500000000002"/>
        <n v="144.10000000000002"/>
        <n v="359.20000000000005"/>
        <n v="159.14999999999998"/>
        <n v="1075"/>
        <n v="400"/>
        <n v="112"/>
        <n v="896.2"/>
        <n v="1916.8000000000002"/>
        <n v="528"/>
        <n v="2348.2999999999993"/>
        <n v="534"/>
        <n v="27381"/>
        <n v="23988"/>
        <n v="1200"/>
        <n v="899.19999999999982"/>
        <n v="6291.5"/>
        <n v="945.5"/>
        <n v="438.09999999999991"/>
        <n v="2952.7999999999993"/>
        <n v="1256.5999999999999"/>
        <n v="260"/>
        <n v="1729.1999999999998"/>
        <n v="9091.5"/>
        <n v="540"/>
        <n v="9870.25"/>
        <n v="4848.6000000000004"/>
        <n v="624.29999999999995"/>
        <n v="6391"/>
        <n v="8081"/>
        <n v="3235.2000000000007"/>
        <n v="1216.6000000000004"/>
        <n v="1696"/>
        <n v="567.29999999999995"/>
        <n v="3673.2000000000007"/>
        <n v="2269.1999999999998"/>
        <n v="3782"/>
        <n v="1137.5999999999999"/>
        <n v="5988"/>
        <n v="2697.6000000000004"/>
        <n v="2000"/>
        <n v="800"/>
        <n v="9183"/>
        <n v="1995"/>
        <n v="10788"/>
        <n v="19740.5"/>
        <n v="499.65000000000009"/>
        <n v="5476.2000000000007"/>
        <n v="4429.2000000000007"/>
        <n v="1836.6000000000004"/>
        <n v="5592"/>
        <n v="23483"/>
        <n v="12829.199999999997"/>
      </sharedItems>
    </cacheField>
    <cacheField name="discount_amount" numFmtId="0">
      <sharedItems containsSemiMixedTypes="0" containsString="0" containsNumber="1" minValue="0" maxValue="16497"/>
    </cacheField>
    <cacheField name="Product Name" numFmtId="0">
      <sharedItems count="22">
        <s v="Bookshelf"/>
        <s v="Monitor Stand"/>
        <s v="USB Flash Drive 64GB"/>
        <s v="Filing Cabinet"/>
        <s v="Denim Jeans"/>
        <s v="A4 Paper Ream"/>
        <s v="Track Pants"/>
        <s v="Wireless Mouse"/>
        <s v="Notebook Pack of 5"/>
        <s v="Hoodie"/>
        <s v="Desk Organizer"/>
        <s v="Office Chair"/>
        <s v="Power Bank 10000mAh"/>
        <s v="Study Table"/>
        <s v="Webcam HD"/>
        <s v="Formal Shirt"/>
        <s v="Whiteboard Marker Set"/>
        <s v="Gel Pen Box"/>
        <s v="Cotton T-Shirt"/>
        <s v="Bluetooth Speaker"/>
        <s v="Stapler"/>
        <s v="Headphones"/>
      </sharedItems>
    </cacheField>
    <cacheField name="Category" numFmtId="0">
      <sharedItems count="4">
        <s v="Furniture"/>
        <s v="Electronics"/>
        <s v="Clothing"/>
        <s v="Office Supplies"/>
      </sharedItems>
    </cacheField>
    <cacheField name="State" numFmtId="0">
      <sharedItems count="14">
        <s v="Madhya Pradesh"/>
        <s v="Gujarat"/>
        <s v="Maharashtra"/>
        <s v="West Bengal"/>
        <s v="Telangana"/>
        <s v="Kerala"/>
        <s v="Rajasthan"/>
        <s v="Chandigarh"/>
        <s v="Delhi"/>
        <s v="Uttar Pradesh"/>
        <s v="Odisha"/>
        <s v="Tamil Nadu"/>
        <s v="Bihar"/>
        <s v="Karnataka"/>
      </sharedItems>
    </cacheField>
    <cacheField name="Region" numFmtId="0">
      <sharedItems count="5">
        <s v="Central"/>
        <s v="West"/>
        <s v="East"/>
        <s v="South"/>
        <s v="North"/>
      </sharedItems>
    </cacheField>
    <cacheField name="segment" numFmtId="0">
      <sharedItems count="3">
        <s v="Corporate"/>
        <s v="Consumer"/>
        <s v="Home Office"/>
      </sharedItems>
    </cacheField>
    <cacheField name="Months" numFmtId="0">
      <sharedItems count="12">
        <s v="Jan"/>
        <s v="Feb"/>
        <s v="Mar"/>
        <s v="Apr"/>
        <s v="May"/>
        <s v="Jun"/>
        <s v="Jul"/>
        <s v="Aug"/>
        <s v="Sep"/>
        <s v="Oct"/>
        <s v="Nov"/>
        <s v="Dec"/>
      </sharedItems>
    </cacheField>
    <cacheField name="year" numFmtId="0">
      <sharedItems count="2">
        <s v="2024"/>
        <s v="2025"/>
      </sharedItems>
    </cacheField>
  </cacheFields>
  <extLst>
    <ext xmlns:x14="http://schemas.microsoft.com/office/spreadsheetml/2009/9/main" uri="{725AE2AE-9491-48be-B2B4-4EB974FC3084}">
      <x14:pivotCacheDefinition pivotCacheId="1300055170"/>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d v="2024-01-02T00:00:00"/>
    <s v="C0032"/>
    <x v="0"/>
    <s v="P009"/>
    <n v="4"/>
    <n v="0.05"/>
    <x v="0"/>
    <x v="0"/>
    <x v="0"/>
    <n v="4299"/>
    <n v="2800"/>
    <n v="16336.2"/>
    <n v="11200"/>
    <x v="0"/>
    <n v="859.80000000000007"/>
    <x v="0"/>
    <x v="0"/>
    <x v="0"/>
    <x v="0"/>
    <x v="0"/>
    <x v="0"/>
    <x v="0"/>
  </r>
  <r>
    <x v="1"/>
    <d v="2024-01-02T00:00:00"/>
    <s v="C0048"/>
    <x v="0"/>
    <s v="P011"/>
    <n v="6"/>
    <n v="0.1"/>
    <x v="1"/>
    <x v="1"/>
    <x v="0"/>
    <n v="899"/>
    <n v="500"/>
    <n v="4854.6000000000004"/>
    <n v="3000"/>
    <x v="1"/>
    <n v="539.4"/>
    <x v="1"/>
    <x v="0"/>
    <x v="1"/>
    <x v="1"/>
    <x v="1"/>
    <x v="0"/>
    <x v="0"/>
  </r>
  <r>
    <x v="2"/>
    <d v="2024-01-03T00:00:00"/>
    <s v="C0187"/>
    <x v="0"/>
    <s v="P003"/>
    <n v="5"/>
    <n v="0"/>
    <x v="2"/>
    <x v="2"/>
    <x v="0"/>
    <n v="599"/>
    <n v="350"/>
    <n v="2995"/>
    <n v="1750"/>
    <x v="2"/>
    <n v="0"/>
    <x v="2"/>
    <x v="1"/>
    <x v="2"/>
    <x v="1"/>
    <x v="1"/>
    <x v="0"/>
    <x v="0"/>
  </r>
  <r>
    <x v="3"/>
    <d v="2024-01-03T00:00:00"/>
    <s v="C0083"/>
    <x v="0"/>
    <s v="P010"/>
    <n v="1"/>
    <n v="0"/>
    <x v="0"/>
    <x v="0"/>
    <x v="0"/>
    <n v="4599"/>
    <n v="3000"/>
    <n v="4599"/>
    <n v="3000"/>
    <x v="3"/>
    <n v="0"/>
    <x v="3"/>
    <x v="0"/>
    <x v="3"/>
    <x v="2"/>
    <x v="1"/>
    <x v="0"/>
    <x v="0"/>
  </r>
  <r>
    <x v="4"/>
    <d v="2024-01-03T00:00:00"/>
    <s v="C0184"/>
    <x v="0"/>
    <s v="P020"/>
    <n v="5"/>
    <n v="0"/>
    <x v="0"/>
    <x v="3"/>
    <x v="0"/>
    <n v="1799"/>
    <n v="900"/>
    <n v="8995"/>
    <n v="4500"/>
    <x v="4"/>
    <n v="0"/>
    <x v="4"/>
    <x v="2"/>
    <x v="1"/>
    <x v="1"/>
    <x v="1"/>
    <x v="0"/>
    <x v="0"/>
  </r>
  <r>
    <x v="5"/>
    <d v="2024-01-06T00:00:00"/>
    <s v="C0158"/>
    <x v="0"/>
    <s v="P012"/>
    <n v="5"/>
    <n v="0"/>
    <x v="2"/>
    <x v="3"/>
    <x v="1"/>
    <n v="320"/>
    <n v="220"/>
    <n v="1600"/>
    <n v="1100"/>
    <x v="5"/>
    <n v="0"/>
    <x v="5"/>
    <x v="3"/>
    <x v="4"/>
    <x v="3"/>
    <x v="0"/>
    <x v="0"/>
    <x v="0"/>
  </r>
  <r>
    <x v="6"/>
    <d v="2024-01-07T00:00:00"/>
    <s v="C0164"/>
    <x v="0"/>
    <s v="P022"/>
    <n v="5"/>
    <n v="0"/>
    <x v="1"/>
    <x v="4"/>
    <x v="0"/>
    <n v="899"/>
    <n v="450"/>
    <n v="4495"/>
    <n v="2250"/>
    <x v="6"/>
    <n v="0"/>
    <x v="6"/>
    <x v="2"/>
    <x v="1"/>
    <x v="1"/>
    <x v="2"/>
    <x v="0"/>
    <x v="0"/>
  </r>
  <r>
    <x v="7"/>
    <d v="2024-01-08T00:00:00"/>
    <s v="C0037"/>
    <x v="0"/>
    <s v="P001"/>
    <n v="6"/>
    <n v="0"/>
    <x v="1"/>
    <x v="1"/>
    <x v="0"/>
    <n v="700"/>
    <n v="450"/>
    <n v="4200"/>
    <n v="2700"/>
    <x v="7"/>
    <n v="0"/>
    <x v="7"/>
    <x v="1"/>
    <x v="2"/>
    <x v="1"/>
    <x v="2"/>
    <x v="0"/>
    <x v="0"/>
  </r>
  <r>
    <x v="8"/>
    <d v="2024-01-08T00:00:00"/>
    <s v="C0099"/>
    <x v="0"/>
    <s v="P012"/>
    <n v="1"/>
    <n v="0.05"/>
    <x v="0"/>
    <x v="1"/>
    <x v="0"/>
    <n v="320"/>
    <n v="220"/>
    <n v="304"/>
    <n v="220"/>
    <x v="8"/>
    <n v="16"/>
    <x v="5"/>
    <x v="3"/>
    <x v="5"/>
    <x v="3"/>
    <x v="1"/>
    <x v="0"/>
    <x v="0"/>
  </r>
  <r>
    <x v="9"/>
    <d v="2024-01-09T00:00:00"/>
    <s v="C0196"/>
    <x v="0"/>
    <s v="P015"/>
    <n v="1"/>
    <n v="0.05"/>
    <x v="0"/>
    <x v="1"/>
    <x v="0"/>
    <n v="299"/>
    <n v="180"/>
    <n v="284.05"/>
    <n v="180"/>
    <x v="9"/>
    <n v="14.950000000000001"/>
    <x v="8"/>
    <x v="3"/>
    <x v="0"/>
    <x v="0"/>
    <x v="0"/>
    <x v="0"/>
    <x v="0"/>
  </r>
  <r>
    <x v="10"/>
    <d v="2024-01-10T00:00:00"/>
    <s v="C0072"/>
    <x v="0"/>
    <s v="P021"/>
    <n v="2"/>
    <n v="0.2"/>
    <x v="2"/>
    <x v="0"/>
    <x v="0"/>
    <n v="1599"/>
    <n v="800"/>
    <n v="2558.4"/>
    <n v="1600"/>
    <x v="10"/>
    <n v="639.6"/>
    <x v="9"/>
    <x v="2"/>
    <x v="2"/>
    <x v="1"/>
    <x v="1"/>
    <x v="0"/>
    <x v="0"/>
  </r>
  <r>
    <x v="11"/>
    <d v="2024-01-13T00:00:00"/>
    <s v="C0100"/>
    <x v="0"/>
    <s v="P017"/>
    <n v="10"/>
    <n v="0"/>
    <x v="1"/>
    <x v="0"/>
    <x v="0"/>
    <n v="449"/>
    <n v="260"/>
    <n v="4490"/>
    <n v="2600"/>
    <x v="11"/>
    <n v="0"/>
    <x v="10"/>
    <x v="3"/>
    <x v="6"/>
    <x v="4"/>
    <x v="0"/>
    <x v="0"/>
    <x v="0"/>
  </r>
  <r>
    <x v="12"/>
    <d v="2024-01-15T00:00:00"/>
    <s v="C0157"/>
    <x v="0"/>
    <s v="P007"/>
    <n v="3"/>
    <n v="0.1"/>
    <x v="2"/>
    <x v="3"/>
    <x v="1"/>
    <n v="5499"/>
    <n v="3500"/>
    <n v="14847.3"/>
    <n v="10500"/>
    <x v="12"/>
    <n v="1649.7"/>
    <x v="11"/>
    <x v="0"/>
    <x v="2"/>
    <x v="1"/>
    <x v="1"/>
    <x v="0"/>
    <x v="0"/>
  </r>
  <r>
    <x v="13"/>
    <d v="2024-01-15T00:00:00"/>
    <s v="C0019"/>
    <x v="0"/>
    <s v="P005"/>
    <n v="6"/>
    <n v="0"/>
    <x v="2"/>
    <x v="1"/>
    <x v="0"/>
    <n v="1299"/>
    <n v="800"/>
    <n v="7794"/>
    <n v="4800"/>
    <x v="13"/>
    <n v="0"/>
    <x v="12"/>
    <x v="1"/>
    <x v="0"/>
    <x v="0"/>
    <x v="1"/>
    <x v="0"/>
    <x v="0"/>
  </r>
  <r>
    <x v="14"/>
    <d v="2024-01-15T00:00:00"/>
    <s v="C0089"/>
    <x v="0"/>
    <s v="P022"/>
    <n v="1"/>
    <n v="0.05"/>
    <x v="0"/>
    <x v="4"/>
    <x v="0"/>
    <n v="899"/>
    <n v="450"/>
    <n v="854.05"/>
    <n v="450"/>
    <x v="14"/>
    <n v="44.95"/>
    <x v="6"/>
    <x v="2"/>
    <x v="7"/>
    <x v="4"/>
    <x v="1"/>
    <x v="0"/>
    <x v="0"/>
  </r>
  <r>
    <x v="15"/>
    <d v="2024-01-16T00:00:00"/>
    <s v="C0045"/>
    <x v="0"/>
    <s v="P021"/>
    <n v="4"/>
    <n v="0.05"/>
    <x v="2"/>
    <x v="4"/>
    <x v="0"/>
    <n v="1599"/>
    <n v="800"/>
    <n v="6076.2"/>
    <n v="3200"/>
    <x v="15"/>
    <n v="319.8"/>
    <x v="9"/>
    <x v="2"/>
    <x v="8"/>
    <x v="4"/>
    <x v="2"/>
    <x v="0"/>
    <x v="0"/>
  </r>
  <r>
    <x v="16"/>
    <d v="2024-01-16T00:00:00"/>
    <s v="C0127"/>
    <x v="0"/>
    <s v="P008"/>
    <n v="1"/>
    <n v="0"/>
    <x v="0"/>
    <x v="2"/>
    <x v="0"/>
    <n v="6499"/>
    <n v="4200"/>
    <n v="6499"/>
    <n v="4200"/>
    <x v="16"/>
    <n v="0"/>
    <x v="13"/>
    <x v="0"/>
    <x v="2"/>
    <x v="1"/>
    <x v="1"/>
    <x v="0"/>
    <x v="0"/>
  </r>
  <r>
    <x v="17"/>
    <d v="2024-01-17T00:00:00"/>
    <s v="C0157"/>
    <x v="0"/>
    <s v="P005"/>
    <n v="1"/>
    <n v="0"/>
    <x v="1"/>
    <x v="0"/>
    <x v="0"/>
    <n v="1299"/>
    <n v="800"/>
    <n v="1299"/>
    <n v="800"/>
    <x v="17"/>
    <n v="0"/>
    <x v="12"/>
    <x v="1"/>
    <x v="2"/>
    <x v="1"/>
    <x v="1"/>
    <x v="0"/>
    <x v="0"/>
  </r>
  <r>
    <x v="18"/>
    <d v="2024-01-17T00:00:00"/>
    <s v="C0106"/>
    <x v="0"/>
    <s v="P017"/>
    <n v="5"/>
    <n v="0.1"/>
    <x v="0"/>
    <x v="3"/>
    <x v="0"/>
    <n v="449"/>
    <n v="260"/>
    <n v="2020.5"/>
    <n v="1300"/>
    <x v="18"/>
    <n v="224.5"/>
    <x v="10"/>
    <x v="3"/>
    <x v="3"/>
    <x v="2"/>
    <x v="0"/>
    <x v="0"/>
    <x v="0"/>
  </r>
  <r>
    <x v="19"/>
    <d v="2024-01-17T00:00:00"/>
    <s v="C0120"/>
    <x v="0"/>
    <s v="P015"/>
    <n v="10"/>
    <n v="0"/>
    <x v="1"/>
    <x v="2"/>
    <x v="2"/>
    <n v="299"/>
    <n v="180"/>
    <n v="2990"/>
    <n v="1800"/>
    <x v="19"/>
    <n v="0"/>
    <x v="8"/>
    <x v="3"/>
    <x v="5"/>
    <x v="3"/>
    <x v="0"/>
    <x v="0"/>
    <x v="0"/>
  </r>
  <r>
    <x v="20"/>
    <d v="2024-01-19T00:00:00"/>
    <s v="C0197"/>
    <x v="0"/>
    <s v="P006"/>
    <n v="2"/>
    <n v="0.05"/>
    <x v="2"/>
    <x v="3"/>
    <x v="2"/>
    <n v="1799"/>
    <n v="1100"/>
    <n v="3418.1"/>
    <n v="2200"/>
    <x v="20"/>
    <n v="179.9"/>
    <x v="14"/>
    <x v="1"/>
    <x v="7"/>
    <x v="4"/>
    <x v="1"/>
    <x v="0"/>
    <x v="0"/>
  </r>
  <r>
    <x v="21"/>
    <d v="2024-01-20T00:00:00"/>
    <s v="C0040"/>
    <x v="0"/>
    <s v="P017"/>
    <n v="3"/>
    <n v="0"/>
    <x v="1"/>
    <x v="4"/>
    <x v="0"/>
    <n v="449"/>
    <n v="260"/>
    <n v="1347"/>
    <n v="780"/>
    <x v="21"/>
    <n v="0"/>
    <x v="10"/>
    <x v="3"/>
    <x v="9"/>
    <x v="4"/>
    <x v="1"/>
    <x v="0"/>
    <x v="0"/>
  </r>
  <r>
    <x v="22"/>
    <d v="2024-01-20T00:00:00"/>
    <s v="C0133"/>
    <x v="0"/>
    <s v="P012"/>
    <n v="3"/>
    <n v="0.1"/>
    <x v="1"/>
    <x v="2"/>
    <x v="0"/>
    <n v="320"/>
    <n v="220"/>
    <n v="864"/>
    <n v="660"/>
    <x v="22"/>
    <n v="96"/>
    <x v="5"/>
    <x v="3"/>
    <x v="8"/>
    <x v="4"/>
    <x v="1"/>
    <x v="0"/>
    <x v="0"/>
  </r>
  <r>
    <x v="23"/>
    <d v="2024-01-21T00:00:00"/>
    <s v="C0033"/>
    <x v="0"/>
    <s v="P009"/>
    <n v="3"/>
    <n v="0.05"/>
    <x v="1"/>
    <x v="4"/>
    <x v="0"/>
    <n v="4299"/>
    <n v="2800"/>
    <n v="12252.15"/>
    <n v="8400"/>
    <x v="23"/>
    <n v="644.85"/>
    <x v="0"/>
    <x v="0"/>
    <x v="1"/>
    <x v="1"/>
    <x v="1"/>
    <x v="0"/>
    <x v="0"/>
  </r>
  <r>
    <x v="24"/>
    <d v="2024-01-22T00:00:00"/>
    <s v="C0149"/>
    <x v="0"/>
    <s v="P019"/>
    <n v="2"/>
    <n v="0"/>
    <x v="1"/>
    <x v="1"/>
    <x v="0"/>
    <n v="1199"/>
    <n v="600"/>
    <n v="2398"/>
    <n v="1200"/>
    <x v="24"/>
    <n v="0"/>
    <x v="15"/>
    <x v="2"/>
    <x v="5"/>
    <x v="3"/>
    <x v="0"/>
    <x v="0"/>
    <x v="0"/>
  </r>
  <r>
    <x v="25"/>
    <d v="2024-01-22T00:00:00"/>
    <s v="C0011"/>
    <x v="0"/>
    <s v="P019"/>
    <n v="1"/>
    <n v="0"/>
    <x v="1"/>
    <x v="1"/>
    <x v="3"/>
    <n v="1199"/>
    <n v="600"/>
    <n v="1199"/>
    <n v="600"/>
    <x v="25"/>
    <n v="0"/>
    <x v="15"/>
    <x v="2"/>
    <x v="1"/>
    <x v="1"/>
    <x v="1"/>
    <x v="0"/>
    <x v="0"/>
  </r>
  <r>
    <x v="26"/>
    <d v="2024-01-22T00:00:00"/>
    <s v="C0054"/>
    <x v="0"/>
    <s v="P021"/>
    <n v="5"/>
    <n v="0.05"/>
    <x v="1"/>
    <x v="2"/>
    <x v="0"/>
    <n v="1599"/>
    <n v="800"/>
    <n v="7595.25"/>
    <n v="4000"/>
    <x v="26"/>
    <n v="399.75"/>
    <x v="9"/>
    <x v="2"/>
    <x v="10"/>
    <x v="2"/>
    <x v="1"/>
    <x v="0"/>
    <x v="0"/>
  </r>
  <r>
    <x v="27"/>
    <d v="2024-01-23T00:00:00"/>
    <s v="C0165"/>
    <x v="0"/>
    <s v="P010"/>
    <n v="3"/>
    <n v="0.05"/>
    <x v="1"/>
    <x v="0"/>
    <x v="0"/>
    <n v="4599"/>
    <n v="3000"/>
    <n v="13107.15"/>
    <n v="9000"/>
    <x v="27"/>
    <n v="689.85"/>
    <x v="3"/>
    <x v="0"/>
    <x v="11"/>
    <x v="3"/>
    <x v="1"/>
    <x v="0"/>
    <x v="0"/>
  </r>
  <r>
    <x v="28"/>
    <d v="2024-01-26T00:00:00"/>
    <s v="C0117"/>
    <x v="0"/>
    <s v="P010"/>
    <n v="1"/>
    <n v="0.1"/>
    <x v="0"/>
    <x v="0"/>
    <x v="0"/>
    <n v="4599"/>
    <n v="3000"/>
    <n v="4139.1000000000004"/>
    <n v="3000"/>
    <x v="28"/>
    <n v="459.90000000000003"/>
    <x v="3"/>
    <x v="0"/>
    <x v="8"/>
    <x v="4"/>
    <x v="1"/>
    <x v="0"/>
    <x v="0"/>
  </r>
  <r>
    <x v="29"/>
    <d v="2024-01-27T00:00:00"/>
    <s v="C0053"/>
    <x v="0"/>
    <s v="P015"/>
    <n v="4"/>
    <n v="0.05"/>
    <x v="1"/>
    <x v="1"/>
    <x v="0"/>
    <n v="299"/>
    <n v="180"/>
    <n v="1136.2"/>
    <n v="720"/>
    <x v="29"/>
    <n v="59.800000000000004"/>
    <x v="8"/>
    <x v="3"/>
    <x v="0"/>
    <x v="0"/>
    <x v="1"/>
    <x v="0"/>
    <x v="0"/>
  </r>
  <r>
    <x v="30"/>
    <d v="2024-01-27T00:00:00"/>
    <s v="C0103"/>
    <x v="0"/>
    <s v="P012"/>
    <n v="2"/>
    <n v="0.1"/>
    <x v="2"/>
    <x v="1"/>
    <x v="0"/>
    <n v="320"/>
    <n v="220"/>
    <n v="576"/>
    <n v="440"/>
    <x v="30"/>
    <n v="64"/>
    <x v="5"/>
    <x v="3"/>
    <x v="6"/>
    <x v="4"/>
    <x v="0"/>
    <x v="0"/>
    <x v="0"/>
  </r>
  <r>
    <x v="31"/>
    <d v="2024-01-27T00:00:00"/>
    <s v="C0120"/>
    <x v="0"/>
    <s v="P008"/>
    <n v="1"/>
    <n v="0"/>
    <x v="2"/>
    <x v="3"/>
    <x v="0"/>
    <n v="6499"/>
    <n v="4200"/>
    <n v="6499"/>
    <n v="4200"/>
    <x v="16"/>
    <n v="0"/>
    <x v="13"/>
    <x v="0"/>
    <x v="5"/>
    <x v="3"/>
    <x v="0"/>
    <x v="0"/>
    <x v="0"/>
  </r>
  <r>
    <x v="32"/>
    <d v="2024-01-28T00:00:00"/>
    <s v="C0099"/>
    <x v="0"/>
    <s v="P010"/>
    <n v="5"/>
    <n v="0"/>
    <x v="2"/>
    <x v="1"/>
    <x v="2"/>
    <n v="4599"/>
    <n v="3000"/>
    <n v="22995"/>
    <n v="15000"/>
    <x v="31"/>
    <n v="0"/>
    <x v="3"/>
    <x v="0"/>
    <x v="5"/>
    <x v="3"/>
    <x v="1"/>
    <x v="0"/>
    <x v="0"/>
  </r>
  <r>
    <x v="33"/>
    <d v="2024-01-29T00:00:00"/>
    <s v="C0185"/>
    <x v="0"/>
    <s v="P019"/>
    <n v="4"/>
    <n v="0"/>
    <x v="1"/>
    <x v="0"/>
    <x v="0"/>
    <n v="1199"/>
    <n v="600"/>
    <n v="4796"/>
    <n v="2400"/>
    <x v="32"/>
    <n v="0"/>
    <x v="15"/>
    <x v="2"/>
    <x v="3"/>
    <x v="2"/>
    <x v="0"/>
    <x v="0"/>
    <x v="0"/>
  </r>
  <r>
    <x v="34"/>
    <d v="2024-01-30T00:00:00"/>
    <s v="C0079"/>
    <x v="0"/>
    <s v="P016"/>
    <n v="6"/>
    <n v="0"/>
    <x v="1"/>
    <x v="0"/>
    <x v="3"/>
    <n v="240"/>
    <n v="140"/>
    <n v="1440"/>
    <n v="840"/>
    <x v="33"/>
    <n v="0"/>
    <x v="16"/>
    <x v="3"/>
    <x v="1"/>
    <x v="1"/>
    <x v="0"/>
    <x v="0"/>
    <x v="0"/>
  </r>
  <r>
    <x v="35"/>
    <d v="2024-01-30T00:00:00"/>
    <s v="C0056"/>
    <x v="0"/>
    <s v="P008"/>
    <n v="4"/>
    <n v="0"/>
    <x v="1"/>
    <x v="0"/>
    <x v="0"/>
    <n v="6499"/>
    <n v="4200"/>
    <n v="25996"/>
    <n v="16800"/>
    <x v="34"/>
    <n v="0"/>
    <x v="13"/>
    <x v="0"/>
    <x v="1"/>
    <x v="1"/>
    <x v="1"/>
    <x v="0"/>
    <x v="0"/>
  </r>
  <r>
    <x v="36"/>
    <d v="2024-01-30T00:00:00"/>
    <s v="C0138"/>
    <x v="0"/>
    <s v="P010"/>
    <n v="1"/>
    <n v="0.1"/>
    <x v="0"/>
    <x v="1"/>
    <x v="0"/>
    <n v="4599"/>
    <n v="3000"/>
    <n v="4139.1000000000004"/>
    <n v="3000"/>
    <x v="28"/>
    <n v="459.90000000000003"/>
    <x v="3"/>
    <x v="0"/>
    <x v="12"/>
    <x v="2"/>
    <x v="1"/>
    <x v="0"/>
    <x v="0"/>
  </r>
  <r>
    <x v="37"/>
    <d v="2024-02-01T00:00:00"/>
    <s v="C0094"/>
    <x v="1"/>
    <s v="P013"/>
    <n v="1"/>
    <n v="0.05"/>
    <x v="2"/>
    <x v="1"/>
    <x v="0"/>
    <n v="150"/>
    <n v="90"/>
    <n v="142.5"/>
    <n v="90"/>
    <x v="35"/>
    <n v="7.5"/>
    <x v="17"/>
    <x v="3"/>
    <x v="1"/>
    <x v="1"/>
    <x v="1"/>
    <x v="1"/>
    <x v="0"/>
  </r>
  <r>
    <x v="38"/>
    <d v="2024-02-01T00:00:00"/>
    <s v="C0074"/>
    <x v="1"/>
    <s v="P018"/>
    <n v="1"/>
    <n v="0"/>
    <x v="1"/>
    <x v="1"/>
    <x v="0"/>
    <n v="499"/>
    <n v="250"/>
    <n v="499"/>
    <n v="250"/>
    <x v="36"/>
    <n v="0"/>
    <x v="18"/>
    <x v="2"/>
    <x v="0"/>
    <x v="0"/>
    <x v="0"/>
    <x v="1"/>
    <x v="0"/>
  </r>
  <r>
    <x v="39"/>
    <d v="2024-02-03T00:00:00"/>
    <s v="C0175"/>
    <x v="1"/>
    <s v="P020"/>
    <n v="1"/>
    <n v="0"/>
    <x v="0"/>
    <x v="1"/>
    <x v="0"/>
    <n v="1799"/>
    <n v="900"/>
    <n v="1799"/>
    <n v="900"/>
    <x v="37"/>
    <n v="0"/>
    <x v="4"/>
    <x v="2"/>
    <x v="9"/>
    <x v="4"/>
    <x v="1"/>
    <x v="1"/>
    <x v="0"/>
  </r>
  <r>
    <x v="40"/>
    <d v="2024-02-03T00:00:00"/>
    <s v="C0094"/>
    <x v="1"/>
    <s v="P018"/>
    <n v="2"/>
    <n v="0"/>
    <x v="1"/>
    <x v="3"/>
    <x v="0"/>
    <n v="499"/>
    <n v="250"/>
    <n v="998"/>
    <n v="500"/>
    <x v="38"/>
    <n v="0"/>
    <x v="18"/>
    <x v="2"/>
    <x v="1"/>
    <x v="1"/>
    <x v="1"/>
    <x v="1"/>
    <x v="0"/>
  </r>
  <r>
    <x v="41"/>
    <d v="2024-02-04T00:00:00"/>
    <s v="C0010"/>
    <x v="1"/>
    <s v="P002"/>
    <n v="2"/>
    <n v="0.1"/>
    <x v="1"/>
    <x v="0"/>
    <x v="0"/>
    <n v="1999"/>
    <n v="1200"/>
    <n v="3598.2"/>
    <n v="2400"/>
    <x v="39"/>
    <n v="399.8"/>
    <x v="19"/>
    <x v="1"/>
    <x v="11"/>
    <x v="3"/>
    <x v="1"/>
    <x v="1"/>
    <x v="0"/>
  </r>
  <r>
    <x v="42"/>
    <d v="2024-02-06T00:00:00"/>
    <s v="C0156"/>
    <x v="1"/>
    <s v="P005"/>
    <n v="10"/>
    <n v="0"/>
    <x v="0"/>
    <x v="4"/>
    <x v="3"/>
    <n v="1299"/>
    <n v="800"/>
    <n v="12990"/>
    <n v="8000"/>
    <x v="40"/>
    <n v="0"/>
    <x v="12"/>
    <x v="1"/>
    <x v="4"/>
    <x v="3"/>
    <x v="1"/>
    <x v="1"/>
    <x v="0"/>
  </r>
  <r>
    <x v="43"/>
    <d v="2024-02-07T00:00:00"/>
    <s v="C0158"/>
    <x v="1"/>
    <s v="P013"/>
    <n v="3"/>
    <n v="0.05"/>
    <x v="1"/>
    <x v="2"/>
    <x v="0"/>
    <n v="150"/>
    <n v="90"/>
    <n v="427.5"/>
    <n v="270"/>
    <x v="41"/>
    <n v="22.5"/>
    <x v="17"/>
    <x v="3"/>
    <x v="4"/>
    <x v="3"/>
    <x v="0"/>
    <x v="1"/>
    <x v="0"/>
  </r>
  <r>
    <x v="44"/>
    <d v="2024-02-07T00:00:00"/>
    <s v="C0182"/>
    <x v="1"/>
    <s v="P016"/>
    <n v="3"/>
    <n v="0.05"/>
    <x v="0"/>
    <x v="3"/>
    <x v="0"/>
    <n v="240"/>
    <n v="140"/>
    <n v="684"/>
    <n v="420"/>
    <x v="42"/>
    <n v="36"/>
    <x v="16"/>
    <x v="3"/>
    <x v="0"/>
    <x v="0"/>
    <x v="1"/>
    <x v="1"/>
    <x v="0"/>
  </r>
  <r>
    <x v="45"/>
    <d v="2024-02-07T00:00:00"/>
    <s v="C0150"/>
    <x v="1"/>
    <s v="P014"/>
    <n v="3"/>
    <n v="0.1"/>
    <x v="1"/>
    <x v="3"/>
    <x v="0"/>
    <n v="220"/>
    <n v="120"/>
    <n v="594"/>
    <n v="360"/>
    <x v="43"/>
    <n v="66"/>
    <x v="20"/>
    <x v="3"/>
    <x v="4"/>
    <x v="3"/>
    <x v="1"/>
    <x v="1"/>
    <x v="0"/>
  </r>
  <r>
    <x v="46"/>
    <d v="2024-02-07T00:00:00"/>
    <s v="C0122"/>
    <x v="1"/>
    <s v="P020"/>
    <n v="3"/>
    <n v="0.2"/>
    <x v="1"/>
    <x v="2"/>
    <x v="0"/>
    <n v="1799"/>
    <n v="900"/>
    <n v="4317.6000000000004"/>
    <n v="2700"/>
    <x v="44"/>
    <n v="1079.4000000000001"/>
    <x v="4"/>
    <x v="2"/>
    <x v="4"/>
    <x v="3"/>
    <x v="0"/>
    <x v="1"/>
    <x v="0"/>
  </r>
  <r>
    <x v="47"/>
    <d v="2024-02-08T00:00:00"/>
    <s v="C0185"/>
    <x v="1"/>
    <s v="P008"/>
    <n v="1"/>
    <n v="0.05"/>
    <x v="1"/>
    <x v="2"/>
    <x v="0"/>
    <n v="6499"/>
    <n v="4200"/>
    <n v="6174.05"/>
    <n v="4200"/>
    <x v="45"/>
    <n v="324.95000000000005"/>
    <x v="13"/>
    <x v="0"/>
    <x v="3"/>
    <x v="2"/>
    <x v="0"/>
    <x v="1"/>
    <x v="0"/>
  </r>
  <r>
    <x v="48"/>
    <d v="2024-02-08T00:00:00"/>
    <s v="C0038"/>
    <x v="1"/>
    <s v="P013"/>
    <n v="2"/>
    <n v="0"/>
    <x v="2"/>
    <x v="4"/>
    <x v="3"/>
    <n v="150"/>
    <n v="90"/>
    <n v="300"/>
    <n v="180"/>
    <x v="46"/>
    <n v="0"/>
    <x v="17"/>
    <x v="3"/>
    <x v="1"/>
    <x v="1"/>
    <x v="1"/>
    <x v="1"/>
    <x v="0"/>
  </r>
  <r>
    <x v="49"/>
    <d v="2024-02-08T00:00:00"/>
    <s v="C0113"/>
    <x v="1"/>
    <s v="P001"/>
    <n v="4"/>
    <n v="0.05"/>
    <x v="2"/>
    <x v="0"/>
    <x v="0"/>
    <n v="700"/>
    <n v="450"/>
    <n v="2660"/>
    <n v="1800"/>
    <x v="47"/>
    <n v="140"/>
    <x v="7"/>
    <x v="1"/>
    <x v="11"/>
    <x v="3"/>
    <x v="0"/>
    <x v="1"/>
    <x v="0"/>
  </r>
  <r>
    <x v="50"/>
    <d v="2024-02-09T00:00:00"/>
    <s v="C0199"/>
    <x v="1"/>
    <s v="P017"/>
    <n v="6"/>
    <n v="0.15"/>
    <x v="2"/>
    <x v="4"/>
    <x v="0"/>
    <n v="449"/>
    <n v="260"/>
    <n v="2289.9"/>
    <n v="1560"/>
    <x v="48"/>
    <n v="404.09999999999997"/>
    <x v="10"/>
    <x v="3"/>
    <x v="2"/>
    <x v="1"/>
    <x v="0"/>
    <x v="1"/>
    <x v="0"/>
  </r>
  <r>
    <x v="51"/>
    <d v="2024-02-10T00:00:00"/>
    <s v="C0054"/>
    <x v="1"/>
    <s v="P017"/>
    <n v="10"/>
    <n v="0"/>
    <x v="1"/>
    <x v="0"/>
    <x v="0"/>
    <n v="449"/>
    <n v="260"/>
    <n v="4490"/>
    <n v="2600"/>
    <x v="11"/>
    <n v="0"/>
    <x v="10"/>
    <x v="3"/>
    <x v="10"/>
    <x v="2"/>
    <x v="1"/>
    <x v="1"/>
    <x v="0"/>
  </r>
  <r>
    <x v="52"/>
    <d v="2024-02-10T00:00:00"/>
    <s v="C0045"/>
    <x v="1"/>
    <s v="P011"/>
    <n v="6"/>
    <n v="0.15"/>
    <x v="0"/>
    <x v="1"/>
    <x v="0"/>
    <n v="899"/>
    <n v="500"/>
    <n v="4584.8999999999996"/>
    <n v="3000"/>
    <x v="49"/>
    <n v="809.1"/>
    <x v="1"/>
    <x v="0"/>
    <x v="8"/>
    <x v="4"/>
    <x v="2"/>
    <x v="1"/>
    <x v="0"/>
  </r>
  <r>
    <x v="53"/>
    <d v="2024-02-10T00:00:00"/>
    <s v="C0124"/>
    <x v="1"/>
    <s v="P020"/>
    <n v="2"/>
    <n v="0.2"/>
    <x v="0"/>
    <x v="4"/>
    <x v="0"/>
    <n v="1799"/>
    <n v="900"/>
    <n v="2878.4"/>
    <n v="1800"/>
    <x v="50"/>
    <n v="719.6"/>
    <x v="4"/>
    <x v="2"/>
    <x v="9"/>
    <x v="4"/>
    <x v="0"/>
    <x v="1"/>
    <x v="0"/>
  </r>
  <r>
    <x v="54"/>
    <d v="2024-02-11T00:00:00"/>
    <s v="C0198"/>
    <x v="1"/>
    <s v="P010"/>
    <n v="3"/>
    <n v="0.1"/>
    <x v="0"/>
    <x v="1"/>
    <x v="0"/>
    <n v="4599"/>
    <n v="3000"/>
    <n v="12417.3"/>
    <n v="9000"/>
    <x v="51"/>
    <n v="1379.7"/>
    <x v="3"/>
    <x v="0"/>
    <x v="8"/>
    <x v="4"/>
    <x v="0"/>
    <x v="1"/>
    <x v="0"/>
  </r>
  <r>
    <x v="55"/>
    <d v="2024-02-12T00:00:00"/>
    <s v="C0090"/>
    <x v="1"/>
    <s v="P016"/>
    <n v="10"/>
    <n v="0.15"/>
    <x v="0"/>
    <x v="1"/>
    <x v="0"/>
    <n v="240"/>
    <n v="140"/>
    <n v="2040"/>
    <n v="1400"/>
    <x v="52"/>
    <n v="360"/>
    <x v="16"/>
    <x v="3"/>
    <x v="1"/>
    <x v="1"/>
    <x v="1"/>
    <x v="1"/>
    <x v="0"/>
  </r>
  <r>
    <x v="56"/>
    <d v="2024-02-12T00:00:00"/>
    <s v="C0147"/>
    <x v="1"/>
    <s v="P004"/>
    <n v="10"/>
    <n v="0"/>
    <x v="0"/>
    <x v="4"/>
    <x v="1"/>
    <n v="1599"/>
    <n v="900"/>
    <n v="15990"/>
    <n v="9000"/>
    <x v="53"/>
    <n v="0"/>
    <x v="21"/>
    <x v="1"/>
    <x v="4"/>
    <x v="3"/>
    <x v="1"/>
    <x v="1"/>
    <x v="0"/>
  </r>
  <r>
    <x v="57"/>
    <d v="2024-02-13T00:00:00"/>
    <s v="C0011"/>
    <x v="1"/>
    <s v="P010"/>
    <n v="3"/>
    <n v="0.2"/>
    <x v="0"/>
    <x v="1"/>
    <x v="0"/>
    <n v="4599"/>
    <n v="3000"/>
    <n v="11037.6"/>
    <n v="9000"/>
    <x v="54"/>
    <n v="2759.4"/>
    <x v="3"/>
    <x v="0"/>
    <x v="1"/>
    <x v="1"/>
    <x v="1"/>
    <x v="1"/>
    <x v="0"/>
  </r>
  <r>
    <x v="58"/>
    <d v="2024-02-14T00:00:00"/>
    <s v="C0055"/>
    <x v="1"/>
    <s v="P016"/>
    <n v="2"/>
    <n v="0.1"/>
    <x v="1"/>
    <x v="1"/>
    <x v="0"/>
    <n v="240"/>
    <n v="140"/>
    <n v="432"/>
    <n v="280"/>
    <x v="55"/>
    <n v="48"/>
    <x v="16"/>
    <x v="3"/>
    <x v="5"/>
    <x v="3"/>
    <x v="1"/>
    <x v="1"/>
    <x v="0"/>
  </r>
  <r>
    <x v="59"/>
    <d v="2024-02-14T00:00:00"/>
    <s v="C0028"/>
    <x v="1"/>
    <s v="P005"/>
    <n v="2"/>
    <n v="0"/>
    <x v="1"/>
    <x v="4"/>
    <x v="0"/>
    <n v="1299"/>
    <n v="800"/>
    <n v="2598"/>
    <n v="1600"/>
    <x v="56"/>
    <n v="0"/>
    <x v="12"/>
    <x v="1"/>
    <x v="1"/>
    <x v="1"/>
    <x v="1"/>
    <x v="1"/>
    <x v="0"/>
  </r>
  <r>
    <x v="60"/>
    <d v="2024-02-14T00:00:00"/>
    <s v="C0060"/>
    <x v="1"/>
    <s v="P021"/>
    <n v="1"/>
    <n v="0"/>
    <x v="0"/>
    <x v="3"/>
    <x v="0"/>
    <n v="1599"/>
    <n v="800"/>
    <n v="1599"/>
    <n v="800"/>
    <x v="57"/>
    <n v="0"/>
    <x v="9"/>
    <x v="2"/>
    <x v="1"/>
    <x v="1"/>
    <x v="2"/>
    <x v="1"/>
    <x v="0"/>
  </r>
  <r>
    <x v="61"/>
    <d v="2024-02-14T00:00:00"/>
    <s v="C0198"/>
    <x v="1"/>
    <s v="P022"/>
    <n v="2"/>
    <n v="0"/>
    <x v="2"/>
    <x v="0"/>
    <x v="0"/>
    <n v="899"/>
    <n v="450"/>
    <n v="1798"/>
    <n v="900"/>
    <x v="58"/>
    <n v="0"/>
    <x v="6"/>
    <x v="2"/>
    <x v="8"/>
    <x v="4"/>
    <x v="0"/>
    <x v="1"/>
    <x v="0"/>
  </r>
  <r>
    <x v="62"/>
    <d v="2024-02-14T00:00:00"/>
    <s v="C0122"/>
    <x v="1"/>
    <s v="P021"/>
    <n v="6"/>
    <n v="0.1"/>
    <x v="0"/>
    <x v="1"/>
    <x v="0"/>
    <n v="1599"/>
    <n v="800"/>
    <n v="8634.6"/>
    <n v="4800"/>
    <x v="59"/>
    <n v="959.40000000000009"/>
    <x v="9"/>
    <x v="2"/>
    <x v="4"/>
    <x v="3"/>
    <x v="0"/>
    <x v="1"/>
    <x v="0"/>
  </r>
  <r>
    <x v="63"/>
    <d v="2024-02-15T00:00:00"/>
    <s v="C0166"/>
    <x v="1"/>
    <s v="P010"/>
    <n v="1"/>
    <n v="0.15"/>
    <x v="1"/>
    <x v="4"/>
    <x v="0"/>
    <n v="4599"/>
    <n v="3000"/>
    <n v="3909.15"/>
    <n v="3000"/>
    <x v="60"/>
    <n v="689.85"/>
    <x v="3"/>
    <x v="0"/>
    <x v="1"/>
    <x v="1"/>
    <x v="1"/>
    <x v="1"/>
    <x v="0"/>
  </r>
  <r>
    <x v="64"/>
    <d v="2024-02-16T00:00:00"/>
    <s v="C0190"/>
    <x v="1"/>
    <s v="P018"/>
    <n v="1"/>
    <n v="0.15"/>
    <x v="2"/>
    <x v="3"/>
    <x v="0"/>
    <n v="499"/>
    <n v="250"/>
    <n v="424.15"/>
    <n v="250"/>
    <x v="61"/>
    <n v="74.849999999999994"/>
    <x v="18"/>
    <x v="2"/>
    <x v="8"/>
    <x v="4"/>
    <x v="0"/>
    <x v="1"/>
    <x v="0"/>
  </r>
  <r>
    <x v="65"/>
    <d v="2024-02-16T00:00:00"/>
    <s v="C0127"/>
    <x v="1"/>
    <s v="P013"/>
    <n v="2"/>
    <n v="0.15"/>
    <x v="0"/>
    <x v="3"/>
    <x v="3"/>
    <n v="150"/>
    <n v="90"/>
    <n v="255"/>
    <n v="180"/>
    <x v="62"/>
    <n v="45"/>
    <x v="17"/>
    <x v="3"/>
    <x v="2"/>
    <x v="1"/>
    <x v="1"/>
    <x v="1"/>
    <x v="0"/>
  </r>
  <r>
    <x v="66"/>
    <d v="2024-02-16T00:00:00"/>
    <s v="C0077"/>
    <x v="1"/>
    <s v="P001"/>
    <n v="1"/>
    <n v="0.15"/>
    <x v="0"/>
    <x v="2"/>
    <x v="0"/>
    <n v="700"/>
    <n v="450"/>
    <n v="595"/>
    <n v="450"/>
    <x v="63"/>
    <n v="105"/>
    <x v="7"/>
    <x v="1"/>
    <x v="8"/>
    <x v="4"/>
    <x v="1"/>
    <x v="1"/>
    <x v="0"/>
  </r>
  <r>
    <x v="67"/>
    <d v="2024-02-17T00:00:00"/>
    <s v="C0127"/>
    <x v="1"/>
    <s v="P017"/>
    <n v="2"/>
    <n v="0.15"/>
    <x v="2"/>
    <x v="3"/>
    <x v="0"/>
    <n v="449"/>
    <n v="260"/>
    <n v="763.3"/>
    <n v="520"/>
    <x v="64"/>
    <n v="134.69999999999999"/>
    <x v="10"/>
    <x v="3"/>
    <x v="2"/>
    <x v="1"/>
    <x v="1"/>
    <x v="1"/>
    <x v="0"/>
  </r>
  <r>
    <x v="68"/>
    <d v="2024-02-18T00:00:00"/>
    <s v="C0042"/>
    <x v="1"/>
    <s v="P011"/>
    <n v="6"/>
    <n v="0.05"/>
    <x v="2"/>
    <x v="1"/>
    <x v="0"/>
    <n v="899"/>
    <n v="500"/>
    <n v="5124.3"/>
    <n v="3000"/>
    <x v="65"/>
    <n v="269.7"/>
    <x v="1"/>
    <x v="0"/>
    <x v="1"/>
    <x v="1"/>
    <x v="1"/>
    <x v="1"/>
    <x v="0"/>
  </r>
  <r>
    <x v="69"/>
    <d v="2024-02-18T00:00:00"/>
    <s v="C0146"/>
    <x v="1"/>
    <s v="P010"/>
    <n v="2"/>
    <n v="0"/>
    <x v="0"/>
    <x v="0"/>
    <x v="0"/>
    <n v="4599"/>
    <n v="3000"/>
    <n v="9198"/>
    <n v="6000"/>
    <x v="66"/>
    <n v="0"/>
    <x v="3"/>
    <x v="0"/>
    <x v="0"/>
    <x v="0"/>
    <x v="1"/>
    <x v="1"/>
    <x v="0"/>
  </r>
  <r>
    <x v="70"/>
    <d v="2024-02-20T00:00:00"/>
    <s v="C0084"/>
    <x v="1"/>
    <s v="P017"/>
    <n v="1"/>
    <n v="0.05"/>
    <x v="2"/>
    <x v="0"/>
    <x v="0"/>
    <n v="449"/>
    <n v="260"/>
    <n v="426.55"/>
    <n v="260"/>
    <x v="67"/>
    <n v="22.450000000000003"/>
    <x v="10"/>
    <x v="3"/>
    <x v="12"/>
    <x v="2"/>
    <x v="0"/>
    <x v="1"/>
    <x v="0"/>
  </r>
  <r>
    <x v="71"/>
    <d v="2024-02-20T00:00:00"/>
    <s v="C0064"/>
    <x v="1"/>
    <s v="P011"/>
    <n v="1"/>
    <n v="0"/>
    <x v="0"/>
    <x v="1"/>
    <x v="0"/>
    <n v="899"/>
    <n v="500"/>
    <n v="899"/>
    <n v="500"/>
    <x v="68"/>
    <n v="0"/>
    <x v="1"/>
    <x v="0"/>
    <x v="8"/>
    <x v="4"/>
    <x v="1"/>
    <x v="1"/>
    <x v="0"/>
  </r>
  <r>
    <x v="72"/>
    <d v="2024-02-21T00:00:00"/>
    <s v="C0150"/>
    <x v="1"/>
    <s v="P010"/>
    <n v="1"/>
    <n v="0"/>
    <x v="2"/>
    <x v="3"/>
    <x v="0"/>
    <n v="4599"/>
    <n v="3000"/>
    <n v="4599"/>
    <n v="3000"/>
    <x v="3"/>
    <n v="0"/>
    <x v="3"/>
    <x v="0"/>
    <x v="4"/>
    <x v="3"/>
    <x v="1"/>
    <x v="1"/>
    <x v="0"/>
  </r>
  <r>
    <x v="73"/>
    <d v="2024-02-22T00:00:00"/>
    <s v="C0031"/>
    <x v="1"/>
    <s v="P022"/>
    <n v="6"/>
    <n v="0"/>
    <x v="1"/>
    <x v="1"/>
    <x v="0"/>
    <n v="899"/>
    <n v="450"/>
    <n v="5394"/>
    <n v="2700"/>
    <x v="69"/>
    <n v="0"/>
    <x v="6"/>
    <x v="2"/>
    <x v="0"/>
    <x v="0"/>
    <x v="0"/>
    <x v="1"/>
    <x v="0"/>
  </r>
  <r>
    <x v="74"/>
    <d v="2024-02-22T00:00:00"/>
    <s v="C0164"/>
    <x v="1"/>
    <s v="P004"/>
    <n v="3"/>
    <n v="0"/>
    <x v="2"/>
    <x v="0"/>
    <x v="0"/>
    <n v="1599"/>
    <n v="900"/>
    <n v="4797"/>
    <n v="2700"/>
    <x v="70"/>
    <n v="0"/>
    <x v="21"/>
    <x v="1"/>
    <x v="1"/>
    <x v="1"/>
    <x v="2"/>
    <x v="1"/>
    <x v="0"/>
  </r>
  <r>
    <x v="75"/>
    <d v="2024-02-22T00:00:00"/>
    <s v="C0117"/>
    <x v="1"/>
    <s v="P005"/>
    <n v="4"/>
    <n v="0.05"/>
    <x v="0"/>
    <x v="2"/>
    <x v="0"/>
    <n v="1299"/>
    <n v="800"/>
    <n v="4936.2"/>
    <n v="3200"/>
    <x v="71"/>
    <n v="259.8"/>
    <x v="12"/>
    <x v="1"/>
    <x v="8"/>
    <x v="4"/>
    <x v="1"/>
    <x v="1"/>
    <x v="0"/>
  </r>
  <r>
    <x v="76"/>
    <d v="2024-02-23T00:00:00"/>
    <s v="C0056"/>
    <x v="1"/>
    <s v="P022"/>
    <n v="2"/>
    <n v="0.1"/>
    <x v="2"/>
    <x v="2"/>
    <x v="0"/>
    <n v="899"/>
    <n v="450"/>
    <n v="1618.2"/>
    <n v="900"/>
    <x v="72"/>
    <n v="179.8"/>
    <x v="6"/>
    <x v="2"/>
    <x v="1"/>
    <x v="1"/>
    <x v="1"/>
    <x v="1"/>
    <x v="0"/>
  </r>
  <r>
    <x v="77"/>
    <d v="2024-02-23T00:00:00"/>
    <s v="C0136"/>
    <x v="1"/>
    <s v="P015"/>
    <n v="4"/>
    <n v="0"/>
    <x v="2"/>
    <x v="2"/>
    <x v="0"/>
    <n v="299"/>
    <n v="180"/>
    <n v="1196"/>
    <n v="720"/>
    <x v="73"/>
    <n v="0"/>
    <x v="8"/>
    <x v="3"/>
    <x v="12"/>
    <x v="2"/>
    <x v="0"/>
    <x v="1"/>
    <x v="0"/>
  </r>
  <r>
    <x v="78"/>
    <d v="2024-02-23T00:00:00"/>
    <s v="C0052"/>
    <x v="1"/>
    <s v="P017"/>
    <n v="10"/>
    <n v="0"/>
    <x v="1"/>
    <x v="0"/>
    <x v="0"/>
    <n v="449"/>
    <n v="260"/>
    <n v="4490"/>
    <n v="2600"/>
    <x v="11"/>
    <n v="0"/>
    <x v="10"/>
    <x v="3"/>
    <x v="10"/>
    <x v="2"/>
    <x v="1"/>
    <x v="1"/>
    <x v="0"/>
  </r>
  <r>
    <x v="79"/>
    <d v="2024-02-23T00:00:00"/>
    <s v="C0175"/>
    <x v="1"/>
    <s v="P004"/>
    <n v="2"/>
    <n v="0.1"/>
    <x v="1"/>
    <x v="0"/>
    <x v="0"/>
    <n v="1599"/>
    <n v="900"/>
    <n v="2878.2"/>
    <n v="1800"/>
    <x v="74"/>
    <n v="319.8"/>
    <x v="21"/>
    <x v="1"/>
    <x v="9"/>
    <x v="4"/>
    <x v="1"/>
    <x v="1"/>
    <x v="0"/>
  </r>
  <r>
    <x v="80"/>
    <d v="2024-02-24T00:00:00"/>
    <s v="C0117"/>
    <x v="1"/>
    <s v="P002"/>
    <n v="2"/>
    <n v="0.05"/>
    <x v="2"/>
    <x v="2"/>
    <x v="0"/>
    <n v="1999"/>
    <n v="1200"/>
    <n v="3798.1"/>
    <n v="2400"/>
    <x v="75"/>
    <n v="199.9"/>
    <x v="19"/>
    <x v="1"/>
    <x v="8"/>
    <x v="4"/>
    <x v="1"/>
    <x v="1"/>
    <x v="0"/>
  </r>
  <r>
    <x v="81"/>
    <d v="2024-02-24T00:00:00"/>
    <s v="C0173"/>
    <x v="1"/>
    <s v="P015"/>
    <n v="3"/>
    <n v="0.1"/>
    <x v="2"/>
    <x v="4"/>
    <x v="0"/>
    <n v="299"/>
    <n v="180"/>
    <n v="807.3"/>
    <n v="540"/>
    <x v="76"/>
    <n v="89.7"/>
    <x v="8"/>
    <x v="3"/>
    <x v="4"/>
    <x v="3"/>
    <x v="1"/>
    <x v="1"/>
    <x v="0"/>
  </r>
  <r>
    <x v="82"/>
    <d v="2024-02-25T00:00:00"/>
    <s v="C0019"/>
    <x v="1"/>
    <s v="P019"/>
    <n v="1"/>
    <n v="0.05"/>
    <x v="1"/>
    <x v="3"/>
    <x v="0"/>
    <n v="1199"/>
    <n v="600"/>
    <n v="1139.05"/>
    <n v="600"/>
    <x v="77"/>
    <n v="59.95"/>
    <x v="15"/>
    <x v="2"/>
    <x v="0"/>
    <x v="0"/>
    <x v="1"/>
    <x v="1"/>
    <x v="0"/>
  </r>
  <r>
    <x v="83"/>
    <d v="2024-02-25T00:00:00"/>
    <s v="C0121"/>
    <x v="1"/>
    <s v="P003"/>
    <n v="1"/>
    <n v="0"/>
    <x v="2"/>
    <x v="0"/>
    <x v="0"/>
    <n v="599"/>
    <n v="350"/>
    <n v="599"/>
    <n v="350"/>
    <x v="36"/>
    <n v="0"/>
    <x v="2"/>
    <x v="1"/>
    <x v="0"/>
    <x v="0"/>
    <x v="1"/>
    <x v="1"/>
    <x v="0"/>
  </r>
  <r>
    <x v="84"/>
    <d v="2024-02-26T00:00:00"/>
    <s v="C0098"/>
    <x v="1"/>
    <s v="P012"/>
    <n v="6"/>
    <n v="0.15"/>
    <x v="0"/>
    <x v="3"/>
    <x v="2"/>
    <n v="320"/>
    <n v="220"/>
    <n v="1632"/>
    <n v="1320"/>
    <x v="78"/>
    <n v="288"/>
    <x v="5"/>
    <x v="3"/>
    <x v="1"/>
    <x v="1"/>
    <x v="0"/>
    <x v="1"/>
    <x v="0"/>
  </r>
  <r>
    <x v="85"/>
    <d v="2024-02-27T00:00:00"/>
    <s v="C0170"/>
    <x v="1"/>
    <s v="P022"/>
    <n v="10"/>
    <n v="0"/>
    <x v="2"/>
    <x v="4"/>
    <x v="2"/>
    <n v="899"/>
    <n v="450"/>
    <n v="8990"/>
    <n v="4500"/>
    <x v="79"/>
    <n v="0"/>
    <x v="6"/>
    <x v="2"/>
    <x v="2"/>
    <x v="0"/>
    <x v="0"/>
    <x v="1"/>
    <x v="0"/>
  </r>
  <r>
    <x v="86"/>
    <d v="2024-02-27T00:00:00"/>
    <s v="C0101"/>
    <x v="1"/>
    <s v="P018"/>
    <n v="10"/>
    <n v="0"/>
    <x v="2"/>
    <x v="3"/>
    <x v="1"/>
    <n v="499"/>
    <n v="250"/>
    <n v="4990"/>
    <n v="2500"/>
    <x v="80"/>
    <n v="0"/>
    <x v="18"/>
    <x v="2"/>
    <x v="5"/>
    <x v="3"/>
    <x v="0"/>
    <x v="1"/>
    <x v="0"/>
  </r>
  <r>
    <x v="87"/>
    <d v="2024-02-28T00:00:00"/>
    <s v="C0119"/>
    <x v="1"/>
    <s v="P010"/>
    <n v="10"/>
    <n v="0.05"/>
    <x v="2"/>
    <x v="4"/>
    <x v="0"/>
    <n v="4599"/>
    <n v="3000"/>
    <n v="43690.5"/>
    <n v="30000"/>
    <x v="81"/>
    <n v="2299.5"/>
    <x v="3"/>
    <x v="0"/>
    <x v="1"/>
    <x v="1"/>
    <x v="1"/>
    <x v="1"/>
    <x v="0"/>
  </r>
  <r>
    <x v="88"/>
    <d v="2024-03-02T00:00:00"/>
    <s v="C0089"/>
    <x v="2"/>
    <s v="P015"/>
    <n v="2"/>
    <n v="0"/>
    <x v="1"/>
    <x v="3"/>
    <x v="3"/>
    <n v="299"/>
    <n v="180"/>
    <n v="598"/>
    <n v="360"/>
    <x v="82"/>
    <n v="0"/>
    <x v="8"/>
    <x v="3"/>
    <x v="7"/>
    <x v="4"/>
    <x v="1"/>
    <x v="2"/>
    <x v="0"/>
  </r>
  <r>
    <x v="89"/>
    <d v="2024-03-02T00:00:00"/>
    <s v="C0170"/>
    <x v="2"/>
    <s v="P002"/>
    <n v="5"/>
    <n v="0.05"/>
    <x v="2"/>
    <x v="4"/>
    <x v="3"/>
    <n v="1999"/>
    <n v="1200"/>
    <n v="9495.25"/>
    <n v="6000"/>
    <x v="83"/>
    <n v="499.75"/>
    <x v="19"/>
    <x v="1"/>
    <x v="2"/>
    <x v="0"/>
    <x v="0"/>
    <x v="2"/>
    <x v="0"/>
  </r>
  <r>
    <x v="90"/>
    <d v="2024-03-02T00:00:00"/>
    <s v="C0018"/>
    <x v="2"/>
    <s v="P007"/>
    <n v="1"/>
    <n v="0.05"/>
    <x v="1"/>
    <x v="3"/>
    <x v="0"/>
    <n v="5499"/>
    <n v="3500"/>
    <n v="5224.05"/>
    <n v="3500"/>
    <x v="84"/>
    <n v="274.95"/>
    <x v="11"/>
    <x v="0"/>
    <x v="7"/>
    <x v="4"/>
    <x v="0"/>
    <x v="2"/>
    <x v="0"/>
  </r>
  <r>
    <x v="91"/>
    <d v="2024-03-03T00:00:00"/>
    <s v="C0190"/>
    <x v="2"/>
    <s v="P008"/>
    <n v="1"/>
    <n v="0.05"/>
    <x v="2"/>
    <x v="3"/>
    <x v="0"/>
    <n v="6499"/>
    <n v="4200"/>
    <n v="6174.05"/>
    <n v="4200"/>
    <x v="45"/>
    <n v="324.95000000000005"/>
    <x v="13"/>
    <x v="0"/>
    <x v="8"/>
    <x v="4"/>
    <x v="0"/>
    <x v="2"/>
    <x v="0"/>
  </r>
  <r>
    <x v="92"/>
    <d v="2024-03-03T00:00:00"/>
    <s v="C0129"/>
    <x v="2"/>
    <s v="P005"/>
    <n v="3"/>
    <n v="0"/>
    <x v="1"/>
    <x v="1"/>
    <x v="2"/>
    <n v="1299"/>
    <n v="800"/>
    <n v="3897"/>
    <n v="2400"/>
    <x v="85"/>
    <n v="0"/>
    <x v="12"/>
    <x v="1"/>
    <x v="6"/>
    <x v="4"/>
    <x v="0"/>
    <x v="2"/>
    <x v="0"/>
  </r>
  <r>
    <x v="93"/>
    <d v="2024-03-04T00:00:00"/>
    <s v="C0154"/>
    <x v="2"/>
    <s v="P019"/>
    <n v="4"/>
    <n v="0"/>
    <x v="1"/>
    <x v="2"/>
    <x v="2"/>
    <n v="1199"/>
    <n v="600"/>
    <n v="4796"/>
    <n v="2400"/>
    <x v="32"/>
    <n v="0"/>
    <x v="15"/>
    <x v="2"/>
    <x v="2"/>
    <x v="0"/>
    <x v="1"/>
    <x v="2"/>
    <x v="0"/>
  </r>
  <r>
    <x v="94"/>
    <d v="2024-03-05T00:00:00"/>
    <s v="C0106"/>
    <x v="2"/>
    <s v="P008"/>
    <n v="3"/>
    <n v="0"/>
    <x v="1"/>
    <x v="4"/>
    <x v="0"/>
    <n v="6499"/>
    <n v="4200"/>
    <n v="19497"/>
    <n v="12600"/>
    <x v="86"/>
    <n v="0"/>
    <x v="13"/>
    <x v="0"/>
    <x v="3"/>
    <x v="2"/>
    <x v="0"/>
    <x v="2"/>
    <x v="0"/>
  </r>
  <r>
    <x v="95"/>
    <d v="2024-03-05T00:00:00"/>
    <s v="C0174"/>
    <x v="2"/>
    <s v="P021"/>
    <n v="5"/>
    <n v="0.05"/>
    <x v="0"/>
    <x v="0"/>
    <x v="0"/>
    <n v="1599"/>
    <n v="800"/>
    <n v="7595.25"/>
    <n v="4000"/>
    <x v="26"/>
    <n v="399.75"/>
    <x v="9"/>
    <x v="2"/>
    <x v="0"/>
    <x v="0"/>
    <x v="0"/>
    <x v="2"/>
    <x v="0"/>
  </r>
  <r>
    <x v="96"/>
    <d v="2024-03-05T00:00:00"/>
    <s v="C0082"/>
    <x v="2"/>
    <s v="P017"/>
    <n v="5"/>
    <n v="0.05"/>
    <x v="2"/>
    <x v="2"/>
    <x v="0"/>
    <n v="449"/>
    <n v="260"/>
    <n v="2132.75"/>
    <n v="1300"/>
    <x v="87"/>
    <n v="112.25"/>
    <x v="10"/>
    <x v="3"/>
    <x v="1"/>
    <x v="1"/>
    <x v="1"/>
    <x v="2"/>
    <x v="0"/>
  </r>
  <r>
    <x v="97"/>
    <d v="2024-03-06T00:00:00"/>
    <s v="C0062"/>
    <x v="2"/>
    <s v="P016"/>
    <n v="2"/>
    <n v="0"/>
    <x v="0"/>
    <x v="3"/>
    <x v="0"/>
    <n v="240"/>
    <n v="140"/>
    <n v="480"/>
    <n v="280"/>
    <x v="88"/>
    <n v="0"/>
    <x v="16"/>
    <x v="3"/>
    <x v="0"/>
    <x v="0"/>
    <x v="2"/>
    <x v="2"/>
    <x v="0"/>
  </r>
  <r>
    <x v="98"/>
    <d v="2024-03-07T00:00:00"/>
    <s v="C0106"/>
    <x v="2"/>
    <s v="P018"/>
    <n v="5"/>
    <n v="0.05"/>
    <x v="2"/>
    <x v="1"/>
    <x v="0"/>
    <n v="499"/>
    <n v="250"/>
    <n v="2370.25"/>
    <n v="1250"/>
    <x v="89"/>
    <n v="124.75"/>
    <x v="18"/>
    <x v="2"/>
    <x v="3"/>
    <x v="2"/>
    <x v="0"/>
    <x v="2"/>
    <x v="0"/>
  </r>
  <r>
    <x v="99"/>
    <d v="2024-03-08T00:00:00"/>
    <s v="C0085"/>
    <x v="2"/>
    <s v="P007"/>
    <n v="1"/>
    <n v="0.15"/>
    <x v="2"/>
    <x v="2"/>
    <x v="0"/>
    <n v="5499"/>
    <n v="3500"/>
    <n v="4674.1499999999996"/>
    <n v="3500"/>
    <x v="90"/>
    <n v="824.85"/>
    <x v="11"/>
    <x v="0"/>
    <x v="9"/>
    <x v="4"/>
    <x v="1"/>
    <x v="2"/>
    <x v="0"/>
  </r>
  <r>
    <x v="100"/>
    <d v="2024-03-08T00:00:00"/>
    <s v="C0014"/>
    <x v="2"/>
    <s v="P007"/>
    <n v="3"/>
    <n v="0"/>
    <x v="2"/>
    <x v="3"/>
    <x v="0"/>
    <n v="5499"/>
    <n v="3500"/>
    <n v="16497"/>
    <n v="10500"/>
    <x v="91"/>
    <n v="0"/>
    <x v="11"/>
    <x v="0"/>
    <x v="1"/>
    <x v="1"/>
    <x v="1"/>
    <x v="2"/>
    <x v="0"/>
  </r>
  <r>
    <x v="101"/>
    <d v="2024-03-09T00:00:00"/>
    <s v="C0195"/>
    <x v="2"/>
    <s v="P007"/>
    <n v="10"/>
    <n v="0"/>
    <x v="0"/>
    <x v="1"/>
    <x v="0"/>
    <n v="5499"/>
    <n v="3500"/>
    <n v="54990"/>
    <n v="35000"/>
    <x v="92"/>
    <n v="0"/>
    <x v="11"/>
    <x v="0"/>
    <x v="10"/>
    <x v="2"/>
    <x v="1"/>
    <x v="2"/>
    <x v="0"/>
  </r>
  <r>
    <x v="102"/>
    <d v="2024-03-10T00:00:00"/>
    <s v="C0055"/>
    <x v="2"/>
    <s v="P001"/>
    <n v="2"/>
    <n v="0.2"/>
    <x v="0"/>
    <x v="4"/>
    <x v="0"/>
    <n v="700"/>
    <n v="450"/>
    <n v="1120"/>
    <n v="900"/>
    <x v="93"/>
    <n v="280"/>
    <x v="7"/>
    <x v="1"/>
    <x v="5"/>
    <x v="3"/>
    <x v="1"/>
    <x v="2"/>
    <x v="0"/>
  </r>
  <r>
    <x v="103"/>
    <d v="2024-03-10T00:00:00"/>
    <s v="C0181"/>
    <x v="2"/>
    <s v="P020"/>
    <n v="2"/>
    <n v="0"/>
    <x v="0"/>
    <x v="1"/>
    <x v="0"/>
    <n v="1799"/>
    <n v="900"/>
    <n v="3598"/>
    <n v="1800"/>
    <x v="94"/>
    <n v="0"/>
    <x v="4"/>
    <x v="2"/>
    <x v="12"/>
    <x v="2"/>
    <x v="0"/>
    <x v="2"/>
    <x v="0"/>
  </r>
  <r>
    <x v="104"/>
    <d v="2024-03-10T00:00:00"/>
    <s v="C0120"/>
    <x v="2"/>
    <s v="P013"/>
    <n v="10"/>
    <n v="0.05"/>
    <x v="0"/>
    <x v="2"/>
    <x v="0"/>
    <n v="150"/>
    <n v="90"/>
    <n v="1425"/>
    <n v="900"/>
    <x v="95"/>
    <n v="75"/>
    <x v="17"/>
    <x v="3"/>
    <x v="5"/>
    <x v="3"/>
    <x v="0"/>
    <x v="2"/>
    <x v="0"/>
  </r>
  <r>
    <x v="105"/>
    <d v="2024-03-11T00:00:00"/>
    <s v="C0120"/>
    <x v="2"/>
    <s v="P016"/>
    <n v="1"/>
    <n v="0.1"/>
    <x v="0"/>
    <x v="4"/>
    <x v="0"/>
    <n v="240"/>
    <n v="140"/>
    <n v="216"/>
    <n v="140"/>
    <x v="96"/>
    <n v="24"/>
    <x v="16"/>
    <x v="3"/>
    <x v="5"/>
    <x v="3"/>
    <x v="0"/>
    <x v="2"/>
    <x v="0"/>
  </r>
  <r>
    <x v="106"/>
    <d v="2024-03-11T00:00:00"/>
    <s v="C0081"/>
    <x v="2"/>
    <s v="P012"/>
    <n v="5"/>
    <n v="0"/>
    <x v="1"/>
    <x v="4"/>
    <x v="2"/>
    <n v="320"/>
    <n v="220"/>
    <n v="1600"/>
    <n v="1100"/>
    <x v="5"/>
    <n v="0"/>
    <x v="5"/>
    <x v="3"/>
    <x v="12"/>
    <x v="2"/>
    <x v="2"/>
    <x v="2"/>
    <x v="0"/>
  </r>
  <r>
    <x v="107"/>
    <d v="2024-03-12T00:00:00"/>
    <s v="C0067"/>
    <x v="2"/>
    <s v="P001"/>
    <n v="10"/>
    <n v="0.15"/>
    <x v="0"/>
    <x v="1"/>
    <x v="0"/>
    <n v="700"/>
    <n v="450"/>
    <n v="5950"/>
    <n v="4500"/>
    <x v="97"/>
    <n v="1050"/>
    <x v="7"/>
    <x v="1"/>
    <x v="0"/>
    <x v="0"/>
    <x v="1"/>
    <x v="2"/>
    <x v="0"/>
  </r>
  <r>
    <x v="108"/>
    <d v="2024-03-12T00:00:00"/>
    <s v="C0051"/>
    <x v="2"/>
    <s v="P005"/>
    <n v="4"/>
    <n v="0"/>
    <x v="2"/>
    <x v="0"/>
    <x v="0"/>
    <n v="1299"/>
    <n v="800"/>
    <n v="5196"/>
    <n v="3200"/>
    <x v="98"/>
    <n v="0"/>
    <x v="12"/>
    <x v="1"/>
    <x v="13"/>
    <x v="3"/>
    <x v="1"/>
    <x v="2"/>
    <x v="0"/>
  </r>
  <r>
    <x v="109"/>
    <d v="2024-03-13T00:00:00"/>
    <s v="C0168"/>
    <x v="2"/>
    <s v="P018"/>
    <n v="4"/>
    <n v="0"/>
    <x v="1"/>
    <x v="0"/>
    <x v="0"/>
    <n v="499"/>
    <n v="250"/>
    <n v="1996"/>
    <n v="1000"/>
    <x v="99"/>
    <n v="0"/>
    <x v="18"/>
    <x v="2"/>
    <x v="10"/>
    <x v="2"/>
    <x v="2"/>
    <x v="2"/>
    <x v="0"/>
  </r>
  <r>
    <x v="110"/>
    <d v="2024-03-14T00:00:00"/>
    <s v="C0044"/>
    <x v="2"/>
    <s v="P015"/>
    <n v="4"/>
    <n v="0"/>
    <x v="0"/>
    <x v="4"/>
    <x v="0"/>
    <n v="299"/>
    <n v="180"/>
    <n v="1196"/>
    <n v="720"/>
    <x v="73"/>
    <n v="0"/>
    <x v="8"/>
    <x v="3"/>
    <x v="2"/>
    <x v="0"/>
    <x v="2"/>
    <x v="2"/>
    <x v="0"/>
  </r>
  <r>
    <x v="111"/>
    <d v="2024-03-14T00:00:00"/>
    <s v="C0165"/>
    <x v="2"/>
    <s v="P018"/>
    <n v="1"/>
    <n v="0.05"/>
    <x v="2"/>
    <x v="3"/>
    <x v="0"/>
    <n v="499"/>
    <n v="250"/>
    <n v="474.05"/>
    <n v="250"/>
    <x v="100"/>
    <n v="24.950000000000003"/>
    <x v="18"/>
    <x v="2"/>
    <x v="11"/>
    <x v="3"/>
    <x v="1"/>
    <x v="2"/>
    <x v="0"/>
  </r>
  <r>
    <x v="112"/>
    <d v="2024-03-16T00:00:00"/>
    <s v="C0106"/>
    <x v="2"/>
    <s v="P001"/>
    <n v="2"/>
    <n v="0.1"/>
    <x v="1"/>
    <x v="4"/>
    <x v="0"/>
    <n v="700"/>
    <n v="450"/>
    <n v="1260"/>
    <n v="900"/>
    <x v="101"/>
    <n v="140"/>
    <x v="7"/>
    <x v="1"/>
    <x v="3"/>
    <x v="2"/>
    <x v="0"/>
    <x v="2"/>
    <x v="0"/>
  </r>
  <r>
    <x v="113"/>
    <d v="2024-03-16T00:00:00"/>
    <s v="C0056"/>
    <x v="2"/>
    <s v="P001"/>
    <n v="10"/>
    <n v="0.05"/>
    <x v="1"/>
    <x v="2"/>
    <x v="0"/>
    <n v="700"/>
    <n v="450"/>
    <n v="6650"/>
    <n v="4500"/>
    <x v="102"/>
    <n v="350"/>
    <x v="7"/>
    <x v="1"/>
    <x v="1"/>
    <x v="1"/>
    <x v="1"/>
    <x v="2"/>
    <x v="0"/>
  </r>
  <r>
    <x v="114"/>
    <d v="2024-03-16T00:00:00"/>
    <s v="C0169"/>
    <x v="2"/>
    <s v="P016"/>
    <n v="6"/>
    <n v="0"/>
    <x v="0"/>
    <x v="3"/>
    <x v="0"/>
    <n v="240"/>
    <n v="140"/>
    <n v="1440"/>
    <n v="840"/>
    <x v="33"/>
    <n v="0"/>
    <x v="16"/>
    <x v="3"/>
    <x v="3"/>
    <x v="2"/>
    <x v="1"/>
    <x v="2"/>
    <x v="0"/>
  </r>
  <r>
    <x v="115"/>
    <d v="2024-03-16T00:00:00"/>
    <s v="C0136"/>
    <x v="2"/>
    <s v="P001"/>
    <n v="3"/>
    <n v="0.05"/>
    <x v="1"/>
    <x v="0"/>
    <x v="0"/>
    <n v="700"/>
    <n v="450"/>
    <n v="1995"/>
    <n v="1350"/>
    <x v="103"/>
    <n v="105"/>
    <x v="7"/>
    <x v="1"/>
    <x v="12"/>
    <x v="2"/>
    <x v="0"/>
    <x v="2"/>
    <x v="0"/>
  </r>
  <r>
    <x v="116"/>
    <d v="2024-03-17T00:00:00"/>
    <s v="C0028"/>
    <x v="2"/>
    <s v="P006"/>
    <n v="1"/>
    <n v="0.05"/>
    <x v="1"/>
    <x v="2"/>
    <x v="0"/>
    <n v="1799"/>
    <n v="1100"/>
    <n v="1709.05"/>
    <n v="1100"/>
    <x v="104"/>
    <n v="89.95"/>
    <x v="14"/>
    <x v="1"/>
    <x v="1"/>
    <x v="1"/>
    <x v="1"/>
    <x v="2"/>
    <x v="0"/>
  </r>
  <r>
    <x v="117"/>
    <d v="2024-03-17T00:00:00"/>
    <s v="C0091"/>
    <x v="2"/>
    <s v="P009"/>
    <n v="3"/>
    <n v="0.1"/>
    <x v="0"/>
    <x v="0"/>
    <x v="0"/>
    <n v="4299"/>
    <n v="2800"/>
    <n v="11607.3"/>
    <n v="8400"/>
    <x v="105"/>
    <n v="1289.7"/>
    <x v="0"/>
    <x v="0"/>
    <x v="7"/>
    <x v="4"/>
    <x v="1"/>
    <x v="2"/>
    <x v="0"/>
  </r>
  <r>
    <x v="118"/>
    <d v="2024-03-18T00:00:00"/>
    <s v="C0063"/>
    <x v="2"/>
    <s v="P019"/>
    <n v="2"/>
    <n v="0"/>
    <x v="2"/>
    <x v="3"/>
    <x v="0"/>
    <n v="1199"/>
    <n v="600"/>
    <n v="2398"/>
    <n v="1200"/>
    <x v="24"/>
    <n v="0"/>
    <x v="15"/>
    <x v="2"/>
    <x v="6"/>
    <x v="4"/>
    <x v="1"/>
    <x v="2"/>
    <x v="0"/>
  </r>
  <r>
    <x v="119"/>
    <d v="2024-03-18T00:00:00"/>
    <s v="C0104"/>
    <x v="2"/>
    <s v="P003"/>
    <n v="5"/>
    <n v="0"/>
    <x v="1"/>
    <x v="3"/>
    <x v="0"/>
    <n v="599"/>
    <n v="350"/>
    <n v="2995"/>
    <n v="1750"/>
    <x v="2"/>
    <n v="0"/>
    <x v="2"/>
    <x v="1"/>
    <x v="1"/>
    <x v="1"/>
    <x v="1"/>
    <x v="2"/>
    <x v="0"/>
  </r>
  <r>
    <x v="120"/>
    <d v="2024-03-19T00:00:00"/>
    <s v="C0022"/>
    <x v="2"/>
    <s v="P006"/>
    <n v="6"/>
    <n v="0.1"/>
    <x v="0"/>
    <x v="2"/>
    <x v="0"/>
    <n v="1799"/>
    <n v="1100"/>
    <n v="9714.6"/>
    <n v="6600"/>
    <x v="106"/>
    <n v="1079.4000000000001"/>
    <x v="14"/>
    <x v="1"/>
    <x v="13"/>
    <x v="3"/>
    <x v="1"/>
    <x v="2"/>
    <x v="0"/>
  </r>
  <r>
    <x v="121"/>
    <d v="2024-03-19T00:00:00"/>
    <s v="C0136"/>
    <x v="2"/>
    <s v="P004"/>
    <n v="1"/>
    <n v="0"/>
    <x v="1"/>
    <x v="2"/>
    <x v="2"/>
    <n v="1599"/>
    <n v="900"/>
    <n v="1599"/>
    <n v="900"/>
    <x v="107"/>
    <n v="0"/>
    <x v="21"/>
    <x v="1"/>
    <x v="12"/>
    <x v="2"/>
    <x v="0"/>
    <x v="2"/>
    <x v="0"/>
  </r>
  <r>
    <x v="122"/>
    <d v="2024-03-20T00:00:00"/>
    <s v="C0070"/>
    <x v="2"/>
    <s v="P016"/>
    <n v="1"/>
    <n v="0.15"/>
    <x v="0"/>
    <x v="2"/>
    <x v="0"/>
    <n v="240"/>
    <n v="140"/>
    <n v="204"/>
    <n v="140"/>
    <x v="108"/>
    <n v="36"/>
    <x v="16"/>
    <x v="3"/>
    <x v="10"/>
    <x v="2"/>
    <x v="2"/>
    <x v="2"/>
    <x v="0"/>
  </r>
  <r>
    <x v="123"/>
    <d v="2024-03-20T00:00:00"/>
    <s v="C0169"/>
    <x v="2"/>
    <s v="P019"/>
    <n v="1"/>
    <n v="0"/>
    <x v="2"/>
    <x v="4"/>
    <x v="0"/>
    <n v="1199"/>
    <n v="600"/>
    <n v="1199"/>
    <n v="600"/>
    <x v="25"/>
    <n v="0"/>
    <x v="15"/>
    <x v="2"/>
    <x v="3"/>
    <x v="2"/>
    <x v="1"/>
    <x v="2"/>
    <x v="0"/>
  </r>
  <r>
    <x v="124"/>
    <d v="2024-03-21T00:00:00"/>
    <s v="C0037"/>
    <x v="2"/>
    <s v="P019"/>
    <n v="5"/>
    <n v="0.15"/>
    <x v="1"/>
    <x v="4"/>
    <x v="0"/>
    <n v="1199"/>
    <n v="600"/>
    <n v="5095.75"/>
    <n v="3000"/>
    <x v="109"/>
    <n v="899.25"/>
    <x v="15"/>
    <x v="2"/>
    <x v="2"/>
    <x v="1"/>
    <x v="2"/>
    <x v="2"/>
    <x v="0"/>
  </r>
  <r>
    <x v="125"/>
    <d v="2024-03-21T00:00:00"/>
    <s v="C0100"/>
    <x v="2"/>
    <s v="P019"/>
    <n v="10"/>
    <n v="0"/>
    <x v="2"/>
    <x v="3"/>
    <x v="0"/>
    <n v="1199"/>
    <n v="600"/>
    <n v="11990"/>
    <n v="6000"/>
    <x v="110"/>
    <n v="0"/>
    <x v="15"/>
    <x v="2"/>
    <x v="6"/>
    <x v="4"/>
    <x v="0"/>
    <x v="2"/>
    <x v="0"/>
  </r>
  <r>
    <x v="126"/>
    <d v="2024-03-22T00:00:00"/>
    <s v="C0191"/>
    <x v="2"/>
    <s v="P017"/>
    <n v="4"/>
    <n v="0"/>
    <x v="2"/>
    <x v="1"/>
    <x v="0"/>
    <n v="449"/>
    <n v="260"/>
    <n v="1796"/>
    <n v="1040"/>
    <x v="111"/>
    <n v="0"/>
    <x v="10"/>
    <x v="3"/>
    <x v="10"/>
    <x v="2"/>
    <x v="1"/>
    <x v="2"/>
    <x v="0"/>
  </r>
  <r>
    <x v="127"/>
    <d v="2024-03-23T00:00:00"/>
    <s v="C0197"/>
    <x v="2"/>
    <s v="P020"/>
    <n v="5"/>
    <n v="0.2"/>
    <x v="1"/>
    <x v="1"/>
    <x v="0"/>
    <n v="1799"/>
    <n v="900"/>
    <n v="7196"/>
    <n v="4500"/>
    <x v="112"/>
    <n v="1799"/>
    <x v="4"/>
    <x v="2"/>
    <x v="7"/>
    <x v="4"/>
    <x v="1"/>
    <x v="2"/>
    <x v="0"/>
  </r>
  <r>
    <x v="128"/>
    <d v="2024-03-23T00:00:00"/>
    <s v="C0126"/>
    <x v="2"/>
    <s v="P015"/>
    <n v="2"/>
    <n v="0"/>
    <x v="0"/>
    <x v="4"/>
    <x v="3"/>
    <n v="299"/>
    <n v="180"/>
    <n v="598"/>
    <n v="360"/>
    <x v="82"/>
    <n v="0"/>
    <x v="8"/>
    <x v="3"/>
    <x v="8"/>
    <x v="4"/>
    <x v="0"/>
    <x v="2"/>
    <x v="0"/>
  </r>
  <r>
    <x v="129"/>
    <d v="2024-03-23T00:00:00"/>
    <s v="C0150"/>
    <x v="2"/>
    <s v="P022"/>
    <n v="5"/>
    <n v="0"/>
    <x v="2"/>
    <x v="3"/>
    <x v="0"/>
    <n v="899"/>
    <n v="450"/>
    <n v="4495"/>
    <n v="2250"/>
    <x v="6"/>
    <n v="0"/>
    <x v="6"/>
    <x v="2"/>
    <x v="4"/>
    <x v="3"/>
    <x v="1"/>
    <x v="2"/>
    <x v="0"/>
  </r>
  <r>
    <x v="130"/>
    <d v="2024-03-24T00:00:00"/>
    <s v="C0069"/>
    <x v="2"/>
    <s v="P003"/>
    <n v="2"/>
    <n v="0"/>
    <x v="2"/>
    <x v="0"/>
    <x v="0"/>
    <n v="599"/>
    <n v="350"/>
    <n v="1198"/>
    <n v="700"/>
    <x v="38"/>
    <n v="0"/>
    <x v="2"/>
    <x v="1"/>
    <x v="1"/>
    <x v="1"/>
    <x v="1"/>
    <x v="2"/>
    <x v="0"/>
  </r>
  <r>
    <x v="131"/>
    <d v="2024-03-24T00:00:00"/>
    <s v="C0093"/>
    <x v="2"/>
    <s v="P011"/>
    <n v="1"/>
    <n v="0"/>
    <x v="0"/>
    <x v="1"/>
    <x v="3"/>
    <n v="899"/>
    <n v="500"/>
    <n v="899"/>
    <n v="500"/>
    <x v="68"/>
    <n v="0"/>
    <x v="1"/>
    <x v="0"/>
    <x v="0"/>
    <x v="0"/>
    <x v="1"/>
    <x v="2"/>
    <x v="0"/>
  </r>
  <r>
    <x v="132"/>
    <d v="2024-03-24T00:00:00"/>
    <s v="C0027"/>
    <x v="2"/>
    <s v="P009"/>
    <n v="2"/>
    <n v="0"/>
    <x v="1"/>
    <x v="2"/>
    <x v="0"/>
    <n v="4299"/>
    <n v="2800"/>
    <n v="8598"/>
    <n v="5600"/>
    <x v="113"/>
    <n v="0"/>
    <x v="0"/>
    <x v="0"/>
    <x v="11"/>
    <x v="3"/>
    <x v="1"/>
    <x v="2"/>
    <x v="0"/>
  </r>
  <r>
    <x v="133"/>
    <d v="2024-03-24T00:00:00"/>
    <s v="C0105"/>
    <x v="2"/>
    <s v="P017"/>
    <n v="1"/>
    <n v="0"/>
    <x v="2"/>
    <x v="2"/>
    <x v="0"/>
    <n v="449"/>
    <n v="260"/>
    <n v="449"/>
    <n v="260"/>
    <x v="114"/>
    <n v="0"/>
    <x v="10"/>
    <x v="3"/>
    <x v="10"/>
    <x v="2"/>
    <x v="0"/>
    <x v="2"/>
    <x v="0"/>
  </r>
  <r>
    <x v="134"/>
    <d v="2024-03-26T00:00:00"/>
    <s v="C0084"/>
    <x v="2"/>
    <s v="P020"/>
    <n v="5"/>
    <n v="0"/>
    <x v="2"/>
    <x v="2"/>
    <x v="0"/>
    <n v="1799"/>
    <n v="900"/>
    <n v="8995"/>
    <n v="4500"/>
    <x v="4"/>
    <n v="0"/>
    <x v="4"/>
    <x v="2"/>
    <x v="12"/>
    <x v="2"/>
    <x v="0"/>
    <x v="2"/>
    <x v="0"/>
  </r>
  <r>
    <x v="135"/>
    <d v="2024-03-27T00:00:00"/>
    <s v="C0147"/>
    <x v="2"/>
    <s v="P008"/>
    <n v="10"/>
    <n v="0"/>
    <x v="2"/>
    <x v="1"/>
    <x v="0"/>
    <n v="6499"/>
    <n v="4200"/>
    <n v="64990"/>
    <n v="42000"/>
    <x v="115"/>
    <n v="0"/>
    <x v="13"/>
    <x v="0"/>
    <x v="4"/>
    <x v="3"/>
    <x v="1"/>
    <x v="2"/>
    <x v="0"/>
  </r>
  <r>
    <x v="136"/>
    <d v="2024-03-27T00:00:00"/>
    <s v="C0069"/>
    <x v="2"/>
    <s v="P010"/>
    <n v="6"/>
    <n v="0"/>
    <x v="0"/>
    <x v="0"/>
    <x v="0"/>
    <n v="4599"/>
    <n v="3000"/>
    <n v="27594"/>
    <n v="18000"/>
    <x v="116"/>
    <n v="0"/>
    <x v="3"/>
    <x v="0"/>
    <x v="1"/>
    <x v="1"/>
    <x v="1"/>
    <x v="2"/>
    <x v="0"/>
  </r>
  <r>
    <x v="137"/>
    <d v="2024-03-27T00:00:00"/>
    <s v="C0124"/>
    <x v="2"/>
    <s v="P010"/>
    <n v="1"/>
    <n v="0"/>
    <x v="1"/>
    <x v="0"/>
    <x v="3"/>
    <n v="4599"/>
    <n v="3000"/>
    <n v="4599"/>
    <n v="3000"/>
    <x v="3"/>
    <n v="0"/>
    <x v="3"/>
    <x v="0"/>
    <x v="9"/>
    <x v="4"/>
    <x v="0"/>
    <x v="2"/>
    <x v="0"/>
  </r>
  <r>
    <x v="138"/>
    <d v="2024-03-28T00:00:00"/>
    <s v="C0158"/>
    <x v="2"/>
    <s v="P020"/>
    <n v="2"/>
    <n v="0.05"/>
    <x v="2"/>
    <x v="0"/>
    <x v="0"/>
    <n v="1799"/>
    <n v="900"/>
    <n v="3418.1"/>
    <n v="1800"/>
    <x v="117"/>
    <n v="179.9"/>
    <x v="4"/>
    <x v="2"/>
    <x v="4"/>
    <x v="3"/>
    <x v="0"/>
    <x v="2"/>
    <x v="0"/>
  </r>
  <r>
    <x v="139"/>
    <d v="2024-03-28T00:00:00"/>
    <s v="C0159"/>
    <x v="2"/>
    <s v="P011"/>
    <n v="5"/>
    <n v="0.1"/>
    <x v="0"/>
    <x v="0"/>
    <x v="0"/>
    <n v="899"/>
    <n v="500"/>
    <n v="4045.5"/>
    <n v="2500"/>
    <x v="118"/>
    <n v="449.5"/>
    <x v="1"/>
    <x v="0"/>
    <x v="1"/>
    <x v="1"/>
    <x v="2"/>
    <x v="2"/>
    <x v="0"/>
  </r>
  <r>
    <x v="140"/>
    <d v="2024-03-28T00:00:00"/>
    <s v="C0153"/>
    <x v="2"/>
    <s v="P021"/>
    <n v="2"/>
    <n v="0"/>
    <x v="1"/>
    <x v="4"/>
    <x v="0"/>
    <n v="1599"/>
    <n v="800"/>
    <n v="3198"/>
    <n v="1600"/>
    <x v="119"/>
    <n v="0"/>
    <x v="9"/>
    <x v="2"/>
    <x v="5"/>
    <x v="3"/>
    <x v="0"/>
    <x v="2"/>
    <x v="0"/>
  </r>
  <r>
    <x v="141"/>
    <d v="2024-03-31T00:00:00"/>
    <s v="C0081"/>
    <x v="2"/>
    <s v="P016"/>
    <n v="2"/>
    <n v="0.2"/>
    <x v="0"/>
    <x v="0"/>
    <x v="3"/>
    <n v="240"/>
    <n v="140"/>
    <n v="384"/>
    <n v="280"/>
    <x v="120"/>
    <n v="96"/>
    <x v="16"/>
    <x v="3"/>
    <x v="12"/>
    <x v="2"/>
    <x v="2"/>
    <x v="2"/>
    <x v="0"/>
  </r>
  <r>
    <x v="142"/>
    <d v="2024-03-31T00:00:00"/>
    <s v="C0063"/>
    <x v="2"/>
    <s v="P019"/>
    <n v="4"/>
    <n v="0"/>
    <x v="0"/>
    <x v="1"/>
    <x v="0"/>
    <n v="1199"/>
    <n v="600"/>
    <n v="4796"/>
    <n v="2400"/>
    <x v="32"/>
    <n v="0"/>
    <x v="15"/>
    <x v="2"/>
    <x v="6"/>
    <x v="4"/>
    <x v="1"/>
    <x v="2"/>
    <x v="0"/>
  </r>
  <r>
    <x v="143"/>
    <d v="2024-04-02T00:00:00"/>
    <s v="C0145"/>
    <x v="3"/>
    <s v="P004"/>
    <n v="2"/>
    <n v="0.05"/>
    <x v="1"/>
    <x v="2"/>
    <x v="0"/>
    <n v="1599"/>
    <n v="900"/>
    <n v="3038.1"/>
    <n v="1800"/>
    <x v="121"/>
    <n v="159.9"/>
    <x v="21"/>
    <x v="1"/>
    <x v="6"/>
    <x v="4"/>
    <x v="1"/>
    <x v="3"/>
    <x v="0"/>
  </r>
  <r>
    <x v="144"/>
    <d v="2024-04-02T00:00:00"/>
    <s v="C0187"/>
    <x v="3"/>
    <s v="P001"/>
    <n v="6"/>
    <n v="0.15"/>
    <x v="0"/>
    <x v="3"/>
    <x v="0"/>
    <n v="700"/>
    <n v="450"/>
    <n v="3570"/>
    <n v="2700"/>
    <x v="122"/>
    <n v="630"/>
    <x v="7"/>
    <x v="1"/>
    <x v="2"/>
    <x v="1"/>
    <x v="1"/>
    <x v="3"/>
    <x v="0"/>
  </r>
  <r>
    <x v="145"/>
    <d v="2024-04-02T00:00:00"/>
    <s v="C0173"/>
    <x v="3"/>
    <s v="P014"/>
    <n v="6"/>
    <n v="0"/>
    <x v="0"/>
    <x v="4"/>
    <x v="0"/>
    <n v="220"/>
    <n v="120"/>
    <n v="1320"/>
    <n v="720"/>
    <x v="33"/>
    <n v="0"/>
    <x v="20"/>
    <x v="3"/>
    <x v="4"/>
    <x v="3"/>
    <x v="1"/>
    <x v="3"/>
    <x v="0"/>
  </r>
  <r>
    <x v="146"/>
    <d v="2024-04-02T00:00:00"/>
    <s v="C0097"/>
    <x v="3"/>
    <s v="P014"/>
    <n v="1"/>
    <n v="0.05"/>
    <x v="1"/>
    <x v="0"/>
    <x v="0"/>
    <n v="220"/>
    <n v="120"/>
    <n v="209"/>
    <n v="120"/>
    <x v="123"/>
    <n v="11"/>
    <x v="20"/>
    <x v="3"/>
    <x v="1"/>
    <x v="1"/>
    <x v="0"/>
    <x v="3"/>
    <x v="0"/>
  </r>
  <r>
    <x v="147"/>
    <d v="2024-04-03T00:00:00"/>
    <s v="C0130"/>
    <x v="3"/>
    <s v="P018"/>
    <n v="5"/>
    <n v="0.05"/>
    <x v="0"/>
    <x v="2"/>
    <x v="0"/>
    <n v="499"/>
    <n v="250"/>
    <n v="2370.25"/>
    <n v="1250"/>
    <x v="89"/>
    <n v="124.75"/>
    <x v="18"/>
    <x v="2"/>
    <x v="2"/>
    <x v="1"/>
    <x v="1"/>
    <x v="3"/>
    <x v="0"/>
  </r>
  <r>
    <x v="148"/>
    <d v="2024-04-03T00:00:00"/>
    <s v="C0164"/>
    <x v="3"/>
    <s v="P020"/>
    <n v="1"/>
    <n v="0"/>
    <x v="1"/>
    <x v="1"/>
    <x v="0"/>
    <n v="1799"/>
    <n v="900"/>
    <n v="1799"/>
    <n v="900"/>
    <x v="37"/>
    <n v="0"/>
    <x v="4"/>
    <x v="2"/>
    <x v="1"/>
    <x v="1"/>
    <x v="2"/>
    <x v="3"/>
    <x v="0"/>
  </r>
  <r>
    <x v="149"/>
    <d v="2024-04-03T00:00:00"/>
    <s v="C0166"/>
    <x v="3"/>
    <s v="P006"/>
    <n v="1"/>
    <n v="0.05"/>
    <x v="1"/>
    <x v="0"/>
    <x v="0"/>
    <n v="1799"/>
    <n v="1100"/>
    <n v="1709.05"/>
    <n v="1100"/>
    <x v="104"/>
    <n v="89.95"/>
    <x v="14"/>
    <x v="1"/>
    <x v="1"/>
    <x v="1"/>
    <x v="1"/>
    <x v="3"/>
    <x v="0"/>
  </r>
  <r>
    <x v="150"/>
    <d v="2024-04-03T00:00:00"/>
    <s v="C0111"/>
    <x v="3"/>
    <s v="P011"/>
    <n v="1"/>
    <n v="0"/>
    <x v="1"/>
    <x v="2"/>
    <x v="0"/>
    <n v="899"/>
    <n v="500"/>
    <n v="899"/>
    <n v="500"/>
    <x v="68"/>
    <n v="0"/>
    <x v="1"/>
    <x v="0"/>
    <x v="7"/>
    <x v="4"/>
    <x v="2"/>
    <x v="3"/>
    <x v="0"/>
  </r>
  <r>
    <x v="151"/>
    <d v="2024-04-03T00:00:00"/>
    <s v="C0149"/>
    <x v="3"/>
    <s v="P018"/>
    <n v="2"/>
    <n v="0.05"/>
    <x v="1"/>
    <x v="2"/>
    <x v="0"/>
    <n v="499"/>
    <n v="250"/>
    <n v="948.1"/>
    <n v="500"/>
    <x v="124"/>
    <n v="49.900000000000006"/>
    <x v="18"/>
    <x v="2"/>
    <x v="5"/>
    <x v="3"/>
    <x v="0"/>
    <x v="3"/>
    <x v="0"/>
  </r>
  <r>
    <x v="152"/>
    <d v="2024-04-03T00:00:00"/>
    <s v="C0039"/>
    <x v="3"/>
    <s v="P017"/>
    <n v="4"/>
    <n v="0.2"/>
    <x v="0"/>
    <x v="0"/>
    <x v="0"/>
    <n v="449"/>
    <n v="260"/>
    <n v="1436.8"/>
    <n v="1040"/>
    <x v="125"/>
    <n v="359.20000000000005"/>
    <x v="10"/>
    <x v="3"/>
    <x v="1"/>
    <x v="1"/>
    <x v="2"/>
    <x v="3"/>
    <x v="0"/>
  </r>
  <r>
    <x v="153"/>
    <d v="2024-04-05T00:00:00"/>
    <s v="C0030"/>
    <x v="3"/>
    <s v="P003"/>
    <n v="2"/>
    <n v="0"/>
    <x v="2"/>
    <x v="2"/>
    <x v="0"/>
    <n v="599"/>
    <n v="350"/>
    <n v="1198"/>
    <n v="700"/>
    <x v="38"/>
    <n v="0"/>
    <x v="2"/>
    <x v="1"/>
    <x v="4"/>
    <x v="3"/>
    <x v="1"/>
    <x v="3"/>
    <x v="0"/>
  </r>
  <r>
    <x v="154"/>
    <d v="2024-04-05T00:00:00"/>
    <s v="C0090"/>
    <x v="3"/>
    <s v="P016"/>
    <n v="6"/>
    <n v="0"/>
    <x v="0"/>
    <x v="1"/>
    <x v="0"/>
    <n v="240"/>
    <n v="140"/>
    <n v="1440"/>
    <n v="840"/>
    <x v="33"/>
    <n v="0"/>
    <x v="16"/>
    <x v="3"/>
    <x v="1"/>
    <x v="1"/>
    <x v="1"/>
    <x v="3"/>
    <x v="0"/>
  </r>
  <r>
    <x v="155"/>
    <d v="2024-04-05T00:00:00"/>
    <s v="C0077"/>
    <x v="3"/>
    <s v="P003"/>
    <n v="1"/>
    <n v="0.1"/>
    <x v="0"/>
    <x v="3"/>
    <x v="0"/>
    <n v="599"/>
    <n v="350"/>
    <n v="539.1"/>
    <n v="350"/>
    <x v="126"/>
    <n v="59.900000000000006"/>
    <x v="2"/>
    <x v="1"/>
    <x v="8"/>
    <x v="4"/>
    <x v="1"/>
    <x v="3"/>
    <x v="0"/>
  </r>
  <r>
    <x v="156"/>
    <d v="2024-04-06T00:00:00"/>
    <s v="C0043"/>
    <x v="3"/>
    <s v="P022"/>
    <n v="2"/>
    <n v="0.05"/>
    <x v="0"/>
    <x v="2"/>
    <x v="0"/>
    <n v="899"/>
    <n v="450"/>
    <n v="1708.1"/>
    <n v="900"/>
    <x v="127"/>
    <n v="89.9"/>
    <x v="6"/>
    <x v="2"/>
    <x v="10"/>
    <x v="2"/>
    <x v="1"/>
    <x v="3"/>
    <x v="0"/>
  </r>
  <r>
    <x v="157"/>
    <d v="2024-04-07T00:00:00"/>
    <s v="C0119"/>
    <x v="3"/>
    <s v="P014"/>
    <n v="2"/>
    <n v="0.1"/>
    <x v="2"/>
    <x v="0"/>
    <x v="0"/>
    <n v="220"/>
    <n v="120"/>
    <n v="396"/>
    <n v="240"/>
    <x v="128"/>
    <n v="44"/>
    <x v="20"/>
    <x v="3"/>
    <x v="1"/>
    <x v="1"/>
    <x v="1"/>
    <x v="3"/>
    <x v="0"/>
  </r>
  <r>
    <x v="158"/>
    <d v="2024-04-08T00:00:00"/>
    <s v="C0008"/>
    <x v="3"/>
    <s v="P013"/>
    <n v="2"/>
    <n v="0.05"/>
    <x v="2"/>
    <x v="4"/>
    <x v="0"/>
    <n v="150"/>
    <n v="90"/>
    <n v="285"/>
    <n v="180"/>
    <x v="129"/>
    <n v="15"/>
    <x v="17"/>
    <x v="3"/>
    <x v="5"/>
    <x v="3"/>
    <x v="1"/>
    <x v="3"/>
    <x v="0"/>
  </r>
  <r>
    <x v="159"/>
    <d v="2024-04-09T00:00:00"/>
    <s v="C0072"/>
    <x v="3"/>
    <s v="P007"/>
    <n v="1"/>
    <n v="0.05"/>
    <x v="1"/>
    <x v="4"/>
    <x v="0"/>
    <n v="5499"/>
    <n v="3500"/>
    <n v="5224.05"/>
    <n v="3500"/>
    <x v="84"/>
    <n v="274.95"/>
    <x v="11"/>
    <x v="0"/>
    <x v="2"/>
    <x v="1"/>
    <x v="1"/>
    <x v="3"/>
    <x v="0"/>
  </r>
  <r>
    <x v="160"/>
    <d v="2024-04-09T00:00:00"/>
    <s v="C0084"/>
    <x v="3"/>
    <s v="P012"/>
    <n v="2"/>
    <n v="0.05"/>
    <x v="0"/>
    <x v="2"/>
    <x v="0"/>
    <n v="320"/>
    <n v="220"/>
    <n v="608"/>
    <n v="440"/>
    <x v="130"/>
    <n v="32"/>
    <x v="5"/>
    <x v="3"/>
    <x v="12"/>
    <x v="2"/>
    <x v="0"/>
    <x v="3"/>
    <x v="0"/>
  </r>
  <r>
    <x v="161"/>
    <d v="2024-04-10T00:00:00"/>
    <s v="C0081"/>
    <x v="3"/>
    <s v="P021"/>
    <n v="5"/>
    <n v="0.05"/>
    <x v="0"/>
    <x v="1"/>
    <x v="0"/>
    <n v="1599"/>
    <n v="800"/>
    <n v="7595.25"/>
    <n v="4000"/>
    <x v="26"/>
    <n v="399.75"/>
    <x v="9"/>
    <x v="2"/>
    <x v="12"/>
    <x v="2"/>
    <x v="2"/>
    <x v="3"/>
    <x v="0"/>
  </r>
  <r>
    <x v="162"/>
    <d v="2024-04-11T00:00:00"/>
    <s v="C0159"/>
    <x v="3"/>
    <s v="P015"/>
    <n v="2"/>
    <n v="0.1"/>
    <x v="0"/>
    <x v="2"/>
    <x v="0"/>
    <n v="299"/>
    <n v="180"/>
    <n v="538.20000000000005"/>
    <n v="360"/>
    <x v="131"/>
    <n v="59.800000000000004"/>
    <x v="8"/>
    <x v="3"/>
    <x v="1"/>
    <x v="1"/>
    <x v="2"/>
    <x v="3"/>
    <x v="0"/>
  </r>
  <r>
    <x v="163"/>
    <d v="2024-04-11T00:00:00"/>
    <s v="C0022"/>
    <x v="3"/>
    <s v="P019"/>
    <n v="2"/>
    <n v="0"/>
    <x v="2"/>
    <x v="4"/>
    <x v="0"/>
    <n v="1199"/>
    <n v="600"/>
    <n v="2398"/>
    <n v="1200"/>
    <x v="24"/>
    <n v="0"/>
    <x v="15"/>
    <x v="2"/>
    <x v="13"/>
    <x v="3"/>
    <x v="1"/>
    <x v="3"/>
    <x v="0"/>
  </r>
  <r>
    <x v="164"/>
    <d v="2024-04-11T00:00:00"/>
    <s v="C0178"/>
    <x v="3"/>
    <s v="P012"/>
    <n v="2"/>
    <n v="0.05"/>
    <x v="2"/>
    <x v="2"/>
    <x v="0"/>
    <n v="320"/>
    <n v="220"/>
    <n v="608"/>
    <n v="440"/>
    <x v="130"/>
    <n v="32"/>
    <x v="5"/>
    <x v="3"/>
    <x v="1"/>
    <x v="1"/>
    <x v="1"/>
    <x v="3"/>
    <x v="0"/>
  </r>
  <r>
    <x v="165"/>
    <d v="2024-04-11T00:00:00"/>
    <s v="C0109"/>
    <x v="3"/>
    <s v="P013"/>
    <n v="2"/>
    <n v="0.05"/>
    <x v="1"/>
    <x v="4"/>
    <x v="0"/>
    <n v="150"/>
    <n v="90"/>
    <n v="285"/>
    <n v="180"/>
    <x v="129"/>
    <n v="15"/>
    <x v="17"/>
    <x v="3"/>
    <x v="7"/>
    <x v="4"/>
    <x v="1"/>
    <x v="3"/>
    <x v="0"/>
  </r>
  <r>
    <x v="166"/>
    <d v="2024-04-11T00:00:00"/>
    <s v="C0043"/>
    <x v="3"/>
    <s v="P018"/>
    <n v="6"/>
    <n v="0"/>
    <x v="0"/>
    <x v="2"/>
    <x v="0"/>
    <n v="499"/>
    <n v="250"/>
    <n v="2994"/>
    <n v="1500"/>
    <x v="132"/>
    <n v="0"/>
    <x v="18"/>
    <x v="2"/>
    <x v="10"/>
    <x v="2"/>
    <x v="1"/>
    <x v="3"/>
    <x v="0"/>
  </r>
  <r>
    <x v="167"/>
    <d v="2024-04-12T00:00:00"/>
    <s v="C0092"/>
    <x v="3"/>
    <s v="P002"/>
    <n v="1"/>
    <n v="0.05"/>
    <x v="0"/>
    <x v="2"/>
    <x v="0"/>
    <n v="1999"/>
    <n v="1200"/>
    <n v="1899.05"/>
    <n v="1200"/>
    <x v="133"/>
    <n v="99.95"/>
    <x v="19"/>
    <x v="1"/>
    <x v="2"/>
    <x v="1"/>
    <x v="0"/>
    <x v="3"/>
    <x v="0"/>
  </r>
  <r>
    <x v="168"/>
    <d v="2024-04-12T00:00:00"/>
    <s v="C0168"/>
    <x v="3"/>
    <s v="P017"/>
    <n v="6"/>
    <n v="0.05"/>
    <x v="1"/>
    <x v="0"/>
    <x v="0"/>
    <n v="449"/>
    <n v="260"/>
    <n v="2559.3000000000002"/>
    <n v="1560"/>
    <x v="134"/>
    <n v="134.70000000000002"/>
    <x v="10"/>
    <x v="3"/>
    <x v="10"/>
    <x v="2"/>
    <x v="2"/>
    <x v="3"/>
    <x v="0"/>
  </r>
  <r>
    <x v="169"/>
    <d v="2024-04-12T00:00:00"/>
    <s v="C0043"/>
    <x v="3"/>
    <s v="P016"/>
    <n v="1"/>
    <n v="0.05"/>
    <x v="2"/>
    <x v="1"/>
    <x v="0"/>
    <n v="240"/>
    <n v="140"/>
    <n v="228"/>
    <n v="140"/>
    <x v="135"/>
    <n v="12"/>
    <x v="16"/>
    <x v="3"/>
    <x v="10"/>
    <x v="2"/>
    <x v="1"/>
    <x v="3"/>
    <x v="0"/>
  </r>
  <r>
    <x v="170"/>
    <d v="2024-04-12T00:00:00"/>
    <s v="C0071"/>
    <x v="3"/>
    <s v="P002"/>
    <n v="2"/>
    <n v="0.05"/>
    <x v="0"/>
    <x v="2"/>
    <x v="0"/>
    <n v="1999"/>
    <n v="1200"/>
    <n v="3798.1"/>
    <n v="2400"/>
    <x v="75"/>
    <n v="199.9"/>
    <x v="19"/>
    <x v="1"/>
    <x v="2"/>
    <x v="1"/>
    <x v="1"/>
    <x v="3"/>
    <x v="0"/>
  </r>
  <r>
    <x v="171"/>
    <d v="2024-04-13T00:00:00"/>
    <s v="C0141"/>
    <x v="3"/>
    <s v="P016"/>
    <n v="10"/>
    <n v="0"/>
    <x v="1"/>
    <x v="1"/>
    <x v="0"/>
    <n v="240"/>
    <n v="140"/>
    <n v="2400"/>
    <n v="1400"/>
    <x v="136"/>
    <n v="0"/>
    <x v="16"/>
    <x v="3"/>
    <x v="3"/>
    <x v="2"/>
    <x v="2"/>
    <x v="3"/>
    <x v="0"/>
  </r>
  <r>
    <x v="172"/>
    <d v="2024-04-15T00:00:00"/>
    <s v="C0194"/>
    <x v="3"/>
    <s v="P018"/>
    <n v="1"/>
    <n v="0.1"/>
    <x v="2"/>
    <x v="0"/>
    <x v="0"/>
    <n v="499"/>
    <n v="250"/>
    <n v="449.1"/>
    <n v="250"/>
    <x v="137"/>
    <n v="49.900000000000006"/>
    <x v="18"/>
    <x v="2"/>
    <x v="6"/>
    <x v="4"/>
    <x v="0"/>
    <x v="3"/>
    <x v="0"/>
  </r>
  <r>
    <x v="173"/>
    <d v="2024-04-15T00:00:00"/>
    <s v="C0189"/>
    <x v="3"/>
    <s v="P004"/>
    <n v="2"/>
    <n v="0"/>
    <x v="0"/>
    <x v="1"/>
    <x v="1"/>
    <n v="1599"/>
    <n v="900"/>
    <n v="3198"/>
    <n v="1800"/>
    <x v="138"/>
    <n v="0"/>
    <x v="21"/>
    <x v="1"/>
    <x v="7"/>
    <x v="4"/>
    <x v="1"/>
    <x v="3"/>
    <x v="0"/>
  </r>
  <r>
    <x v="174"/>
    <d v="2024-04-15T00:00:00"/>
    <s v="C0023"/>
    <x v="3"/>
    <s v="P012"/>
    <n v="6"/>
    <n v="0.15"/>
    <x v="2"/>
    <x v="4"/>
    <x v="0"/>
    <n v="320"/>
    <n v="220"/>
    <n v="1632"/>
    <n v="1320"/>
    <x v="78"/>
    <n v="288"/>
    <x v="5"/>
    <x v="3"/>
    <x v="0"/>
    <x v="0"/>
    <x v="0"/>
    <x v="3"/>
    <x v="0"/>
  </r>
  <r>
    <x v="175"/>
    <d v="2024-04-15T00:00:00"/>
    <s v="C0177"/>
    <x v="3"/>
    <s v="P019"/>
    <n v="4"/>
    <n v="0.15"/>
    <x v="0"/>
    <x v="4"/>
    <x v="0"/>
    <n v="1199"/>
    <n v="600"/>
    <n v="4076.6"/>
    <n v="2400"/>
    <x v="139"/>
    <n v="719.4"/>
    <x v="15"/>
    <x v="2"/>
    <x v="11"/>
    <x v="3"/>
    <x v="0"/>
    <x v="3"/>
    <x v="0"/>
  </r>
  <r>
    <x v="176"/>
    <d v="2024-04-16T00:00:00"/>
    <s v="C0036"/>
    <x v="3"/>
    <s v="P020"/>
    <n v="2"/>
    <n v="0.1"/>
    <x v="1"/>
    <x v="1"/>
    <x v="0"/>
    <n v="1799"/>
    <n v="900"/>
    <n v="3238.2"/>
    <n v="1800"/>
    <x v="140"/>
    <n v="359.8"/>
    <x v="4"/>
    <x v="2"/>
    <x v="12"/>
    <x v="2"/>
    <x v="1"/>
    <x v="3"/>
    <x v="0"/>
  </r>
  <r>
    <x v="177"/>
    <d v="2024-04-16T00:00:00"/>
    <s v="C0072"/>
    <x v="3"/>
    <s v="P018"/>
    <n v="10"/>
    <n v="0"/>
    <x v="0"/>
    <x v="1"/>
    <x v="1"/>
    <n v="499"/>
    <n v="250"/>
    <n v="4990"/>
    <n v="2500"/>
    <x v="80"/>
    <n v="0"/>
    <x v="18"/>
    <x v="2"/>
    <x v="2"/>
    <x v="1"/>
    <x v="1"/>
    <x v="3"/>
    <x v="0"/>
  </r>
  <r>
    <x v="178"/>
    <d v="2024-04-17T00:00:00"/>
    <s v="C0069"/>
    <x v="3"/>
    <s v="P019"/>
    <n v="10"/>
    <n v="0.2"/>
    <x v="2"/>
    <x v="4"/>
    <x v="0"/>
    <n v="1199"/>
    <n v="600"/>
    <n v="9592"/>
    <n v="6000"/>
    <x v="141"/>
    <n v="2398"/>
    <x v="15"/>
    <x v="2"/>
    <x v="1"/>
    <x v="1"/>
    <x v="1"/>
    <x v="3"/>
    <x v="0"/>
  </r>
  <r>
    <x v="179"/>
    <d v="2024-04-18T00:00:00"/>
    <s v="C0016"/>
    <x v="3"/>
    <s v="P014"/>
    <n v="3"/>
    <n v="0.15"/>
    <x v="2"/>
    <x v="4"/>
    <x v="0"/>
    <n v="220"/>
    <n v="120"/>
    <n v="561"/>
    <n v="360"/>
    <x v="142"/>
    <n v="99"/>
    <x v="20"/>
    <x v="3"/>
    <x v="1"/>
    <x v="1"/>
    <x v="1"/>
    <x v="3"/>
    <x v="0"/>
  </r>
  <r>
    <x v="180"/>
    <d v="2024-04-19T00:00:00"/>
    <s v="C0183"/>
    <x v="3"/>
    <s v="P005"/>
    <n v="4"/>
    <n v="0.1"/>
    <x v="1"/>
    <x v="0"/>
    <x v="0"/>
    <n v="1299"/>
    <n v="800"/>
    <n v="4676.3999999999996"/>
    <n v="3200"/>
    <x v="143"/>
    <n v="519.6"/>
    <x v="12"/>
    <x v="1"/>
    <x v="0"/>
    <x v="0"/>
    <x v="2"/>
    <x v="3"/>
    <x v="0"/>
  </r>
  <r>
    <x v="181"/>
    <d v="2024-04-20T00:00:00"/>
    <s v="C0037"/>
    <x v="3"/>
    <s v="P016"/>
    <n v="3"/>
    <n v="0.05"/>
    <x v="2"/>
    <x v="3"/>
    <x v="0"/>
    <n v="240"/>
    <n v="140"/>
    <n v="684"/>
    <n v="420"/>
    <x v="42"/>
    <n v="36"/>
    <x v="16"/>
    <x v="3"/>
    <x v="2"/>
    <x v="1"/>
    <x v="2"/>
    <x v="3"/>
    <x v="0"/>
  </r>
  <r>
    <x v="182"/>
    <d v="2024-04-20T00:00:00"/>
    <s v="C0132"/>
    <x v="3"/>
    <s v="P013"/>
    <n v="3"/>
    <n v="0.1"/>
    <x v="0"/>
    <x v="0"/>
    <x v="2"/>
    <n v="150"/>
    <n v="90"/>
    <n v="405"/>
    <n v="270"/>
    <x v="144"/>
    <n v="45"/>
    <x v="17"/>
    <x v="3"/>
    <x v="3"/>
    <x v="2"/>
    <x v="0"/>
    <x v="3"/>
    <x v="0"/>
  </r>
  <r>
    <x v="183"/>
    <d v="2024-04-20T00:00:00"/>
    <s v="C0149"/>
    <x v="3"/>
    <s v="P011"/>
    <n v="1"/>
    <n v="0.15"/>
    <x v="2"/>
    <x v="0"/>
    <x v="0"/>
    <n v="899"/>
    <n v="500"/>
    <n v="764.15"/>
    <n v="500"/>
    <x v="145"/>
    <n v="134.85"/>
    <x v="1"/>
    <x v="0"/>
    <x v="5"/>
    <x v="3"/>
    <x v="0"/>
    <x v="3"/>
    <x v="0"/>
  </r>
  <r>
    <x v="184"/>
    <d v="2024-04-21T00:00:00"/>
    <s v="C0171"/>
    <x v="3"/>
    <s v="P021"/>
    <n v="4"/>
    <n v="0.15"/>
    <x v="0"/>
    <x v="4"/>
    <x v="0"/>
    <n v="1599"/>
    <n v="800"/>
    <n v="5436.6"/>
    <n v="3200"/>
    <x v="146"/>
    <n v="959.4"/>
    <x v="9"/>
    <x v="2"/>
    <x v="2"/>
    <x v="1"/>
    <x v="0"/>
    <x v="3"/>
    <x v="0"/>
  </r>
  <r>
    <x v="185"/>
    <d v="2024-04-22T00:00:00"/>
    <s v="C0055"/>
    <x v="3"/>
    <s v="P014"/>
    <n v="6"/>
    <n v="0"/>
    <x v="0"/>
    <x v="2"/>
    <x v="0"/>
    <n v="220"/>
    <n v="120"/>
    <n v="1320"/>
    <n v="720"/>
    <x v="33"/>
    <n v="0"/>
    <x v="20"/>
    <x v="3"/>
    <x v="5"/>
    <x v="3"/>
    <x v="1"/>
    <x v="3"/>
    <x v="0"/>
  </r>
  <r>
    <x v="186"/>
    <d v="2024-04-23T00:00:00"/>
    <s v="C0034"/>
    <x v="3"/>
    <s v="P019"/>
    <n v="6"/>
    <n v="0.1"/>
    <x v="2"/>
    <x v="3"/>
    <x v="2"/>
    <n v="1199"/>
    <n v="600"/>
    <n v="6474.6"/>
    <n v="3600"/>
    <x v="147"/>
    <n v="719.40000000000009"/>
    <x v="15"/>
    <x v="2"/>
    <x v="1"/>
    <x v="1"/>
    <x v="0"/>
    <x v="3"/>
    <x v="0"/>
  </r>
  <r>
    <x v="187"/>
    <d v="2024-04-23T00:00:00"/>
    <s v="C0161"/>
    <x v="3"/>
    <s v="P004"/>
    <n v="6"/>
    <n v="0"/>
    <x v="2"/>
    <x v="0"/>
    <x v="3"/>
    <n v="1599"/>
    <n v="900"/>
    <n v="9594"/>
    <n v="5400"/>
    <x v="148"/>
    <n v="0"/>
    <x v="21"/>
    <x v="1"/>
    <x v="8"/>
    <x v="4"/>
    <x v="1"/>
    <x v="3"/>
    <x v="0"/>
  </r>
  <r>
    <x v="188"/>
    <d v="2024-04-23T00:00:00"/>
    <s v="C0001"/>
    <x v="3"/>
    <s v="P015"/>
    <n v="5"/>
    <n v="0"/>
    <x v="2"/>
    <x v="1"/>
    <x v="0"/>
    <n v="299"/>
    <n v="180"/>
    <n v="1495"/>
    <n v="900"/>
    <x v="149"/>
    <n v="0"/>
    <x v="8"/>
    <x v="3"/>
    <x v="1"/>
    <x v="1"/>
    <x v="1"/>
    <x v="3"/>
    <x v="0"/>
  </r>
  <r>
    <x v="189"/>
    <d v="2024-04-26T00:00:00"/>
    <s v="C0071"/>
    <x v="3"/>
    <s v="P006"/>
    <n v="1"/>
    <n v="0.1"/>
    <x v="0"/>
    <x v="4"/>
    <x v="0"/>
    <n v="1799"/>
    <n v="1100"/>
    <n v="1619.1"/>
    <n v="1100"/>
    <x v="150"/>
    <n v="179.9"/>
    <x v="14"/>
    <x v="1"/>
    <x v="2"/>
    <x v="1"/>
    <x v="1"/>
    <x v="3"/>
    <x v="0"/>
  </r>
  <r>
    <x v="190"/>
    <d v="2024-04-26T00:00:00"/>
    <s v="C0102"/>
    <x v="3"/>
    <s v="P002"/>
    <n v="3"/>
    <n v="0.1"/>
    <x v="0"/>
    <x v="3"/>
    <x v="0"/>
    <n v="1999"/>
    <n v="1200"/>
    <n v="5397.3"/>
    <n v="3600"/>
    <x v="151"/>
    <n v="599.70000000000005"/>
    <x v="19"/>
    <x v="1"/>
    <x v="13"/>
    <x v="3"/>
    <x v="0"/>
    <x v="3"/>
    <x v="0"/>
  </r>
  <r>
    <x v="191"/>
    <d v="2024-04-26T00:00:00"/>
    <s v="C0001"/>
    <x v="3"/>
    <s v="P004"/>
    <n v="2"/>
    <n v="0.05"/>
    <x v="2"/>
    <x v="2"/>
    <x v="0"/>
    <n v="1599"/>
    <n v="900"/>
    <n v="3038.1"/>
    <n v="1800"/>
    <x v="121"/>
    <n v="159.9"/>
    <x v="21"/>
    <x v="1"/>
    <x v="1"/>
    <x v="1"/>
    <x v="1"/>
    <x v="3"/>
    <x v="0"/>
  </r>
  <r>
    <x v="192"/>
    <d v="2024-04-26T00:00:00"/>
    <s v="C0114"/>
    <x v="3"/>
    <s v="P022"/>
    <n v="1"/>
    <n v="0"/>
    <x v="2"/>
    <x v="0"/>
    <x v="0"/>
    <n v="899"/>
    <n v="450"/>
    <n v="899"/>
    <n v="450"/>
    <x v="152"/>
    <n v="0"/>
    <x v="6"/>
    <x v="2"/>
    <x v="12"/>
    <x v="2"/>
    <x v="2"/>
    <x v="3"/>
    <x v="0"/>
  </r>
  <r>
    <x v="193"/>
    <d v="2024-04-26T00:00:00"/>
    <s v="C0123"/>
    <x v="3"/>
    <s v="P005"/>
    <n v="1"/>
    <n v="0"/>
    <x v="2"/>
    <x v="3"/>
    <x v="0"/>
    <n v="1299"/>
    <n v="800"/>
    <n v="1299"/>
    <n v="800"/>
    <x v="17"/>
    <n v="0"/>
    <x v="12"/>
    <x v="1"/>
    <x v="4"/>
    <x v="3"/>
    <x v="1"/>
    <x v="3"/>
    <x v="0"/>
  </r>
  <r>
    <x v="194"/>
    <d v="2024-04-27T00:00:00"/>
    <s v="C0095"/>
    <x v="3"/>
    <s v="P011"/>
    <n v="3"/>
    <n v="0"/>
    <x v="2"/>
    <x v="4"/>
    <x v="0"/>
    <n v="899"/>
    <n v="500"/>
    <n v="2697"/>
    <n v="1500"/>
    <x v="153"/>
    <n v="0"/>
    <x v="1"/>
    <x v="0"/>
    <x v="11"/>
    <x v="3"/>
    <x v="1"/>
    <x v="3"/>
    <x v="0"/>
  </r>
  <r>
    <x v="195"/>
    <d v="2024-04-27T00:00:00"/>
    <s v="C0136"/>
    <x v="3"/>
    <s v="P003"/>
    <n v="1"/>
    <n v="0.05"/>
    <x v="0"/>
    <x v="4"/>
    <x v="0"/>
    <n v="599"/>
    <n v="350"/>
    <n v="569.04999999999995"/>
    <n v="350"/>
    <x v="154"/>
    <n v="29.950000000000003"/>
    <x v="2"/>
    <x v="1"/>
    <x v="12"/>
    <x v="2"/>
    <x v="0"/>
    <x v="3"/>
    <x v="0"/>
  </r>
  <r>
    <x v="196"/>
    <d v="2024-04-27T00:00:00"/>
    <s v="C0192"/>
    <x v="3"/>
    <s v="P021"/>
    <n v="2"/>
    <n v="0.15"/>
    <x v="0"/>
    <x v="4"/>
    <x v="0"/>
    <n v="1599"/>
    <n v="800"/>
    <n v="2718.3"/>
    <n v="1600"/>
    <x v="155"/>
    <n v="479.7"/>
    <x v="9"/>
    <x v="2"/>
    <x v="10"/>
    <x v="2"/>
    <x v="0"/>
    <x v="3"/>
    <x v="0"/>
  </r>
  <r>
    <x v="197"/>
    <d v="2024-04-27T00:00:00"/>
    <s v="C0026"/>
    <x v="3"/>
    <s v="P003"/>
    <n v="2"/>
    <n v="0.1"/>
    <x v="0"/>
    <x v="1"/>
    <x v="0"/>
    <n v="599"/>
    <n v="350"/>
    <n v="1078.2"/>
    <n v="700"/>
    <x v="156"/>
    <n v="119.80000000000001"/>
    <x v="2"/>
    <x v="1"/>
    <x v="0"/>
    <x v="0"/>
    <x v="0"/>
    <x v="3"/>
    <x v="0"/>
  </r>
  <r>
    <x v="198"/>
    <d v="2024-04-27T00:00:00"/>
    <s v="C0081"/>
    <x v="3"/>
    <s v="P014"/>
    <n v="2"/>
    <n v="0"/>
    <x v="2"/>
    <x v="2"/>
    <x v="0"/>
    <n v="220"/>
    <n v="120"/>
    <n v="440"/>
    <n v="240"/>
    <x v="88"/>
    <n v="0"/>
    <x v="20"/>
    <x v="3"/>
    <x v="12"/>
    <x v="2"/>
    <x v="2"/>
    <x v="3"/>
    <x v="0"/>
  </r>
  <r>
    <x v="199"/>
    <d v="2024-04-28T00:00:00"/>
    <s v="C0154"/>
    <x v="3"/>
    <s v="P020"/>
    <n v="3"/>
    <n v="0.1"/>
    <x v="1"/>
    <x v="1"/>
    <x v="0"/>
    <n v="1799"/>
    <n v="900"/>
    <n v="4857.3"/>
    <n v="2700"/>
    <x v="157"/>
    <n v="539.70000000000005"/>
    <x v="4"/>
    <x v="2"/>
    <x v="2"/>
    <x v="0"/>
    <x v="1"/>
    <x v="3"/>
    <x v="0"/>
  </r>
  <r>
    <x v="200"/>
    <d v="2024-04-28T00:00:00"/>
    <s v="C0133"/>
    <x v="3"/>
    <s v="P007"/>
    <n v="10"/>
    <n v="0"/>
    <x v="1"/>
    <x v="3"/>
    <x v="0"/>
    <n v="5499"/>
    <n v="3500"/>
    <n v="54990"/>
    <n v="35000"/>
    <x v="92"/>
    <n v="0"/>
    <x v="11"/>
    <x v="0"/>
    <x v="8"/>
    <x v="4"/>
    <x v="1"/>
    <x v="3"/>
    <x v="0"/>
  </r>
  <r>
    <x v="201"/>
    <d v="2024-04-29T00:00:00"/>
    <s v="C0127"/>
    <x v="3"/>
    <s v="P008"/>
    <n v="5"/>
    <n v="0"/>
    <x v="1"/>
    <x v="3"/>
    <x v="0"/>
    <n v="6499"/>
    <n v="4200"/>
    <n v="32495"/>
    <n v="21000"/>
    <x v="158"/>
    <n v="0"/>
    <x v="13"/>
    <x v="0"/>
    <x v="2"/>
    <x v="1"/>
    <x v="1"/>
    <x v="3"/>
    <x v="0"/>
  </r>
  <r>
    <x v="202"/>
    <d v="2024-04-30T00:00:00"/>
    <s v="C0004"/>
    <x v="3"/>
    <s v="P017"/>
    <n v="4"/>
    <n v="0.15"/>
    <x v="1"/>
    <x v="0"/>
    <x v="0"/>
    <n v="449"/>
    <n v="260"/>
    <n v="1526.6"/>
    <n v="1040"/>
    <x v="159"/>
    <n v="269.39999999999998"/>
    <x v="10"/>
    <x v="3"/>
    <x v="1"/>
    <x v="1"/>
    <x v="1"/>
    <x v="3"/>
    <x v="0"/>
  </r>
  <r>
    <x v="203"/>
    <d v="2024-05-01T00:00:00"/>
    <s v="C0140"/>
    <x v="4"/>
    <s v="P012"/>
    <n v="2"/>
    <n v="0.1"/>
    <x v="2"/>
    <x v="3"/>
    <x v="3"/>
    <n v="320"/>
    <n v="220"/>
    <n v="576"/>
    <n v="440"/>
    <x v="30"/>
    <n v="64"/>
    <x v="5"/>
    <x v="3"/>
    <x v="12"/>
    <x v="2"/>
    <x v="2"/>
    <x v="4"/>
    <x v="0"/>
  </r>
  <r>
    <x v="204"/>
    <d v="2024-05-02T00:00:00"/>
    <s v="C0018"/>
    <x v="4"/>
    <s v="P019"/>
    <n v="1"/>
    <n v="0"/>
    <x v="2"/>
    <x v="0"/>
    <x v="0"/>
    <n v="1199"/>
    <n v="600"/>
    <n v="1199"/>
    <n v="600"/>
    <x v="25"/>
    <n v="0"/>
    <x v="15"/>
    <x v="2"/>
    <x v="7"/>
    <x v="4"/>
    <x v="0"/>
    <x v="4"/>
    <x v="0"/>
  </r>
  <r>
    <x v="205"/>
    <d v="2024-05-04T00:00:00"/>
    <s v="C0074"/>
    <x v="4"/>
    <s v="P017"/>
    <n v="10"/>
    <n v="0.1"/>
    <x v="0"/>
    <x v="3"/>
    <x v="0"/>
    <n v="449"/>
    <n v="260"/>
    <n v="4041"/>
    <n v="2600"/>
    <x v="160"/>
    <n v="449"/>
    <x v="10"/>
    <x v="3"/>
    <x v="0"/>
    <x v="0"/>
    <x v="0"/>
    <x v="4"/>
    <x v="0"/>
  </r>
  <r>
    <x v="206"/>
    <d v="2024-05-04T00:00:00"/>
    <s v="C0138"/>
    <x v="4"/>
    <s v="P021"/>
    <n v="10"/>
    <n v="0.05"/>
    <x v="0"/>
    <x v="3"/>
    <x v="0"/>
    <n v="1599"/>
    <n v="800"/>
    <n v="15190.5"/>
    <n v="8000"/>
    <x v="161"/>
    <n v="799.5"/>
    <x v="9"/>
    <x v="2"/>
    <x v="12"/>
    <x v="2"/>
    <x v="1"/>
    <x v="4"/>
    <x v="0"/>
  </r>
  <r>
    <x v="207"/>
    <d v="2024-05-05T00:00:00"/>
    <s v="C0053"/>
    <x v="4"/>
    <s v="P017"/>
    <n v="2"/>
    <n v="0.05"/>
    <x v="1"/>
    <x v="3"/>
    <x v="0"/>
    <n v="449"/>
    <n v="260"/>
    <n v="853.1"/>
    <n v="520"/>
    <x v="162"/>
    <n v="44.900000000000006"/>
    <x v="10"/>
    <x v="3"/>
    <x v="0"/>
    <x v="0"/>
    <x v="1"/>
    <x v="4"/>
    <x v="0"/>
  </r>
  <r>
    <x v="208"/>
    <d v="2024-05-05T00:00:00"/>
    <s v="C0179"/>
    <x v="4"/>
    <s v="P010"/>
    <n v="5"/>
    <n v="0.1"/>
    <x v="2"/>
    <x v="4"/>
    <x v="0"/>
    <n v="4599"/>
    <n v="3000"/>
    <n v="20695.5"/>
    <n v="15000"/>
    <x v="163"/>
    <n v="2299.5"/>
    <x v="3"/>
    <x v="0"/>
    <x v="5"/>
    <x v="3"/>
    <x v="2"/>
    <x v="4"/>
    <x v="0"/>
  </r>
  <r>
    <x v="209"/>
    <d v="2024-05-06T00:00:00"/>
    <s v="C0112"/>
    <x v="4"/>
    <s v="P003"/>
    <n v="1"/>
    <n v="0.05"/>
    <x v="0"/>
    <x v="4"/>
    <x v="0"/>
    <n v="599"/>
    <n v="350"/>
    <n v="569.04999999999995"/>
    <n v="350"/>
    <x v="154"/>
    <n v="29.950000000000003"/>
    <x v="2"/>
    <x v="1"/>
    <x v="7"/>
    <x v="4"/>
    <x v="0"/>
    <x v="4"/>
    <x v="0"/>
  </r>
  <r>
    <x v="210"/>
    <d v="2024-05-07T00:00:00"/>
    <s v="C0004"/>
    <x v="4"/>
    <s v="P004"/>
    <n v="2"/>
    <n v="0.1"/>
    <x v="0"/>
    <x v="2"/>
    <x v="0"/>
    <n v="1599"/>
    <n v="900"/>
    <n v="2878.2"/>
    <n v="1800"/>
    <x v="74"/>
    <n v="319.8"/>
    <x v="21"/>
    <x v="1"/>
    <x v="1"/>
    <x v="1"/>
    <x v="1"/>
    <x v="4"/>
    <x v="0"/>
  </r>
  <r>
    <x v="211"/>
    <d v="2024-05-07T00:00:00"/>
    <s v="C0185"/>
    <x v="4"/>
    <s v="P017"/>
    <n v="3"/>
    <n v="0"/>
    <x v="0"/>
    <x v="3"/>
    <x v="0"/>
    <n v="449"/>
    <n v="260"/>
    <n v="1347"/>
    <n v="780"/>
    <x v="21"/>
    <n v="0"/>
    <x v="10"/>
    <x v="3"/>
    <x v="3"/>
    <x v="2"/>
    <x v="0"/>
    <x v="4"/>
    <x v="0"/>
  </r>
  <r>
    <x v="212"/>
    <d v="2024-05-08T00:00:00"/>
    <s v="C0086"/>
    <x v="4"/>
    <s v="P001"/>
    <n v="5"/>
    <n v="0"/>
    <x v="1"/>
    <x v="2"/>
    <x v="0"/>
    <n v="700"/>
    <n v="450"/>
    <n v="3500"/>
    <n v="2250"/>
    <x v="164"/>
    <n v="0"/>
    <x v="7"/>
    <x v="1"/>
    <x v="1"/>
    <x v="1"/>
    <x v="0"/>
    <x v="4"/>
    <x v="0"/>
  </r>
  <r>
    <x v="213"/>
    <d v="2024-05-09T00:00:00"/>
    <s v="C0020"/>
    <x v="4"/>
    <s v="P021"/>
    <n v="6"/>
    <n v="0.05"/>
    <x v="0"/>
    <x v="2"/>
    <x v="0"/>
    <n v="1599"/>
    <n v="800"/>
    <n v="9114.2999999999993"/>
    <n v="4800"/>
    <x v="165"/>
    <n v="479.70000000000005"/>
    <x v="9"/>
    <x v="2"/>
    <x v="7"/>
    <x v="4"/>
    <x v="0"/>
    <x v="4"/>
    <x v="0"/>
  </r>
  <r>
    <x v="214"/>
    <d v="2024-05-09T00:00:00"/>
    <s v="C0095"/>
    <x v="4"/>
    <s v="P006"/>
    <n v="2"/>
    <n v="0"/>
    <x v="1"/>
    <x v="3"/>
    <x v="0"/>
    <n v="1799"/>
    <n v="1100"/>
    <n v="3598"/>
    <n v="2200"/>
    <x v="138"/>
    <n v="0"/>
    <x v="14"/>
    <x v="1"/>
    <x v="11"/>
    <x v="3"/>
    <x v="1"/>
    <x v="4"/>
    <x v="0"/>
  </r>
  <r>
    <x v="215"/>
    <d v="2024-05-09T00:00:00"/>
    <s v="C0190"/>
    <x v="4"/>
    <s v="P008"/>
    <n v="10"/>
    <n v="0"/>
    <x v="2"/>
    <x v="4"/>
    <x v="0"/>
    <n v="6499"/>
    <n v="4200"/>
    <n v="64990"/>
    <n v="42000"/>
    <x v="115"/>
    <n v="0"/>
    <x v="13"/>
    <x v="0"/>
    <x v="8"/>
    <x v="4"/>
    <x v="0"/>
    <x v="4"/>
    <x v="0"/>
  </r>
  <r>
    <x v="216"/>
    <d v="2024-05-09T00:00:00"/>
    <s v="C0121"/>
    <x v="4"/>
    <s v="P002"/>
    <n v="4"/>
    <n v="0"/>
    <x v="2"/>
    <x v="2"/>
    <x v="0"/>
    <n v="1999"/>
    <n v="1200"/>
    <n v="7996"/>
    <n v="4800"/>
    <x v="166"/>
    <n v="0"/>
    <x v="19"/>
    <x v="1"/>
    <x v="0"/>
    <x v="0"/>
    <x v="1"/>
    <x v="4"/>
    <x v="0"/>
  </r>
  <r>
    <x v="217"/>
    <d v="2024-05-09T00:00:00"/>
    <s v="C0108"/>
    <x v="4"/>
    <s v="P021"/>
    <n v="2"/>
    <n v="0"/>
    <x v="1"/>
    <x v="1"/>
    <x v="0"/>
    <n v="1599"/>
    <n v="800"/>
    <n v="3198"/>
    <n v="1600"/>
    <x v="119"/>
    <n v="0"/>
    <x v="9"/>
    <x v="2"/>
    <x v="4"/>
    <x v="3"/>
    <x v="2"/>
    <x v="4"/>
    <x v="0"/>
  </r>
  <r>
    <x v="218"/>
    <d v="2024-05-10T00:00:00"/>
    <s v="C0020"/>
    <x v="4"/>
    <s v="P009"/>
    <n v="4"/>
    <n v="0"/>
    <x v="2"/>
    <x v="4"/>
    <x v="0"/>
    <n v="4299"/>
    <n v="2800"/>
    <n v="17196"/>
    <n v="11200"/>
    <x v="167"/>
    <n v="0"/>
    <x v="0"/>
    <x v="0"/>
    <x v="7"/>
    <x v="4"/>
    <x v="0"/>
    <x v="4"/>
    <x v="0"/>
  </r>
  <r>
    <x v="219"/>
    <d v="2024-05-12T00:00:00"/>
    <s v="C0133"/>
    <x v="4"/>
    <s v="P008"/>
    <n v="1"/>
    <n v="0.2"/>
    <x v="0"/>
    <x v="1"/>
    <x v="0"/>
    <n v="6499"/>
    <n v="4200"/>
    <n v="5199.2"/>
    <n v="4200"/>
    <x v="168"/>
    <n v="1299.8000000000002"/>
    <x v="13"/>
    <x v="0"/>
    <x v="8"/>
    <x v="4"/>
    <x v="1"/>
    <x v="4"/>
    <x v="0"/>
  </r>
  <r>
    <x v="220"/>
    <d v="2024-05-12T00:00:00"/>
    <s v="C0084"/>
    <x v="4"/>
    <s v="P010"/>
    <n v="1"/>
    <n v="0.05"/>
    <x v="2"/>
    <x v="1"/>
    <x v="0"/>
    <n v="4599"/>
    <n v="3000"/>
    <n v="4369.05"/>
    <n v="3000"/>
    <x v="169"/>
    <n v="229.95000000000002"/>
    <x v="3"/>
    <x v="0"/>
    <x v="12"/>
    <x v="2"/>
    <x v="0"/>
    <x v="4"/>
    <x v="0"/>
  </r>
  <r>
    <x v="221"/>
    <d v="2024-05-13T00:00:00"/>
    <s v="C0078"/>
    <x v="4"/>
    <s v="P019"/>
    <n v="2"/>
    <n v="0.05"/>
    <x v="0"/>
    <x v="4"/>
    <x v="0"/>
    <n v="1199"/>
    <n v="600"/>
    <n v="2278.1"/>
    <n v="1200"/>
    <x v="170"/>
    <n v="119.9"/>
    <x v="15"/>
    <x v="2"/>
    <x v="2"/>
    <x v="1"/>
    <x v="1"/>
    <x v="4"/>
    <x v="0"/>
  </r>
  <r>
    <x v="222"/>
    <d v="2024-05-13T00:00:00"/>
    <s v="C0195"/>
    <x v="4"/>
    <s v="P018"/>
    <n v="2"/>
    <n v="0"/>
    <x v="2"/>
    <x v="4"/>
    <x v="3"/>
    <n v="499"/>
    <n v="250"/>
    <n v="998"/>
    <n v="500"/>
    <x v="38"/>
    <n v="0"/>
    <x v="18"/>
    <x v="2"/>
    <x v="10"/>
    <x v="2"/>
    <x v="1"/>
    <x v="4"/>
    <x v="0"/>
  </r>
  <r>
    <x v="223"/>
    <d v="2024-05-14T00:00:00"/>
    <s v="C0089"/>
    <x v="4"/>
    <s v="P018"/>
    <n v="1"/>
    <n v="0.2"/>
    <x v="1"/>
    <x v="0"/>
    <x v="0"/>
    <n v="499"/>
    <n v="250"/>
    <n v="399.2"/>
    <n v="250"/>
    <x v="171"/>
    <n v="99.800000000000011"/>
    <x v="18"/>
    <x v="2"/>
    <x v="7"/>
    <x v="4"/>
    <x v="1"/>
    <x v="4"/>
    <x v="0"/>
  </r>
  <r>
    <x v="224"/>
    <d v="2024-05-14T00:00:00"/>
    <s v="C0027"/>
    <x v="4"/>
    <s v="P010"/>
    <n v="2"/>
    <n v="0.05"/>
    <x v="0"/>
    <x v="3"/>
    <x v="0"/>
    <n v="4599"/>
    <n v="3000"/>
    <n v="8738.1"/>
    <n v="6000"/>
    <x v="172"/>
    <n v="459.90000000000003"/>
    <x v="3"/>
    <x v="0"/>
    <x v="11"/>
    <x v="3"/>
    <x v="1"/>
    <x v="4"/>
    <x v="0"/>
  </r>
  <r>
    <x v="225"/>
    <d v="2024-05-14T00:00:00"/>
    <s v="C0183"/>
    <x v="4"/>
    <s v="P005"/>
    <n v="3"/>
    <n v="0"/>
    <x v="1"/>
    <x v="0"/>
    <x v="3"/>
    <n v="1299"/>
    <n v="800"/>
    <n v="3897"/>
    <n v="2400"/>
    <x v="85"/>
    <n v="0"/>
    <x v="12"/>
    <x v="1"/>
    <x v="0"/>
    <x v="0"/>
    <x v="2"/>
    <x v="4"/>
    <x v="0"/>
  </r>
  <r>
    <x v="226"/>
    <d v="2024-05-14T00:00:00"/>
    <s v="C0118"/>
    <x v="4"/>
    <s v="P012"/>
    <n v="1"/>
    <n v="0.05"/>
    <x v="1"/>
    <x v="0"/>
    <x v="0"/>
    <n v="320"/>
    <n v="220"/>
    <n v="304"/>
    <n v="220"/>
    <x v="8"/>
    <n v="16"/>
    <x v="5"/>
    <x v="3"/>
    <x v="13"/>
    <x v="3"/>
    <x v="0"/>
    <x v="4"/>
    <x v="0"/>
  </r>
  <r>
    <x v="227"/>
    <d v="2024-05-15T00:00:00"/>
    <s v="C0152"/>
    <x v="4"/>
    <s v="P003"/>
    <n v="1"/>
    <n v="0.05"/>
    <x v="2"/>
    <x v="1"/>
    <x v="3"/>
    <n v="599"/>
    <n v="350"/>
    <n v="569.04999999999995"/>
    <n v="350"/>
    <x v="154"/>
    <n v="29.950000000000003"/>
    <x v="2"/>
    <x v="1"/>
    <x v="11"/>
    <x v="3"/>
    <x v="1"/>
    <x v="4"/>
    <x v="0"/>
  </r>
  <r>
    <x v="228"/>
    <d v="2024-05-16T00:00:00"/>
    <s v="C0081"/>
    <x v="4"/>
    <s v="P009"/>
    <n v="5"/>
    <n v="0.1"/>
    <x v="0"/>
    <x v="0"/>
    <x v="0"/>
    <n v="4299"/>
    <n v="2800"/>
    <n v="19345.5"/>
    <n v="14000"/>
    <x v="173"/>
    <n v="2149.5"/>
    <x v="0"/>
    <x v="0"/>
    <x v="12"/>
    <x v="2"/>
    <x v="2"/>
    <x v="4"/>
    <x v="0"/>
  </r>
  <r>
    <x v="229"/>
    <d v="2024-05-18T00:00:00"/>
    <s v="C0060"/>
    <x v="4"/>
    <s v="P009"/>
    <n v="1"/>
    <n v="0.15"/>
    <x v="1"/>
    <x v="3"/>
    <x v="0"/>
    <n v="4299"/>
    <n v="2800"/>
    <n v="3654.15"/>
    <n v="2800"/>
    <x v="174"/>
    <n v="644.85"/>
    <x v="0"/>
    <x v="0"/>
    <x v="1"/>
    <x v="1"/>
    <x v="2"/>
    <x v="4"/>
    <x v="0"/>
  </r>
  <r>
    <x v="230"/>
    <d v="2024-05-18T00:00:00"/>
    <s v="C0028"/>
    <x v="4"/>
    <s v="P005"/>
    <n v="2"/>
    <n v="0.05"/>
    <x v="2"/>
    <x v="2"/>
    <x v="0"/>
    <n v="1299"/>
    <n v="800"/>
    <n v="2468.1"/>
    <n v="1600"/>
    <x v="175"/>
    <n v="129.9"/>
    <x v="12"/>
    <x v="1"/>
    <x v="1"/>
    <x v="1"/>
    <x v="1"/>
    <x v="4"/>
    <x v="0"/>
  </r>
  <r>
    <x v="231"/>
    <d v="2024-05-19T00:00:00"/>
    <s v="C0198"/>
    <x v="4"/>
    <s v="P012"/>
    <n v="2"/>
    <n v="0.05"/>
    <x v="2"/>
    <x v="3"/>
    <x v="0"/>
    <n v="320"/>
    <n v="220"/>
    <n v="608"/>
    <n v="440"/>
    <x v="130"/>
    <n v="32"/>
    <x v="5"/>
    <x v="3"/>
    <x v="8"/>
    <x v="4"/>
    <x v="0"/>
    <x v="4"/>
    <x v="0"/>
  </r>
  <r>
    <x v="232"/>
    <d v="2024-05-20T00:00:00"/>
    <s v="C0176"/>
    <x v="4"/>
    <s v="P006"/>
    <n v="3"/>
    <n v="0.1"/>
    <x v="2"/>
    <x v="4"/>
    <x v="0"/>
    <n v="1799"/>
    <n v="1100"/>
    <n v="4857.3"/>
    <n v="3300"/>
    <x v="176"/>
    <n v="539.70000000000005"/>
    <x v="14"/>
    <x v="1"/>
    <x v="0"/>
    <x v="0"/>
    <x v="1"/>
    <x v="4"/>
    <x v="0"/>
  </r>
  <r>
    <x v="233"/>
    <d v="2024-05-20T00:00:00"/>
    <s v="C0038"/>
    <x v="4"/>
    <s v="P011"/>
    <n v="1"/>
    <n v="0.1"/>
    <x v="0"/>
    <x v="2"/>
    <x v="3"/>
    <n v="899"/>
    <n v="500"/>
    <n v="809.1"/>
    <n v="500"/>
    <x v="177"/>
    <n v="89.9"/>
    <x v="1"/>
    <x v="0"/>
    <x v="1"/>
    <x v="1"/>
    <x v="1"/>
    <x v="4"/>
    <x v="0"/>
  </r>
  <r>
    <x v="234"/>
    <d v="2024-05-20T00:00:00"/>
    <s v="C0174"/>
    <x v="4"/>
    <s v="P002"/>
    <n v="3"/>
    <n v="0"/>
    <x v="2"/>
    <x v="0"/>
    <x v="1"/>
    <n v="1999"/>
    <n v="1200"/>
    <n v="5997"/>
    <n v="3600"/>
    <x v="178"/>
    <n v="0"/>
    <x v="19"/>
    <x v="1"/>
    <x v="0"/>
    <x v="0"/>
    <x v="0"/>
    <x v="4"/>
    <x v="0"/>
  </r>
  <r>
    <x v="235"/>
    <d v="2024-05-20T00:00:00"/>
    <s v="C0143"/>
    <x v="4"/>
    <s v="P015"/>
    <n v="10"/>
    <n v="0"/>
    <x v="2"/>
    <x v="3"/>
    <x v="0"/>
    <n v="299"/>
    <n v="180"/>
    <n v="2990"/>
    <n v="1800"/>
    <x v="19"/>
    <n v="0"/>
    <x v="8"/>
    <x v="3"/>
    <x v="7"/>
    <x v="4"/>
    <x v="0"/>
    <x v="4"/>
    <x v="0"/>
  </r>
  <r>
    <x v="236"/>
    <d v="2024-05-21T00:00:00"/>
    <s v="C0016"/>
    <x v="4"/>
    <s v="P001"/>
    <n v="2"/>
    <n v="0"/>
    <x v="0"/>
    <x v="3"/>
    <x v="0"/>
    <n v="700"/>
    <n v="450"/>
    <n v="1400"/>
    <n v="900"/>
    <x v="5"/>
    <n v="0"/>
    <x v="7"/>
    <x v="1"/>
    <x v="1"/>
    <x v="1"/>
    <x v="1"/>
    <x v="4"/>
    <x v="0"/>
  </r>
  <r>
    <x v="237"/>
    <d v="2024-05-22T00:00:00"/>
    <s v="C0151"/>
    <x v="4"/>
    <s v="P019"/>
    <n v="3"/>
    <n v="0.15"/>
    <x v="2"/>
    <x v="4"/>
    <x v="0"/>
    <n v="1199"/>
    <n v="600"/>
    <n v="3057.45"/>
    <n v="1800"/>
    <x v="179"/>
    <n v="539.54999999999995"/>
    <x v="15"/>
    <x v="2"/>
    <x v="0"/>
    <x v="0"/>
    <x v="1"/>
    <x v="4"/>
    <x v="0"/>
  </r>
  <r>
    <x v="238"/>
    <d v="2024-05-23T00:00:00"/>
    <s v="C0114"/>
    <x v="4"/>
    <s v="P021"/>
    <n v="2"/>
    <n v="0"/>
    <x v="0"/>
    <x v="3"/>
    <x v="0"/>
    <n v="1599"/>
    <n v="800"/>
    <n v="3198"/>
    <n v="1600"/>
    <x v="119"/>
    <n v="0"/>
    <x v="9"/>
    <x v="2"/>
    <x v="12"/>
    <x v="2"/>
    <x v="2"/>
    <x v="4"/>
    <x v="0"/>
  </r>
  <r>
    <x v="239"/>
    <d v="2024-05-24T00:00:00"/>
    <s v="C0119"/>
    <x v="4"/>
    <s v="P002"/>
    <n v="1"/>
    <n v="0"/>
    <x v="1"/>
    <x v="0"/>
    <x v="0"/>
    <n v="1999"/>
    <n v="1200"/>
    <n v="1999"/>
    <n v="1200"/>
    <x v="57"/>
    <n v="0"/>
    <x v="19"/>
    <x v="1"/>
    <x v="1"/>
    <x v="1"/>
    <x v="1"/>
    <x v="4"/>
    <x v="0"/>
  </r>
  <r>
    <x v="240"/>
    <d v="2024-05-24T00:00:00"/>
    <s v="C0008"/>
    <x v="4"/>
    <s v="P016"/>
    <n v="5"/>
    <n v="0.1"/>
    <x v="2"/>
    <x v="4"/>
    <x v="0"/>
    <n v="240"/>
    <n v="140"/>
    <n v="1080"/>
    <n v="700"/>
    <x v="180"/>
    <n v="120"/>
    <x v="16"/>
    <x v="3"/>
    <x v="5"/>
    <x v="3"/>
    <x v="1"/>
    <x v="4"/>
    <x v="0"/>
  </r>
  <r>
    <x v="241"/>
    <d v="2024-05-25T00:00:00"/>
    <s v="C0072"/>
    <x v="4"/>
    <s v="P009"/>
    <n v="6"/>
    <n v="0.15"/>
    <x v="1"/>
    <x v="2"/>
    <x v="0"/>
    <n v="4299"/>
    <n v="2800"/>
    <n v="21924.9"/>
    <n v="16800"/>
    <x v="181"/>
    <n v="3869.1"/>
    <x v="0"/>
    <x v="0"/>
    <x v="2"/>
    <x v="1"/>
    <x v="1"/>
    <x v="4"/>
    <x v="0"/>
  </r>
  <r>
    <x v="242"/>
    <d v="2024-05-25T00:00:00"/>
    <s v="C0166"/>
    <x v="4"/>
    <s v="P008"/>
    <n v="3"/>
    <n v="0.05"/>
    <x v="0"/>
    <x v="3"/>
    <x v="2"/>
    <n v="6499"/>
    <n v="4200"/>
    <n v="18522.150000000001"/>
    <n v="12600"/>
    <x v="182"/>
    <n v="974.85"/>
    <x v="13"/>
    <x v="0"/>
    <x v="1"/>
    <x v="1"/>
    <x v="1"/>
    <x v="4"/>
    <x v="0"/>
  </r>
  <r>
    <x v="243"/>
    <d v="2024-05-26T00:00:00"/>
    <s v="C0072"/>
    <x v="4"/>
    <s v="P003"/>
    <n v="5"/>
    <n v="0"/>
    <x v="1"/>
    <x v="4"/>
    <x v="0"/>
    <n v="599"/>
    <n v="350"/>
    <n v="2995"/>
    <n v="1750"/>
    <x v="2"/>
    <n v="0"/>
    <x v="2"/>
    <x v="1"/>
    <x v="2"/>
    <x v="1"/>
    <x v="1"/>
    <x v="4"/>
    <x v="0"/>
  </r>
  <r>
    <x v="244"/>
    <d v="2024-05-26T00:00:00"/>
    <s v="C0140"/>
    <x v="4"/>
    <s v="P021"/>
    <n v="1"/>
    <n v="0.2"/>
    <x v="0"/>
    <x v="0"/>
    <x v="0"/>
    <n v="1599"/>
    <n v="800"/>
    <n v="1279.2"/>
    <n v="800"/>
    <x v="183"/>
    <n v="319.8"/>
    <x v="9"/>
    <x v="2"/>
    <x v="12"/>
    <x v="2"/>
    <x v="2"/>
    <x v="4"/>
    <x v="0"/>
  </r>
  <r>
    <x v="245"/>
    <d v="2024-05-27T00:00:00"/>
    <s v="C0125"/>
    <x v="4"/>
    <s v="P018"/>
    <n v="4"/>
    <n v="0.15"/>
    <x v="0"/>
    <x v="1"/>
    <x v="0"/>
    <n v="499"/>
    <n v="250"/>
    <n v="1696.6"/>
    <n v="1000"/>
    <x v="184"/>
    <n v="299.39999999999998"/>
    <x v="18"/>
    <x v="2"/>
    <x v="2"/>
    <x v="0"/>
    <x v="1"/>
    <x v="4"/>
    <x v="0"/>
  </r>
  <r>
    <x v="246"/>
    <d v="2024-05-27T00:00:00"/>
    <s v="C0007"/>
    <x v="4"/>
    <s v="P006"/>
    <n v="4"/>
    <n v="0.05"/>
    <x v="0"/>
    <x v="3"/>
    <x v="0"/>
    <n v="1799"/>
    <n v="1100"/>
    <n v="6836.2"/>
    <n v="4400"/>
    <x v="185"/>
    <n v="359.8"/>
    <x v="14"/>
    <x v="1"/>
    <x v="7"/>
    <x v="4"/>
    <x v="0"/>
    <x v="4"/>
    <x v="0"/>
  </r>
  <r>
    <x v="247"/>
    <d v="2024-05-28T00:00:00"/>
    <s v="C0136"/>
    <x v="4"/>
    <s v="P016"/>
    <n v="4"/>
    <n v="0.1"/>
    <x v="2"/>
    <x v="3"/>
    <x v="1"/>
    <n v="240"/>
    <n v="140"/>
    <n v="864"/>
    <n v="560"/>
    <x v="186"/>
    <n v="96"/>
    <x v="16"/>
    <x v="3"/>
    <x v="12"/>
    <x v="2"/>
    <x v="0"/>
    <x v="4"/>
    <x v="0"/>
  </r>
  <r>
    <x v="248"/>
    <d v="2024-05-28T00:00:00"/>
    <s v="C0169"/>
    <x v="4"/>
    <s v="P008"/>
    <n v="2"/>
    <n v="0"/>
    <x v="1"/>
    <x v="3"/>
    <x v="0"/>
    <n v="6499"/>
    <n v="4200"/>
    <n v="12998"/>
    <n v="8400"/>
    <x v="187"/>
    <n v="0"/>
    <x v="13"/>
    <x v="0"/>
    <x v="3"/>
    <x v="2"/>
    <x v="1"/>
    <x v="4"/>
    <x v="0"/>
  </r>
  <r>
    <x v="249"/>
    <d v="2024-05-29T00:00:00"/>
    <s v="C0148"/>
    <x v="4"/>
    <s v="P008"/>
    <n v="5"/>
    <n v="0"/>
    <x v="2"/>
    <x v="4"/>
    <x v="0"/>
    <n v="6499"/>
    <n v="4200"/>
    <n v="32495"/>
    <n v="21000"/>
    <x v="158"/>
    <n v="0"/>
    <x v="13"/>
    <x v="0"/>
    <x v="5"/>
    <x v="3"/>
    <x v="1"/>
    <x v="4"/>
    <x v="0"/>
  </r>
  <r>
    <x v="250"/>
    <d v="2024-05-29T00:00:00"/>
    <s v="C0152"/>
    <x v="4"/>
    <s v="P008"/>
    <n v="4"/>
    <n v="0.1"/>
    <x v="1"/>
    <x v="3"/>
    <x v="0"/>
    <n v="6499"/>
    <n v="4200"/>
    <n v="23396.400000000001"/>
    <n v="16800"/>
    <x v="188"/>
    <n v="2599.6000000000004"/>
    <x v="13"/>
    <x v="0"/>
    <x v="11"/>
    <x v="3"/>
    <x v="1"/>
    <x v="4"/>
    <x v="0"/>
  </r>
  <r>
    <x v="251"/>
    <d v="2024-05-29T00:00:00"/>
    <s v="C0146"/>
    <x v="4"/>
    <s v="P012"/>
    <n v="2"/>
    <n v="0.05"/>
    <x v="0"/>
    <x v="2"/>
    <x v="0"/>
    <n v="320"/>
    <n v="220"/>
    <n v="608"/>
    <n v="440"/>
    <x v="130"/>
    <n v="32"/>
    <x v="5"/>
    <x v="3"/>
    <x v="0"/>
    <x v="0"/>
    <x v="1"/>
    <x v="4"/>
    <x v="0"/>
  </r>
  <r>
    <x v="252"/>
    <d v="2024-05-30T00:00:00"/>
    <s v="C0045"/>
    <x v="4"/>
    <s v="P010"/>
    <n v="6"/>
    <n v="0"/>
    <x v="1"/>
    <x v="4"/>
    <x v="0"/>
    <n v="4599"/>
    <n v="3000"/>
    <n v="27594"/>
    <n v="18000"/>
    <x v="116"/>
    <n v="0"/>
    <x v="3"/>
    <x v="0"/>
    <x v="8"/>
    <x v="4"/>
    <x v="2"/>
    <x v="4"/>
    <x v="0"/>
  </r>
  <r>
    <x v="253"/>
    <d v="2024-05-31T00:00:00"/>
    <s v="C0135"/>
    <x v="4"/>
    <s v="P001"/>
    <n v="6"/>
    <n v="0"/>
    <x v="2"/>
    <x v="4"/>
    <x v="2"/>
    <n v="700"/>
    <n v="450"/>
    <n v="4200"/>
    <n v="2700"/>
    <x v="7"/>
    <n v="0"/>
    <x v="7"/>
    <x v="1"/>
    <x v="1"/>
    <x v="1"/>
    <x v="1"/>
    <x v="4"/>
    <x v="0"/>
  </r>
  <r>
    <x v="254"/>
    <d v="2024-05-31T00:00:00"/>
    <s v="C0184"/>
    <x v="4"/>
    <s v="P011"/>
    <n v="2"/>
    <n v="0.15"/>
    <x v="0"/>
    <x v="3"/>
    <x v="0"/>
    <n v="899"/>
    <n v="500"/>
    <n v="1528.3"/>
    <n v="1000"/>
    <x v="189"/>
    <n v="269.7"/>
    <x v="1"/>
    <x v="0"/>
    <x v="1"/>
    <x v="1"/>
    <x v="1"/>
    <x v="4"/>
    <x v="0"/>
  </r>
  <r>
    <x v="255"/>
    <d v="2024-05-31T00:00:00"/>
    <s v="C0038"/>
    <x v="4"/>
    <s v="P001"/>
    <n v="2"/>
    <n v="0.1"/>
    <x v="0"/>
    <x v="3"/>
    <x v="0"/>
    <n v="700"/>
    <n v="450"/>
    <n v="1260"/>
    <n v="900"/>
    <x v="101"/>
    <n v="140"/>
    <x v="7"/>
    <x v="1"/>
    <x v="1"/>
    <x v="1"/>
    <x v="1"/>
    <x v="4"/>
    <x v="0"/>
  </r>
  <r>
    <x v="256"/>
    <d v="2024-06-01T00:00:00"/>
    <s v="C0181"/>
    <x v="5"/>
    <s v="P012"/>
    <n v="5"/>
    <n v="0.05"/>
    <x v="0"/>
    <x v="4"/>
    <x v="0"/>
    <n v="320"/>
    <n v="220"/>
    <n v="1520"/>
    <n v="1100"/>
    <x v="190"/>
    <n v="80"/>
    <x v="5"/>
    <x v="3"/>
    <x v="12"/>
    <x v="2"/>
    <x v="0"/>
    <x v="5"/>
    <x v="0"/>
  </r>
  <r>
    <x v="257"/>
    <d v="2024-06-01T00:00:00"/>
    <s v="C0188"/>
    <x v="5"/>
    <s v="P006"/>
    <n v="5"/>
    <n v="0.1"/>
    <x v="1"/>
    <x v="1"/>
    <x v="3"/>
    <n v="1799"/>
    <n v="1100"/>
    <n v="8095.5"/>
    <n v="5500"/>
    <x v="191"/>
    <n v="899.5"/>
    <x v="14"/>
    <x v="1"/>
    <x v="7"/>
    <x v="4"/>
    <x v="2"/>
    <x v="5"/>
    <x v="0"/>
  </r>
  <r>
    <x v="258"/>
    <d v="2024-06-01T00:00:00"/>
    <s v="C0182"/>
    <x v="5"/>
    <s v="P006"/>
    <n v="10"/>
    <n v="0.1"/>
    <x v="0"/>
    <x v="4"/>
    <x v="3"/>
    <n v="1799"/>
    <n v="1100"/>
    <n v="16191"/>
    <n v="11000"/>
    <x v="192"/>
    <n v="1799"/>
    <x v="14"/>
    <x v="1"/>
    <x v="0"/>
    <x v="0"/>
    <x v="1"/>
    <x v="5"/>
    <x v="0"/>
  </r>
  <r>
    <x v="259"/>
    <d v="2024-06-02T00:00:00"/>
    <s v="C0151"/>
    <x v="5"/>
    <s v="P022"/>
    <n v="2"/>
    <n v="0"/>
    <x v="0"/>
    <x v="4"/>
    <x v="0"/>
    <n v="899"/>
    <n v="450"/>
    <n v="1798"/>
    <n v="900"/>
    <x v="58"/>
    <n v="0"/>
    <x v="6"/>
    <x v="2"/>
    <x v="0"/>
    <x v="0"/>
    <x v="1"/>
    <x v="5"/>
    <x v="0"/>
  </r>
  <r>
    <x v="260"/>
    <d v="2024-06-02T00:00:00"/>
    <s v="C0187"/>
    <x v="5"/>
    <s v="P006"/>
    <n v="1"/>
    <n v="0.15"/>
    <x v="0"/>
    <x v="2"/>
    <x v="3"/>
    <n v="1799"/>
    <n v="1100"/>
    <n v="1529.15"/>
    <n v="1100"/>
    <x v="193"/>
    <n v="269.84999999999997"/>
    <x v="14"/>
    <x v="1"/>
    <x v="2"/>
    <x v="1"/>
    <x v="1"/>
    <x v="5"/>
    <x v="0"/>
  </r>
  <r>
    <x v="261"/>
    <d v="2024-06-03T00:00:00"/>
    <s v="C0047"/>
    <x v="5"/>
    <s v="P002"/>
    <n v="4"/>
    <n v="0.15"/>
    <x v="2"/>
    <x v="2"/>
    <x v="3"/>
    <n v="1999"/>
    <n v="1200"/>
    <n v="6796.6"/>
    <n v="4800"/>
    <x v="194"/>
    <n v="1199.3999999999999"/>
    <x v="19"/>
    <x v="1"/>
    <x v="1"/>
    <x v="1"/>
    <x v="1"/>
    <x v="5"/>
    <x v="0"/>
  </r>
  <r>
    <x v="262"/>
    <d v="2024-06-03T00:00:00"/>
    <s v="C0128"/>
    <x v="5"/>
    <s v="P004"/>
    <n v="2"/>
    <n v="0"/>
    <x v="0"/>
    <x v="1"/>
    <x v="0"/>
    <n v="1599"/>
    <n v="900"/>
    <n v="3198"/>
    <n v="1800"/>
    <x v="138"/>
    <n v="0"/>
    <x v="21"/>
    <x v="1"/>
    <x v="2"/>
    <x v="0"/>
    <x v="0"/>
    <x v="5"/>
    <x v="0"/>
  </r>
  <r>
    <x v="263"/>
    <d v="2024-06-04T00:00:00"/>
    <s v="C0163"/>
    <x v="5"/>
    <s v="P006"/>
    <n v="1"/>
    <n v="0.1"/>
    <x v="1"/>
    <x v="1"/>
    <x v="0"/>
    <n v="1799"/>
    <n v="1100"/>
    <n v="1619.1"/>
    <n v="1100"/>
    <x v="150"/>
    <n v="179.9"/>
    <x v="14"/>
    <x v="1"/>
    <x v="5"/>
    <x v="3"/>
    <x v="1"/>
    <x v="5"/>
    <x v="0"/>
  </r>
  <r>
    <x v="264"/>
    <d v="2024-06-04T00:00:00"/>
    <s v="C0003"/>
    <x v="5"/>
    <s v="P015"/>
    <n v="3"/>
    <n v="0"/>
    <x v="0"/>
    <x v="1"/>
    <x v="0"/>
    <n v="299"/>
    <n v="180"/>
    <n v="897"/>
    <n v="540"/>
    <x v="195"/>
    <n v="0"/>
    <x v="8"/>
    <x v="3"/>
    <x v="0"/>
    <x v="0"/>
    <x v="1"/>
    <x v="5"/>
    <x v="0"/>
  </r>
  <r>
    <x v="265"/>
    <d v="2024-06-05T00:00:00"/>
    <s v="C0185"/>
    <x v="5"/>
    <s v="P004"/>
    <n v="1"/>
    <n v="0"/>
    <x v="0"/>
    <x v="4"/>
    <x v="0"/>
    <n v="1599"/>
    <n v="900"/>
    <n v="1599"/>
    <n v="900"/>
    <x v="107"/>
    <n v="0"/>
    <x v="21"/>
    <x v="1"/>
    <x v="3"/>
    <x v="2"/>
    <x v="0"/>
    <x v="5"/>
    <x v="0"/>
  </r>
  <r>
    <x v="266"/>
    <d v="2024-06-05T00:00:00"/>
    <s v="C0127"/>
    <x v="5"/>
    <s v="P014"/>
    <n v="5"/>
    <n v="0"/>
    <x v="0"/>
    <x v="2"/>
    <x v="0"/>
    <n v="220"/>
    <n v="120"/>
    <n v="1100"/>
    <n v="600"/>
    <x v="5"/>
    <n v="0"/>
    <x v="20"/>
    <x v="3"/>
    <x v="2"/>
    <x v="1"/>
    <x v="1"/>
    <x v="5"/>
    <x v="0"/>
  </r>
  <r>
    <x v="267"/>
    <d v="2024-06-06T00:00:00"/>
    <s v="C0195"/>
    <x v="5"/>
    <s v="P021"/>
    <n v="2"/>
    <n v="0"/>
    <x v="2"/>
    <x v="1"/>
    <x v="0"/>
    <n v="1599"/>
    <n v="800"/>
    <n v="3198"/>
    <n v="1600"/>
    <x v="119"/>
    <n v="0"/>
    <x v="9"/>
    <x v="2"/>
    <x v="10"/>
    <x v="2"/>
    <x v="1"/>
    <x v="5"/>
    <x v="0"/>
  </r>
  <r>
    <x v="268"/>
    <d v="2024-06-06T00:00:00"/>
    <s v="C0082"/>
    <x v="5"/>
    <s v="P001"/>
    <n v="3"/>
    <n v="0.2"/>
    <x v="2"/>
    <x v="0"/>
    <x v="0"/>
    <n v="700"/>
    <n v="450"/>
    <n v="1680"/>
    <n v="1350"/>
    <x v="196"/>
    <n v="420"/>
    <x v="7"/>
    <x v="1"/>
    <x v="1"/>
    <x v="1"/>
    <x v="1"/>
    <x v="5"/>
    <x v="0"/>
  </r>
  <r>
    <x v="269"/>
    <d v="2024-06-07T00:00:00"/>
    <s v="C0188"/>
    <x v="5"/>
    <s v="P006"/>
    <n v="1"/>
    <n v="0.05"/>
    <x v="2"/>
    <x v="1"/>
    <x v="2"/>
    <n v="1799"/>
    <n v="1100"/>
    <n v="1709.05"/>
    <n v="1100"/>
    <x v="104"/>
    <n v="89.95"/>
    <x v="14"/>
    <x v="1"/>
    <x v="7"/>
    <x v="4"/>
    <x v="2"/>
    <x v="5"/>
    <x v="0"/>
  </r>
  <r>
    <x v="270"/>
    <d v="2024-06-07T00:00:00"/>
    <s v="C0158"/>
    <x v="5"/>
    <s v="P020"/>
    <n v="6"/>
    <n v="0.1"/>
    <x v="1"/>
    <x v="4"/>
    <x v="0"/>
    <n v="1799"/>
    <n v="900"/>
    <n v="9714.6"/>
    <n v="5400"/>
    <x v="197"/>
    <n v="1079.4000000000001"/>
    <x v="4"/>
    <x v="2"/>
    <x v="4"/>
    <x v="3"/>
    <x v="0"/>
    <x v="5"/>
    <x v="0"/>
  </r>
  <r>
    <x v="271"/>
    <d v="2024-06-07T00:00:00"/>
    <s v="C0112"/>
    <x v="5"/>
    <s v="P020"/>
    <n v="2"/>
    <n v="0"/>
    <x v="2"/>
    <x v="0"/>
    <x v="0"/>
    <n v="1799"/>
    <n v="900"/>
    <n v="3598"/>
    <n v="1800"/>
    <x v="94"/>
    <n v="0"/>
    <x v="4"/>
    <x v="2"/>
    <x v="7"/>
    <x v="4"/>
    <x v="0"/>
    <x v="5"/>
    <x v="0"/>
  </r>
  <r>
    <x v="272"/>
    <d v="2024-06-07T00:00:00"/>
    <s v="C0185"/>
    <x v="5"/>
    <s v="P018"/>
    <n v="10"/>
    <n v="0"/>
    <x v="2"/>
    <x v="3"/>
    <x v="0"/>
    <n v="499"/>
    <n v="250"/>
    <n v="4990"/>
    <n v="2500"/>
    <x v="80"/>
    <n v="0"/>
    <x v="18"/>
    <x v="2"/>
    <x v="3"/>
    <x v="2"/>
    <x v="0"/>
    <x v="5"/>
    <x v="0"/>
  </r>
  <r>
    <x v="273"/>
    <d v="2024-06-08T00:00:00"/>
    <s v="C0101"/>
    <x v="5"/>
    <s v="P002"/>
    <n v="10"/>
    <n v="0.1"/>
    <x v="0"/>
    <x v="3"/>
    <x v="0"/>
    <n v="1999"/>
    <n v="1200"/>
    <n v="17991"/>
    <n v="12000"/>
    <x v="198"/>
    <n v="1999"/>
    <x v="19"/>
    <x v="1"/>
    <x v="5"/>
    <x v="3"/>
    <x v="0"/>
    <x v="5"/>
    <x v="0"/>
  </r>
  <r>
    <x v="274"/>
    <d v="2024-06-09T00:00:00"/>
    <s v="C0023"/>
    <x v="5"/>
    <s v="P014"/>
    <n v="3"/>
    <n v="0.1"/>
    <x v="0"/>
    <x v="4"/>
    <x v="0"/>
    <n v="220"/>
    <n v="120"/>
    <n v="594"/>
    <n v="360"/>
    <x v="43"/>
    <n v="66"/>
    <x v="20"/>
    <x v="3"/>
    <x v="0"/>
    <x v="0"/>
    <x v="0"/>
    <x v="5"/>
    <x v="0"/>
  </r>
  <r>
    <x v="275"/>
    <d v="2024-06-09T00:00:00"/>
    <s v="C0007"/>
    <x v="5"/>
    <s v="P004"/>
    <n v="2"/>
    <n v="0"/>
    <x v="2"/>
    <x v="0"/>
    <x v="0"/>
    <n v="1599"/>
    <n v="900"/>
    <n v="3198"/>
    <n v="1800"/>
    <x v="138"/>
    <n v="0"/>
    <x v="21"/>
    <x v="1"/>
    <x v="7"/>
    <x v="4"/>
    <x v="0"/>
    <x v="5"/>
    <x v="0"/>
  </r>
  <r>
    <x v="276"/>
    <d v="2024-06-10T00:00:00"/>
    <s v="C0079"/>
    <x v="5"/>
    <s v="P004"/>
    <n v="5"/>
    <n v="0.05"/>
    <x v="0"/>
    <x v="3"/>
    <x v="2"/>
    <n v="1599"/>
    <n v="900"/>
    <n v="7595.25"/>
    <n v="4500"/>
    <x v="199"/>
    <n v="399.75"/>
    <x v="21"/>
    <x v="1"/>
    <x v="1"/>
    <x v="1"/>
    <x v="0"/>
    <x v="5"/>
    <x v="0"/>
  </r>
  <r>
    <x v="277"/>
    <d v="2024-06-10T00:00:00"/>
    <s v="C0140"/>
    <x v="5"/>
    <s v="P021"/>
    <n v="5"/>
    <n v="0"/>
    <x v="0"/>
    <x v="4"/>
    <x v="2"/>
    <n v="1599"/>
    <n v="800"/>
    <n v="7995"/>
    <n v="4000"/>
    <x v="200"/>
    <n v="0"/>
    <x v="9"/>
    <x v="2"/>
    <x v="12"/>
    <x v="2"/>
    <x v="2"/>
    <x v="5"/>
    <x v="0"/>
  </r>
  <r>
    <x v="278"/>
    <d v="2024-06-10T00:00:00"/>
    <s v="C0012"/>
    <x v="5"/>
    <s v="P015"/>
    <n v="3"/>
    <n v="0.05"/>
    <x v="0"/>
    <x v="2"/>
    <x v="0"/>
    <n v="299"/>
    <n v="180"/>
    <n v="852.15"/>
    <n v="540"/>
    <x v="201"/>
    <n v="44.85"/>
    <x v="8"/>
    <x v="3"/>
    <x v="4"/>
    <x v="3"/>
    <x v="1"/>
    <x v="5"/>
    <x v="0"/>
  </r>
  <r>
    <x v="279"/>
    <d v="2024-06-11T00:00:00"/>
    <s v="C0039"/>
    <x v="5"/>
    <s v="P002"/>
    <n v="1"/>
    <n v="0"/>
    <x v="1"/>
    <x v="0"/>
    <x v="0"/>
    <n v="1999"/>
    <n v="1200"/>
    <n v="1999"/>
    <n v="1200"/>
    <x v="57"/>
    <n v="0"/>
    <x v="19"/>
    <x v="1"/>
    <x v="1"/>
    <x v="1"/>
    <x v="2"/>
    <x v="5"/>
    <x v="0"/>
  </r>
  <r>
    <x v="280"/>
    <d v="2024-06-11T00:00:00"/>
    <s v="C0059"/>
    <x v="5"/>
    <s v="P019"/>
    <n v="10"/>
    <n v="0"/>
    <x v="1"/>
    <x v="0"/>
    <x v="0"/>
    <n v="1199"/>
    <n v="600"/>
    <n v="11990"/>
    <n v="6000"/>
    <x v="110"/>
    <n v="0"/>
    <x v="15"/>
    <x v="2"/>
    <x v="7"/>
    <x v="4"/>
    <x v="2"/>
    <x v="5"/>
    <x v="0"/>
  </r>
  <r>
    <x v="281"/>
    <d v="2024-06-13T00:00:00"/>
    <s v="C0176"/>
    <x v="5"/>
    <s v="P018"/>
    <n v="6"/>
    <n v="0.05"/>
    <x v="0"/>
    <x v="3"/>
    <x v="0"/>
    <n v="499"/>
    <n v="250"/>
    <n v="2844.3"/>
    <n v="1500"/>
    <x v="202"/>
    <n v="149.70000000000002"/>
    <x v="18"/>
    <x v="2"/>
    <x v="0"/>
    <x v="0"/>
    <x v="1"/>
    <x v="5"/>
    <x v="0"/>
  </r>
  <r>
    <x v="282"/>
    <d v="2024-06-13T00:00:00"/>
    <s v="C0183"/>
    <x v="5"/>
    <s v="P013"/>
    <n v="1"/>
    <n v="0.05"/>
    <x v="1"/>
    <x v="2"/>
    <x v="2"/>
    <n v="150"/>
    <n v="90"/>
    <n v="142.5"/>
    <n v="90"/>
    <x v="35"/>
    <n v="7.5"/>
    <x v="17"/>
    <x v="3"/>
    <x v="0"/>
    <x v="0"/>
    <x v="2"/>
    <x v="5"/>
    <x v="0"/>
  </r>
  <r>
    <x v="283"/>
    <d v="2024-06-14T00:00:00"/>
    <s v="C0031"/>
    <x v="5"/>
    <s v="P005"/>
    <n v="6"/>
    <n v="0"/>
    <x v="2"/>
    <x v="4"/>
    <x v="1"/>
    <n v="1299"/>
    <n v="800"/>
    <n v="7794"/>
    <n v="4800"/>
    <x v="13"/>
    <n v="0"/>
    <x v="12"/>
    <x v="1"/>
    <x v="0"/>
    <x v="0"/>
    <x v="0"/>
    <x v="5"/>
    <x v="0"/>
  </r>
  <r>
    <x v="284"/>
    <d v="2024-06-15T00:00:00"/>
    <s v="C0011"/>
    <x v="5"/>
    <s v="P005"/>
    <n v="5"/>
    <n v="0"/>
    <x v="2"/>
    <x v="4"/>
    <x v="0"/>
    <n v="1299"/>
    <n v="800"/>
    <n v="6495"/>
    <n v="4000"/>
    <x v="203"/>
    <n v="0"/>
    <x v="12"/>
    <x v="1"/>
    <x v="1"/>
    <x v="1"/>
    <x v="1"/>
    <x v="5"/>
    <x v="0"/>
  </r>
  <r>
    <x v="285"/>
    <d v="2024-06-17T00:00:00"/>
    <s v="C0067"/>
    <x v="5"/>
    <s v="P020"/>
    <n v="4"/>
    <n v="0.15"/>
    <x v="2"/>
    <x v="3"/>
    <x v="2"/>
    <n v="1799"/>
    <n v="900"/>
    <n v="6116.6"/>
    <n v="3600"/>
    <x v="204"/>
    <n v="1079.3999999999999"/>
    <x v="4"/>
    <x v="2"/>
    <x v="0"/>
    <x v="0"/>
    <x v="1"/>
    <x v="5"/>
    <x v="0"/>
  </r>
  <r>
    <x v="286"/>
    <d v="2024-06-18T00:00:00"/>
    <s v="C0143"/>
    <x v="5"/>
    <s v="P013"/>
    <n v="5"/>
    <n v="0.05"/>
    <x v="1"/>
    <x v="0"/>
    <x v="0"/>
    <n v="150"/>
    <n v="90"/>
    <n v="712.5"/>
    <n v="450"/>
    <x v="205"/>
    <n v="37.5"/>
    <x v="17"/>
    <x v="3"/>
    <x v="7"/>
    <x v="4"/>
    <x v="0"/>
    <x v="5"/>
    <x v="0"/>
  </r>
  <r>
    <x v="287"/>
    <d v="2024-06-18T00:00:00"/>
    <s v="C0180"/>
    <x v="5"/>
    <s v="P001"/>
    <n v="10"/>
    <n v="0.1"/>
    <x v="2"/>
    <x v="4"/>
    <x v="0"/>
    <n v="700"/>
    <n v="450"/>
    <n v="6300"/>
    <n v="4500"/>
    <x v="206"/>
    <n v="700"/>
    <x v="7"/>
    <x v="1"/>
    <x v="3"/>
    <x v="2"/>
    <x v="1"/>
    <x v="5"/>
    <x v="0"/>
  </r>
  <r>
    <x v="288"/>
    <d v="2024-06-19T00:00:00"/>
    <s v="C0151"/>
    <x v="5"/>
    <s v="P019"/>
    <n v="1"/>
    <n v="0.15"/>
    <x v="2"/>
    <x v="1"/>
    <x v="0"/>
    <n v="1199"/>
    <n v="600"/>
    <n v="1019.15"/>
    <n v="600"/>
    <x v="207"/>
    <n v="179.85"/>
    <x v="15"/>
    <x v="2"/>
    <x v="0"/>
    <x v="0"/>
    <x v="1"/>
    <x v="5"/>
    <x v="0"/>
  </r>
  <r>
    <x v="289"/>
    <d v="2024-06-21T00:00:00"/>
    <s v="C0089"/>
    <x v="5"/>
    <s v="P018"/>
    <n v="5"/>
    <n v="0"/>
    <x v="1"/>
    <x v="2"/>
    <x v="0"/>
    <n v="499"/>
    <n v="250"/>
    <n v="2495"/>
    <n v="1250"/>
    <x v="2"/>
    <n v="0"/>
    <x v="18"/>
    <x v="2"/>
    <x v="7"/>
    <x v="4"/>
    <x v="1"/>
    <x v="5"/>
    <x v="0"/>
  </r>
  <r>
    <x v="290"/>
    <d v="2024-06-23T00:00:00"/>
    <s v="C0010"/>
    <x v="5"/>
    <s v="P016"/>
    <n v="2"/>
    <n v="0"/>
    <x v="1"/>
    <x v="0"/>
    <x v="0"/>
    <n v="240"/>
    <n v="140"/>
    <n v="480"/>
    <n v="280"/>
    <x v="88"/>
    <n v="0"/>
    <x v="16"/>
    <x v="3"/>
    <x v="11"/>
    <x v="3"/>
    <x v="1"/>
    <x v="5"/>
    <x v="0"/>
  </r>
  <r>
    <x v="291"/>
    <d v="2024-06-24T00:00:00"/>
    <s v="C0102"/>
    <x v="5"/>
    <s v="P002"/>
    <n v="4"/>
    <n v="0.1"/>
    <x v="0"/>
    <x v="1"/>
    <x v="0"/>
    <n v="1999"/>
    <n v="1200"/>
    <n v="7196.4"/>
    <n v="4800"/>
    <x v="208"/>
    <n v="799.6"/>
    <x v="19"/>
    <x v="1"/>
    <x v="13"/>
    <x v="3"/>
    <x v="0"/>
    <x v="5"/>
    <x v="0"/>
  </r>
  <r>
    <x v="292"/>
    <d v="2024-06-25T00:00:00"/>
    <s v="C0006"/>
    <x v="5"/>
    <s v="P012"/>
    <n v="4"/>
    <n v="0.1"/>
    <x v="0"/>
    <x v="0"/>
    <x v="0"/>
    <n v="320"/>
    <n v="220"/>
    <n v="1152"/>
    <n v="880"/>
    <x v="209"/>
    <n v="128"/>
    <x v="5"/>
    <x v="3"/>
    <x v="0"/>
    <x v="0"/>
    <x v="1"/>
    <x v="5"/>
    <x v="0"/>
  </r>
  <r>
    <x v="293"/>
    <d v="2024-06-26T00:00:00"/>
    <s v="C0026"/>
    <x v="5"/>
    <s v="P022"/>
    <n v="2"/>
    <n v="0"/>
    <x v="0"/>
    <x v="1"/>
    <x v="1"/>
    <n v="899"/>
    <n v="450"/>
    <n v="1798"/>
    <n v="900"/>
    <x v="58"/>
    <n v="0"/>
    <x v="6"/>
    <x v="2"/>
    <x v="0"/>
    <x v="0"/>
    <x v="0"/>
    <x v="5"/>
    <x v="0"/>
  </r>
  <r>
    <x v="294"/>
    <d v="2024-06-26T00:00:00"/>
    <s v="C0187"/>
    <x v="5"/>
    <s v="P009"/>
    <n v="5"/>
    <n v="0.05"/>
    <x v="0"/>
    <x v="4"/>
    <x v="0"/>
    <n v="4299"/>
    <n v="2800"/>
    <n v="20420.25"/>
    <n v="14000"/>
    <x v="210"/>
    <n v="1074.75"/>
    <x v="0"/>
    <x v="0"/>
    <x v="2"/>
    <x v="1"/>
    <x v="1"/>
    <x v="5"/>
    <x v="0"/>
  </r>
  <r>
    <x v="295"/>
    <d v="2024-06-27T00:00:00"/>
    <s v="C0190"/>
    <x v="5"/>
    <s v="P014"/>
    <n v="6"/>
    <n v="0.1"/>
    <x v="2"/>
    <x v="2"/>
    <x v="2"/>
    <n v="220"/>
    <n v="120"/>
    <n v="1188"/>
    <n v="720"/>
    <x v="211"/>
    <n v="132"/>
    <x v="20"/>
    <x v="3"/>
    <x v="8"/>
    <x v="4"/>
    <x v="0"/>
    <x v="5"/>
    <x v="0"/>
  </r>
  <r>
    <x v="296"/>
    <d v="2024-06-27T00:00:00"/>
    <s v="C0017"/>
    <x v="5"/>
    <s v="P006"/>
    <n v="3"/>
    <n v="0.1"/>
    <x v="1"/>
    <x v="2"/>
    <x v="0"/>
    <n v="1799"/>
    <n v="1100"/>
    <n v="4857.3"/>
    <n v="3300"/>
    <x v="176"/>
    <n v="539.70000000000005"/>
    <x v="14"/>
    <x v="1"/>
    <x v="11"/>
    <x v="3"/>
    <x v="1"/>
    <x v="5"/>
    <x v="0"/>
  </r>
  <r>
    <x v="297"/>
    <d v="2024-06-28T00:00:00"/>
    <s v="C0045"/>
    <x v="5"/>
    <s v="P001"/>
    <n v="2"/>
    <n v="0.15"/>
    <x v="2"/>
    <x v="4"/>
    <x v="0"/>
    <n v="700"/>
    <n v="450"/>
    <n v="1190"/>
    <n v="900"/>
    <x v="212"/>
    <n v="210"/>
    <x v="7"/>
    <x v="1"/>
    <x v="8"/>
    <x v="4"/>
    <x v="2"/>
    <x v="5"/>
    <x v="0"/>
  </r>
  <r>
    <x v="298"/>
    <d v="2024-06-28T00:00:00"/>
    <s v="C0117"/>
    <x v="5"/>
    <s v="P002"/>
    <n v="1"/>
    <n v="0.15"/>
    <x v="0"/>
    <x v="1"/>
    <x v="0"/>
    <n v="1999"/>
    <n v="1200"/>
    <n v="1699.15"/>
    <n v="1200"/>
    <x v="213"/>
    <n v="299.84999999999997"/>
    <x v="19"/>
    <x v="1"/>
    <x v="8"/>
    <x v="4"/>
    <x v="1"/>
    <x v="5"/>
    <x v="0"/>
  </r>
  <r>
    <x v="299"/>
    <d v="2024-06-28T00:00:00"/>
    <s v="C0130"/>
    <x v="5"/>
    <s v="P015"/>
    <n v="5"/>
    <n v="0.05"/>
    <x v="2"/>
    <x v="4"/>
    <x v="0"/>
    <n v="299"/>
    <n v="180"/>
    <n v="1420.25"/>
    <n v="900"/>
    <x v="214"/>
    <n v="74.75"/>
    <x v="8"/>
    <x v="3"/>
    <x v="2"/>
    <x v="1"/>
    <x v="1"/>
    <x v="5"/>
    <x v="0"/>
  </r>
  <r>
    <x v="300"/>
    <d v="2024-06-28T00:00:00"/>
    <s v="C0126"/>
    <x v="5"/>
    <s v="P012"/>
    <n v="6"/>
    <n v="0"/>
    <x v="1"/>
    <x v="2"/>
    <x v="2"/>
    <n v="320"/>
    <n v="220"/>
    <n v="1920"/>
    <n v="1320"/>
    <x v="33"/>
    <n v="0"/>
    <x v="5"/>
    <x v="3"/>
    <x v="8"/>
    <x v="4"/>
    <x v="0"/>
    <x v="5"/>
    <x v="0"/>
  </r>
  <r>
    <x v="301"/>
    <d v="2024-06-28T00:00:00"/>
    <s v="C0089"/>
    <x v="5"/>
    <s v="P012"/>
    <n v="2"/>
    <n v="0.1"/>
    <x v="1"/>
    <x v="3"/>
    <x v="0"/>
    <n v="320"/>
    <n v="220"/>
    <n v="576"/>
    <n v="440"/>
    <x v="30"/>
    <n v="64"/>
    <x v="5"/>
    <x v="3"/>
    <x v="7"/>
    <x v="4"/>
    <x v="1"/>
    <x v="5"/>
    <x v="0"/>
  </r>
  <r>
    <x v="302"/>
    <d v="2024-06-30T00:00:00"/>
    <s v="C0008"/>
    <x v="5"/>
    <s v="P010"/>
    <n v="5"/>
    <n v="0"/>
    <x v="2"/>
    <x v="4"/>
    <x v="0"/>
    <n v="4599"/>
    <n v="3000"/>
    <n v="22995"/>
    <n v="15000"/>
    <x v="31"/>
    <n v="0"/>
    <x v="3"/>
    <x v="0"/>
    <x v="5"/>
    <x v="3"/>
    <x v="1"/>
    <x v="5"/>
    <x v="0"/>
  </r>
  <r>
    <x v="303"/>
    <d v="2024-07-02T00:00:00"/>
    <s v="C0058"/>
    <x v="6"/>
    <s v="P021"/>
    <n v="2"/>
    <n v="0"/>
    <x v="2"/>
    <x v="3"/>
    <x v="0"/>
    <n v="1599"/>
    <n v="800"/>
    <n v="3198"/>
    <n v="1600"/>
    <x v="119"/>
    <n v="0"/>
    <x v="9"/>
    <x v="2"/>
    <x v="0"/>
    <x v="0"/>
    <x v="1"/>
    <x v="6"/>
    <x v="0"/>
  </r>
  <r>
    <x v="304"/>
    <d v="2024-07-03T00:00:00"/>
    <s v="C0034"/>
    <x v="6"/>
    <s v="P016"/>
    <n v="2"/>
    <n v="0.05"/>
    <x v="0"/>
    <x v="2"/>
    <x v="0"/>
    <n v="240"/>
    <n v="140"/>
    <n v="456"/>
    <n v="280"/>
    <x v="215"/>
    <n v="24"/>
    <x v="16"/>
    <x v="3"/>
    <x v="1"/>
    <x v="1"/>
    <x v="0"/>
    <x v="6"/>
    <x v="0"/>
  </r>
  <r>
    <x v="305"/>
    <d v="2024-07-03T00:00:00"/>
    <s v="C0183"/>
    <x v="6"/>
    <s v="P010"/>
    <n v="3"/>
    <n v="0.05"/>
    <x v="0"/>
    <x v="0"/>
    <x v="0"/>
    <n v="4599"/>
    <n v="3000"/>
    <n v="13107.15"/>
    <n v="9000"/>
    <x v="27"/>
    <n v="689.85"/>
    <x v="3"/>
    <x v="0"/>
    <x v="0"/>
    <x v="0"/>
    <x v="2"/>
    <x v="6"/>
    <x v="0"/>
  </r>
  <r>
    <x v="306"/>
    <d v="2024-07-03T00:00:00"/>
    <s v="C0056"/>
    <x v="6"/>
    <s v="P009"/>
    <n v="6"/>
    <n v="0"/>
    <x v="1"/>
    <x v="0"/>
    <x v="0"/>
    <n v="4299"/>
    <n v="2800"/>
    <n v="25794"/>
    <n v="16800"/>
    <x v="216"/>
    <n v="0"/>
    <x v="0"/>
    <x v="0"/>
    <x v="1"/>
    <x v="1"/>
    <x v="1"/>
    <x v="6"/>
    <x v="0"/>
  </r>
  <r>
    <x v="307"/>
    <d v="2024-07-04T00:00:00"/>
    <s v="C0027"/>
    <x v="6"/>
    <s v="P019"/>
    <n v="1"/>
    <n v="0.05"/>
    <x v="0"/>
    <x v="2"/>
    <x v="0"/>
    <n v="1199"/>
    <n v="600"/>
    <n v="1139.05"/>
    <n v="600"/>
    <x v="77"/>
    <n v="59.95"/>
    <x v="15"/>
    <x v="2"/>
    <x v="11"/>
    <x v="3"/>
    <x v="1"/>
    <x v="6"/>
    <x v="0"/>
  </r>
  <r>
    <x v="308"/>
    <d v="2024-07-04T00:00:00"/>
    <s v="C0153"/>
    <x v="6"/>
    <s v="P021"/>
    <n v="3"/>
    <n v="0"/>
    <x v="2"/>
    <x v="1"/>
    <x v="0"/>
    <n v="1599"/>
    <n v="800"/>
    <n v="4797"/>
    <n v="2400"/>
    <x v="178"/>
    <n v="0"/>
    <x v="9"/>
    <x v="2"/>
    <x v="5"/>
    <x v="3"/>
    <x v="0"/>
    <x v="6"/>
    <x v="0"/>
  </r>
  <r>
    <x v="309"/>
    <d v="2024-07-04T00:00:00"/>
    <s v="C0164"/>
    <x v="6"/>
    <s v="P009"/>
    <n v="4"/>
    <n v="0.15"/>
    <x v="1"/>
    <x v="1"/>
    <x v="0"/>
    <n v="4299"/>
    <n v="2800"/>
    <n v="14616.6"/>
    <n v="11200"/>
    <x v="217"/>
    <n v="2579.4"/>
    <x v="0"/>
    <x v="0"/>
    <x v="1"/>
    <x v="1"/>
    <x v="2"/>
    <x v="6"/>
    <x v="0"/>
  </r>
  <r>
    <x v="310"/>
    <d v="2024-07-05T00:00:00"/>
    <s v="C0039"/>
    <x v="6"/>
    <s v="P007"/>
    <n v="10"/>
    <n v="0.1"/>
    <x v="1"/>
    <x v="0"/>
    <x v="2"/>
    <n v="5499"/>
    <n v="3500"/>
    <n v="49491"/>
    <n v="35000"/>
    <x v="218"/>
    <n v="5499"/>
    <x v="11"/>
    <x v="0"/>
    <x v="1"/>
    <x v="1"/>
    <x v="2"/>
    <x v="6"/>
    <x v="0"/>
  </r>
  <r>
    <x v="311"/>
    <d v="2024-07-07T00:00:00"/>
    <s v="C0082"/>
    <x v="6"/>
    <s v="P022"/>
    <n v="2"/>
    <n v="0.1"/>
    <x v="0"/>
    <x v="1"/>
    <x v="0"/>
    <n v="899"/>
    <n v="450"/>
    <n v="1618.2"/>
    <n v="900"/>
    <x v="72"/>
    <n v="179.8"/>
    <x v="6"/>
    <x v="2"/>
    <x v="1"/>
    <x v="1"/>
    <x v="1"/>
    <x v="6"/>
    <x v="0"/>
  </r>
  <r>
    <x v="312"/>
    <d v="2024-07-10T00:00:00"/>
    <s v="C0104"/>
    <x v="6"/>
    <s v="P014"/>
    <n v="5"/>
    <n v="0.1"/>
    <x v="1"/>
    <x v="4"/>
    <x v="0"/>
    <n v="220"/>
    <n v="120"/>
    <n v="990"/>
    <n v="600"/>
    <x v="219"/>
    <n v="110"/>
    <x v="20"/>
    <x v="3"/>
    <x v="1"/>
    <x v="1"/>
    <x v="1"/>
    <x v="6"/>
    <x v="0"/>
  </r>
  <r>
    <x v="313"/>
    <d v="2024-07-11T00:00:00"/>
    <s v="C0186"/>
    <x v="6"/>
    <s v="P011"/>
    <n v="2"/>
    <n v="0.1"/>
    <x v="0"/>
    <x v="1"/>
    <x v="0"/>
    <n v="899"/>
    <n v="500"/>
    <n v="1618.2"/>
    <n v="1000"/>
    <x v="220"/>
    <n v="179.8"/>
    <x v="1"/>
    <x v="0"/>
    <x v="13"/>
    <x v="3"/>
    <x v="2"/>
    <x v="6"/>
    <x v="0"/>
  </r>
  <r>
    <x v="314"/>
    <d v="2024-07-11T00:00:00"/>
    <s v="C0077"/>
    <x v="6"/>
    <s v="P017"/>
    <n v="2"/>
    <n v="0.1"/>
    <x v="2"/>
    <x v="1"/>
    <x v="2"/>
    <n v="449"/>
    <n v="260"/>
    <n v="808.2"/>
    <n v="520"/>
    <x v="221"/>
    <n v="89.800000000000011"/>
    <x v="10"/>
    <x v="3"/>
    <x v="8"/>
    <x v="4"/>
    <x v="1"/>
    <x v="6"/>
    <x v="0"/>
  </r>
  <r>
    <x v="315"/>
    <d v="2024-07-12T00:00:00"/>
    <s v="C0121"/>
    <x v="6"/>
    <s v="P004"/>
    <n v="2"/>
    <n v="0.1"/>
    <x v="1"/>
    <x v="4"/>
    <x v="0"/>
    <n v="1599"/>
    <n v="900"/>
    <n v="2878.2"/>
    <n v="1800"/>
    <x v="74"/>
    <n v="319.8"/>
    <x v="21"/>
    <x v="1"/>
    <x v="0"/>
    <x v="0"/>
    <x v="1"/>
    <x v="6"/>
    <x v="0"/>
  </r>
  <r>
    <x v="316"/>
    <d v="2024-07-13T00:00:00"/>
    <s v="C0086"/>
    <x v="6"/>
    <s v="P022"/>
    <n v="1"/>
    <n v="0"/>
    <x v="0"/>
    <x v="0"/>
    <x v="0"/>
    <n v="899"/>
    <n v="450"/>
    <n v="899"/>
    <n v="450"/>
    <x v="152"/>
    <n v="0"/>
    <x v="6"/>
    <x v="2"/>
    <x v="1"/>
    <x v="1"/>
    <x v="0"/>
    <x v="6"/>
    <x v="0"/>
  </r>
  <r>
    <x v="317"/>
    <d v="2024-07-13T00:00:00"/>
    <s v="C0096"/>
    <x v="6"/>
    <s v="P011"/>
    <n v="3"/>
    <n v="0.05"/>
    <x v="2"/>
    <x v="0"/>
    <x v="0"/>
    <n v="899"/>
    <n v="500"/>
    <n v="2562.15"/>
    <n v="1500"/>
    <x v="222"/>
    <n v="134.85"/>
    <x v="1"/>
    <x v="0"/>
    <x v="2"/>
    <x v="1"/>
    <x v="1"/>
    <x v="6"/>
    <x v="0"/>
  </r>
  <r>
    <x v="318"/>
    <d v="2024-07-14T00:00:00"/>
    <s v="C0163"/>
    <x v="6"/>
    <s v="P002"/>
    <n v="1"/>
    <n v="0.05"/>
    <x v="2"/>
    <x v="0"/>
    <x v="0"/>
    <n v="1999"/>
    <n v="1200"/>
    <n v="1899.05"/>
    <n v="1200"/>
    <x v="133"/>
    <n v="99.95"/>
    <x v="19"/>
    <x v="1"/>
    <x v="5"/>
    <x v="3"/>
    <x v="1"/>
    <x v="6"/>
    <x v="0"/>
  </r>
  <r>
    <x v="319"/>
    <d v="2024-07-14T00:00:00"/>
    <s v="C0077"/>
    <x v="6"/>
    <s v="P017"/>
    <n v="5"/>
    <n v="0"/>
    <x v="2"/>
    <x v="4"/>
    <x v="0"/>
    <n v="449"/>
    <n v="260"/>
    <n v="2245"/>
    <n v="1300"/>
    <x v="223"/>
    <n v="0"/>
    <x v="10"/>
    <x v="3"/>
    <x v="8"/>
    <x v="4"/>
    <x v="1"/>
    <x v="6"/>
    <x v="0"/>
  </r>
  <r>
    <x v="320"/>
    <d v="2024-07-15T00:00:00"/>
    <s v="C0105"/>
    <x v="6"/>
    <s v="P011"/>
    <n v="6"/>
    <n v="0"/>
    <x v="2"/>
    <x v="3"/>
    <x v="2"/>
    <n v="899"/>
    <n v="500"/>
    <n v="5394"/>
    <n v="3000"/>
    <x v="224"/>
    <n v="0"/>
    <x v="1"/>
    <x v="0"/>
    <x v="10"/>
    <x v="2"/>
    <x v="0"/>
    <x v="6"/>
    <x v="0"/>
  </r>
  <r>
    <x v="321"/>
    <d v="2024-07-17T00:00:00"/>
    <s v="C0086"/>
    <x v="6"/>
    <s v="P016"/>
    <n v="2"/>
    <n v="0"/>
    <x v="0"/>
    <x v="1"/>
    <x v="0"/>
    <n v="240"/>
    <n v="140"/>
    <n v="480"/>
    <n v="280"/>
    <x v="88"/>
    <n v="0"/>
    <x v="16"/>
    <x v="3"/>
    <x v="1"/>
    <x v="1"/>
    <x v="0"/>
    <x v="6"/>
    <x v="0"/>
  </r>
  <r>
    <x v="322"/>
    <d v="2024-07-17T00:00:00"/>
    <s v="C0195"/>
    <x v="6"/>
    <s v="P007"/>
    <n v="2"/>
    <n v="0.05"/>
    <x v="2"/>
    <x v="4"/>
    <x v="0"/>
    <n v="5499"/>
    <n v="3500"/>
    <n v="10448.1"/>
    <n v="7000"/>
    <x v="225"/>
    <n v="549.9"/>
    <x v="11"/>
    <x v="0"/>
    <x v="10"/>
    <x v="2"/>
    <x v="1"/>
    <x v="6"/>
    <x v="0"/>
  </r>
  <r>
    <x v="323"/>
    <d v="2024-07-17T00:00:00"/>
    <s v="C0112"/>
    <x v="6"/>
    <s v="P020"/>
    <n v="5"/>
    <n v="0.05"/>
    <x v="0"/>
    <x v="3"/>
    <x v="3"/>
    <n v="1799"/>
    <n v="900"/>
    <n v="8545.25"/>
    <n v="4500"/>
    <x v="226"/>
    <n v="449.75"/>
    <x v="4"/>
    <x v="2"/>
    <x v="7"/>
    <x v="4"/>
    <x v="0"/>
    <x v="6"/>
    <x v="0"/>
  </r>
  <r>
    <x v="324"/>
    <d v="2024-07-21T00:00:00"/>
    <s v="C0137"/>
    <x v="6"/>
    <s v="P002"/>
    <n v="2"/>
    <n v="0.1"/>
    <x v="0"/>
    <x v="2"/>
    <x v="3"/>
    <n v="1999"/>
    <n v="1200"/>
    <n v="3598.2"/>
    <n v="2400"/>
    <x v="39"/>
    <n v="399.8"/>
    <x v="19"/>
    <x v="1"/>
    <x v="1"/>
    <x v="1"/>
    <x v="0"/>
    <x v="6"/>
    <x v="0"/>
  </r>
  <r>
    <x v="325"/>
    <d v="2024-07-21T00:00:00"/>
    <s v="C0005"/>
    <x v="6"/>
    <s v="P007"/>
    <n v="1"/>
    <n v="0.05"/>
    <x v="1"/>
    <x v="1"/>
    <x v="0"/>
    <n v="5499"/>
    <n v="3500"/>
    <n v="5224.05"/>
    <n v="3500"/>
    <x v="84"/>
    <n v="274.95"/>
    <x v="11"/>
    <x v="0"/>
    <x v="2"/>
    <x v="0"/>
    <x v="1"/>
    <x v="6"/>
    <x v="0"/>
  </r>
  <r>
    <x v="326"/>
    <d v="2024-07-22T00:00:00"/>
    <s v="C0034"/>
    <x v="6"/>
    <s v="P010"/>
    <n v="1"/>
    <n v="0"/>
    <x v="2"/>
    <x v="3"/>
    <x v="0"/>
    <n v="4599"/>
    <n v="3000"/>
    <n v="4599"/>
    <n v="3000"/>
    <x v="3"/>
    <n v="0"/>
    <x v="3"/>
    <x v="0"/>
    <x v="1"/>
    <x v="1"/>
    <x v="0"/>
    <x v="6"/>
    <x v="0"/>
  </r>
  <r>
    <x v="327"/>
    <d v="2024-07-23T00:00:00"/>
    <s v="C0077"/>
    <x v="6"/>
    <s v="P002"/>
    <n v="3"/>
    <n v="0.05"/>
    <x v="1"/>
    <x v="1"/>
    <x v="0"/>
    <n v="1999"/>
    <n v="1200"/>
    <n v="5697.15"/>
    <n v="3600"/>
    <x v="227"/>
    <n v="299.85000000000002"/>
    <x v="19"/>
    <x v="1"/>
    <x v="8"/>
    <x v="4"/>
    <x v="1"/>
    <x v="6"/>
    <x v="0"/>
  </r>
  <r>
    <x v="328"/>
    <d v="2024-07-23T00:00:00"/>
    <s v="C0176"/>
    <x v="6"/>
    <s v="P014"/>
    <n v="2"/>
    <n v="0"/>
    <x v="0"/>
    <x v="4"/>
    <x v="2"/>
    <n v="220"/>
    <n v="120"/>
    <n v="440"/>
    <n v="240"/>
    <x v="88"/>
    <n v="0"/>
    <x v="20"/>
    <x v="3"/>
    <x v="0"/>
    <x v="0"/>
    <x v="1"/>
    <x v="6"/>
    <x v="0"/>
  </r>
  <r>
    <x v="329"/>
    <d v="2024-07-24T00:00:00"/>
    <s v="C0104"/>
    <x v="6"/>
    <s v="P006"/>
    <n v="1"/>
    <n v="0"/>
    <x v="2"/>
    <x v="4"/>
    <x v="0"/>
    <n v="1799"/>
    <n v="1100"/>
    <n v="1799"/>
    <n v="1100"/>
    <x v="107"/>
    <n v="0"/>
    <x v="14"/>
    <x v="1"/>
    <x v="1"/>
    <x v="1"/>
    <x v="1"/>
    <x v="6"/>
    <x v="0"/>
  </r>
  <r>
    <x v="330"/>
    <d v="2024-07-25T00:00:00"/>
    <s v="C0151"/>
    <x v="6"/>
    <s v="P001"/>
    <n v="10"/>
    <n v="0"/>
    <x v="1"/>
    <x v="3"/>
    <x v="0"/>
    <n v="700"/>
    <n v="450"/>
    <n v="7000"/>
    <n v="4500"/>
    <x v="228"/>
    <n v="0"/>
    <x v="7"/>
    <x v="1"/>
    <x v="0"/>
    <x v="0"/>
    <x v="1"/>
    <x v="6"/>
    <x v="0"/>
  </r>
  <r>
    <x v="331"/>
    <d v="2024-07-27T00:00:00"/>
    <s v="C0164"/>
    <x v="6"/>
    <s v="P013"/>
    <n v="3"/>
    <n v="0.1"/>
    <x v="1"/>
    <x v="3"/>
    <x v="0"/>
    <n v="150"/>
    <n v="90"/>
    <n v="405"/>
    <n v="270"/>
    <x v="144"/>
    <n v="45"/>
    <x v="17"/>
    <x v="3"/>
    <x v="1"/>
    <x v="1"/>
    <x v="2"/>
    <x v="6"/>
    <x v="0"/>
  </r>
  <r>
    <x v="332"/>
    <d v="2024-07-28T00:00:00"/>
    <s v="C0028"/>
    <x v="6"/>
    <s v="P022"/>
    <n v="1"/>
    <n v="0"/>
    <x v="0"/>
    <x v="0"/>
    <x v="0"/>
    <n v="899"/>
    <n v="450"/>
    <n v="899"/>
    <n v="450"/>
    <x v="152"/>
    <n v="0"/>
    <x v="6"/>
    <x v="2"/>
    <x v="1"/>
    <x v="1"/>
    <x v="1"/>
    <x v="6"/>
    <x v="0"/>
  </r>
  <r>
    <x v="333"/>
    <d v="2024-07-29T00:00:00"/>
    <s v="C0141"/>
    <x v="6"/>
    <s v="P004"/>
    <n v="3"/>
    <n v="0.05"/>
    <x v="1"/>
    <x v="3"/>
    <x v="0"/>
    <n v="1599"/>
    <n v="900"/>
    <n v="4557.1499999999996"/>
    <n v="2700"/>
    <x v="229"/>
    <n v="239.85000000000002"/>
    <x v="21"/>
    <x v="1"/>
    <x v="3"/>
    <x v="2"/>
    <x v="2"/>
    <x v="6"/>
    <x v="0"/>
  </r>
  <r>
    <x v="334"/>
    <d v="2024-07-31T00:00:00"/>
    <s v="C0108"/>
    <x v="6"/>
    <s v="P010"/>
    <n v="1"/>
    <n v="0.1"/>
    <x v="1"/>
    <x v="4"/>
    <x v="0"/>
    <n v="4599"/>
    <n v="3000"/>
    <n v="4139.1000000000004"/>
    <n v="3000"/>
    <x v="28"/>
    <n v="459.90000000000003"/>
    <x v="3"/>
    <x v="0"/>
    <x v="4"/>
    <x v="3"/>
    <x v="2"/>
    <x v="6"/>
    <x v="0"/>
  </r>
  <r>
    <x v="335"/>
    <d v="2024-07-31T00:00:00"/>
    <s v="C0027"/>
    <x v="6"/>
    <s v="P014"/>
    <n v="10"/>
    <n v="0.1"/>
    <x v="2"/>
    <x v="3"/>
    <x v="0"/>
    <n v="220"/>
    <n v="120"/>
    <n v="1980"/>
    <n v="1200"/>
    <x v="230"/>
    <n v="220"/>
    <x v="20"/>
    <x v="3"/>
    <x v="11"/>
    <x v="3"/>
    <x v="1"/>
    <x v="6"/>
    <x v="0"/>
  </r>
  <r>
    <x v="336"/>
    <d v="2024-08-04T00:00:00"/>
    <s v="C0051"/>
    <x v="7"/>
    <s v="P016"/>
    <n v="2"/>
    <n v="0.1"/>
    <x v="2"/>
    <x v="1"/>
    <x v="0"/>
    <n v="240"/>
    <n v="140"/>
    <n v="432"/>
    <n v="280"/>
    <x v="55"/>
    <n v="48"/>
    <x v="16"/>
    <x v="3"/>
    <x v="13"/>
    <x v="3"/>
    <x v="1"/>
    <x v="7"/>
    <x v="0"/>
  </r>
  <r>
    <x v="337"/>
    <d v="2024-08-04T00:00:00"/>
    <s v="C0076"/>
    <x v="7"/>
    <s v="P014"/>
    <n v="2"/>
    <n v="0"/>
    <x v="2"/>
    <x v="0"/>
    <x v="0"/>
    <n v="220"/>
    <n v="120"/>
    <n v="440"/>
    <n v="240"/>
    <x v="88"/>
    <n v="0"/>
    <x v="20"/>
    <x v="3"/>
    <x v="0"/>
    <x v="0"/>
    <x v="2"/>
    <x v="7"/>
    <x v="0"/>
  </r>
  <r>
    <x v="338"/>
    <d v="2024-08-05T00:00:00"/>
    <s v="C0061"/>
    <x v="7"/>
    <s v="P011"/>
    <n v="1"/>
    <n v="0"/>
    <x v="2"/>
    <x v="2"/>
    <x v="0"/>
    <n v="899"/>
    <n v="500"/>
    <n v="899"/>
    <n v="500"/>
    <x v="68"/>
    <n v="0"/>
    <x v="1"/>
    <x v="0"/>
    <x v="0"/>
    <x v="0"/>
    <x v="0"/>
    <x v="7"/>
    <x v="0"/>
  </r>
  <r>
    <x v="339"/>
    <d v="2024-08-05T00:00:00"/>
    <s v="C0127"/>
    <x v="7"/>
    <s v="P022"/>
    <n v="2"/>
    <n v="0.15"/>
    <x v="2"/>
    <x v="3"/>
    <x v="0"/>
    <n v="899"/>
    <n v="450"/>
    <n v="1528.3"/>
    <n v="900"/>
    <x v="231"/>
    <n v="269.7"/>
    <x v="6"/>
    <x v="2"/>
    <x v="2"/>
    <x v="1"/>
    <x v="1"/>
    <x v="7"/>
    <x v="0"/>
  </r>
  <r>
    <x v="340"/>
    <d v="2024-08-07T00:00:00"/>
    <s v="C0165"/>
    <x v="7"/>
    <s v="P009"/>
    <n v="2"/>
    <n v="0.05"/>
    <x v="0"/>
    <x v="0"/>
    <x v="1"/>
    <n v="4299"/>
    <n v="2800"/>
    <n v="8168.1"/>
    <n v="5600"/>
    <x v="232"/>
    <n v="429.90000000000003"/>
    <x v="0"/>
    <x v="0"/>
    <x v="11"/>
    <x v="3"/>
    <x v="1"/>
    <x v="7"/>
    <x v="0"/>
  </r>
  <r>
    <x v="341"/>
    <d v="2024-08-08T00:00:00"/>
    <s v="C0026"/>
    <x v="7"/>
    <s v="P002"/>
    <n v="2"/>
    <n v="0.15"/>
    <x v="0"/>
    <x v="1"/>
    <x v="0"/>
    <n v="1999"/>
    <n v="1200"/>
    <n v="3398.3"/>
    <n v="2400"/>
    <x v="233"/>
    <n v="599.69999999999993"/>
    <x v="19"/>
    <x v="1"/>
    <x v="0"/>
    <x v="0"/>
    <x v="0"/>
    <x v="7"/>
    <x v="0"/>
  </r>
  <r>
    <x v="342"/>
    <d v="2024-08-08T00:00:00"/>
    <s v="C0190"/>
    <x v="7"/>
    <s v="P014"/>
    <n v="1"/>
    <n v="0"/>
    <x v="2"/>
    <x v="3"/>
    <x v="0"/>
    <n v="220"/>
    <n v="120"/>
    <n v="220"/>
    <n v="120"/>
    <x v="234"/>
    <n v="0"/>
    <x v="20"/>
    <x v="3"/>
    <x v="8"/>
    <x v="4"/>
    <x v="0"/>
    <x v="7"/>
    <x v="0"/>
  </r>
  <r>
    <x v="343"/>
    <d v="2024-08-08T00:00:00"/>
    <s v="C0170"/>
    <x v="7"/>
    <s v="P005"/>
    <n v="2"/>
    <n v="0"/>
    <x v="1"/>
    <x v="1"/>
    <x v="2"/>
    <n v="1299"/>
    <n v="800"/>
    <n v="2598"/>
    <n v="1600"/>
    <x v="56"/>
    <n v="0"/>
    <x v="12"/>
    <x v="1"/>
    <x v="2"/>
    <x v="0"/>
    <x v="0"/>
    <x v="7"/>
    <x v="0"/>
  </r>
  <r>
    <x v="344"/>
    <d v="2024-08-08T00:00:00"/>
    <s v="C0096"/>
    <x v="7"/>
    <s v="P003"/>
    <n v="4"/>
    <n v="0"/>
    <x v="0"/>
    <x v="1"/>
    <x v="0"/>
    <n v="599"/>
    <n v="350"/>
    <n v="2396"/>
    <n v="1400"/>
    <x v="99"/>
    <n v="0"/>
    <x v="2"/>
    <x v="1"/>
    <x v="2"/>
    <x v="1"/>
    <x v="1"/>
    <x v="7"/>
    <x v="0"/>
  </r>
  <r>
    <x v="345"/>
    <d v="2024-08-09T00:00:00"/>
    <s v="C0177"/>
    <x v="7"/>
    <s v="P013"/>
    <n v="6"/>
    <n v="0.1"/>
    <x v="2"/>
    <x v="3"/>
    <x v="0"/>
    <n v="150"/>
    <n v="90"/>
    <n v="810"/>
    <n v="540"/>
    <x v="235"/>
    <n v="90"/>
    <x v="17"/>
    <x v="3"/>
    <x v="11"/>
    <x v="3"/>
    <x v="0"/>
    <x v="7"/>
    <x v="0"/>
  </r>
  <r>
    <x v="346"/>
    <d v="2024-08-10T00:00:00"/>
    <s v="C0179"/>
    <x v="7"/>
    <s v="P005"/>
    <n v="1"/>
    <n v="0.2"/>
    <x v="2"/>
    <x v="0"/>
    <x v="0"/>
    <n v="1299"/>
    <n v="800"/>
    <n v="1039.2"/>
    <n v="800"/>
    <x v="236"/>
    <n v="259.8"/>
    <x v="12"/>
    <x v="1"/>
    <x v="5"/>
    <x v="3"/>
    <x v="2"/>
    <x v="7"/>
    <x v="0"/>
  </r>
  <r>
    <x v="347"/>
    <d v="2024-08-12T00:00:00"/>
    <s v="C0124"/>
    <x v="7"/>
    <s v="P019"/>
    <n v="6"/>
    <n v="0"/>
    <x v="0"/>
    <x v="2"/>
    <x v="0"/>
    <n v="1199"/>
    <n v="600"/>
    <n v="7194"/>
    <n v="3600"/>
    <x v="237"/>
    <n v="0"/>
    <x v="15"/>
    <x v="2"/>
    <x v="9"/>
    <x v="4"/>
    <x v="0"/>
    <x v="7"/>
    <x v="0"/>
  </r>
  <r>
    <x v="348"/>
    <d v="2024-08-13T00:00:00"/>
    <s v="C0176"/>
    <x v="7"/>
    <s v="P001"/>
    <n v="2"/>
    <n v="0.05"/>
    <x v="0"/>
    <x v="0"/>
    <x v="0"/>
    <n v="700"/>
    <n v="450"/>
    <n v="1330"/>
    <n v="900"/>
    <x v="238"/>
    <n v="70"/>
    <x v="7"/>
    <x v="1"/>
    <x v="0"/>
    <x v="0"/>
    <x v="1"/>
    <x v="7"/>
    <x v="0"/>
  </r>
  <r>
    <x v="349"/>
    <d v="2024-08-14T00:00:00"/>
    <s v="C0017"/>
    <x v="7"/>
    <s v="P002"/>
    <n v="3"/>
    <n v="0.1"/>
    <x v="1"/>
    <x v="2"/>
    <x v="0"/>
    <n v="1999"/>
    <n v="1200"/>
    <n v="5397.3"/>
    <n v="3600"/>
    <x v="151"/>
    <n v="599.70000000000005"/>
    <x v="19"/>
    <x v="1"/>
    <x v="11"/>
    <x v="3"/>
    <x v="1"/>
    <x v="7"/>
    <x v="0"/>
  </r>
  <r>
    <x v="350"/>
    <d v="2024-08-14T00:00:00"/>
    <s v="C0186"/>
    <x v="7"/>
    <s v="P019"/>
    <n v="2"/>
    <n v="0.2"/>
    <x v="0"/>
    <x v="2"/>
    <x v="0"/>
    <n v="1199"/>
    <n v="600"/>
    <n v="1918.4"/>
    <n v="1200"/>
    <x v="239"/>
    <n v="479.6"/>
    <x v="15"/>
    <x v="2"/>
    <x v="13"/>
    <x v="3"/>
    <x v="2"/>
    <x v="7"/>
    <x v="0"/>
  </r>
  <r>
    <x v="351"/>
    <d v="2024-08-14T00:00:00"/>
    <s v="C0177"/>
    <x v="7"/>
    <s v="P017"/>
    <n v="1"/>
    <n v="0.05"/>
    <x v="0"/>
    <x v="1"/>
    <x v="0"/>
    <n v="449"/>
    <n v="260"/>
    <n v="426.55"/>
    <n v="260"/>
    <x v="67"/>
    <n v="22.450000000000003"/>
    <x v="10"/>
    <x v="3"/>
    <x v="11"/>
    <x v="3"/>
    <x v="0"/>
    <x v="7"/>
    <x v="0"/>
  </r>
  <r>
    <x v="352"/>
    <d v="2024-08-15T00:00:00"/>
    <s v="C0174"/>
    <x v="7"/>
    <s v="P022"/>
    <n v="5"/>
    <n v="0"/>
    <x v="1"/>
    <x v="3"/>
    <x v="0"/>
    <n v="899"/>
    <n v="450"/>
    <n v="4495"/>
    <n v="2250"/>
    <x v="6"/>
    <n v="0"/>
    <x v="6"/>
    <x v="2"/>
    <x v="0"/>
    <x v="0"/>
    <x v="0"/>
    <x v="7"/>
    <x v="0"/>
  </r>
  <r>
    <x v="353"/>
    <d v="2024-08-17T00:00:00"/>
    <s v="C0165"/>
    <x v="7"/>
    <s v="P001"/>
    <n v="2"/>
    <n v="0.05"/>
    <x v="0"/>
    <x v="4"/>
    <x v="0"/>
    <n v="700"/>
    <n v="450"/>
    <n v="1330"/>
    <n v="900"/>
    <x v="238"/>
    <n v="70"/>
    <x v="7"/>
    <x v="1"/>
    <x v="11"/>
    <x v="3"/>
    <x v="1"/>
    <x v="7"/>
    <x v="0"/>
  </r>
  <r>
    <x v="354"/>
    <d v="2024-08-17T00:00:00"/>
    <s v="C0193"/>
    <x v="7"/>
    <s v="P003"/>
    <n v="6"/>
    <n v="0"/>
    <x v="0"/>
    <x v="3"/>
    <x v="0"/>
    <n v="599"/>
    <n v="350"/>
    <n v="3594"/>
    <n v="2100"/>
    <x v="132"/>
    <n v="0"/>
    <x v="2"/>
    <x v="1"/>
    <x v="1"/>
    <x v="1"/>
    <x v="1"/>
    <x v="7"/>
    <x v="0"/>
  </r>
  <r>
    <x v="355"/>
    <d v="2024-08-18T00:00:00"/>
    <s v="C0058"/>
    <x v="7"/>
    <s v="P017"/>
    <n v="10"/>
    <n v="0.05"/>
    <x v="2"/>
    <x v="3"/>
    <x v="0"/>
    <n v="449"/>
    <n v="260"/>
    <n v="4265.5"/>
    <n v="2600"/>
    <x v="240"/>
    <n v="224.5"/>
    <x v="10"/>
    <x v="3"/>
    <x v="0"/>
    <x v="0"/>
    <x v="1"/>
    <x v="7"/>
    <x v="0"/>
  </r>
  <r>
    <x v="356"/>
    <d v="2024-08-18T00:00:00"/>
    <s v="C0114"/>
    <x v="7"/>
    <s v="P015"/>
    <n v="6"/>
    <n v="0"/>
    <x v="0"/>
    <x v="3"/>
    <x v="0"/>
    <n v="299"/>
    <n v="180"/>
    <n v="1794"/>
    <n v="1080"/>
    <x v="241"/>
    <n v="0"/>
    <x v="8"/>
    <x v="3"/>
    <x v="12"/>
    <x v="2"/>
    <x v="2"/>
    <x v="7"/>
    <x v="0"/>
  </r>
  <r>
    <x v="357"/>
    <d v="2024-08-19T00:00:00"/>
    <s v="C0191"/>
    <x v="7"/>
    <s v="P016"/>
    <n v="1"/>
    <n v="0"/>
    <x v="1"/>
    <x v="2"/>
    <x v="0"/>
    <n v="240"/>
    <n v="140"/>
    <n v="240"/>
    <n v="140"/>
    <x v="234"/>
    <n v="0"/>
    <x v="16"/>
    <x v="3"/>
    <x v="10"/>
    <x v="2"/>
    <x v="1"/>
    <x v="7"/>
    <x v="0"/>
  </r>
  <r>
    <x v="358"/>
    <d v="2024-08-19T00:00:00"/>
    <s v="C0024"/>
    <x v="7"/>
    <s v="P001"/>
    <n v="3"/>
    <n v="0.15"/>
    <x v="1"/>
    <x v="0"/>
    <x v="0"/>
    <n v="700"/>
    <n v="450"/>
    <n v="1785"/>
    <n v="1350"/>
    <x v="242"/>
    <n v="315"/>
    <x v="7"/>
    <x v="1"/>
    <x v="4"/>
    <x v="3"/>
    <x v="1"/>
    <x v="7"/>
    <x v="0"/>
  </r>
  <r>
    <x v="359"/>
    <d v="2024-08-19T00:00:00"/>
    <s v="C0094"/>
    <x v="7"/>
    <s v="P011"/>
    <n v="1"/>
    <n v="0.1"/>
    <x v="0"/>
    <x v="2"/>
    <x v="0"/>
    <n v="899"/>
    <n v="500"/>
    <n v="809.1"/>
    <n v="500"/>
    <x v="177"/>
    <n v="89.9"/>
    <x v="1"/>
    <x v="0"/>
    <x v="1"/>
    <x v="1"/>
    <x v="1"/>
    <x v="7"/>
    <x v="0"/>
  </r>
  <r>
    <x v="360"/>
    <d v="2024-08-19T00:00:00"/>
    <s v="C0154"/>
    <x v="7"/>
    <s v="P020"/>
    <n v="6"/>
    <n v="0.1"/>
    <x v="0"/>
    <x v="3"/>
    <x v="0"/>
    <n v="1799"/>
    <n v="900"/>
    <n v="9714.6"/>
    <n v="5400"/>
    <x v="197"/>
    <n v="1079.4000000000001"/>
    <x v="4"/>
    <x v="2"/>
    <x v="2"/>
    <x v="0"/>
    <x v="1"/>
    <x v="7"/>
    <x v="0"/>
  </r>
  <r>
    <x v="361"/>
    <d v="2024-08-20T00:00:00"/>
    <s v="C0195"/>
    <x v="7"/>
    <s v="P004"/>
    <n v="2"/>
    <n v="0"/>
    <x v="1"/>
    <x v="1"/>
    <x v="0"/>
    <n v="1599"/>
    <n v="900"/>
    <n v="3198"/>
    <n v="1800"/>
    <x v="138"/>
    <n v="0"/>
    <x v="21"/>
    <x v="1"/>
    <x v="10"/>
    <x v="2"/>
    <x v="1"/>
    <x v="7"/>
    <x v="0"/>
  </r>
  <r>
    <x v="362"/>
    <d v="2024-08-20T00:00:00"/>
    <s v="C0134"/>
    <x v="7"/>
    <s v="P018"/>
    <n v="4"/>
    <n v="0.1"/>
    <x v="2"/>
    <x v="0"/>
    <x v="0"/>
    <n v="499"/>
    <n v="250"/>
    <n v="1796.4"/>
    <n v="1000"/>
    <x v="243"/>
    <n v="199.60000000000002"/>
    <x v="18"/>
    <x v="2"/>
    <x v="2"/>
    <x v="1"/>
    <x v="0"/>
    <x v="7"/>
    <x v="0"/>
  </r>
  <r>
    <x v="363"/>
    <d v="2024-08-21T00:00:00"/>
    <s v="C0184"/>
    <x v="7"/>
    <s v="P005"/>
    <n v="5"/>
    <n v="0"/>
    <x v="2"/>
    <x v="3"/>
    <x v="0"/>
    <n v="1299"/>
    <n v="800"/>
    <n v="6495"/>
    <n v="4000"/>
    <x v="203"/>
    <n v="0"/>
    <x v="12"/>
    <x v="1"/>
    <x v="1"/>
    <x v="1"/>
    <x v="1"/>
    <x v="7"/>
    <x v="0"/>
  </r>
  <r>
    <x v="364"/>
    <d v="2024-08-22T00:00:00"/>
    <s v="C0056"/>
    <x v="7"/>
    <s v="P013"/>
    <n v="6"/>
    <n v="0.1"/>
    <x v="0"/>
    <x v="3"/>
    <x v="0"/>
    <n v="150"/>
    <n v="90"/>
    <n v="810"/>
    <n v="540"/>
    <x v="235"/>
    <n v="90"/>
    <x v="17"/>
    <x v="3"/>
    <x v="1"/>
    <x v="1"/>
    <x v="1"/>
    <x v="7"/>
    <x v="0"/>
  </r>
  <r>
    <x v="365"/>
    <d v="2024-08-23T00:00:00"/>
    <s v="C0012"/>
    <x v="7"/>
    <s v="P014"/>
    <n v="1"/>
    <n v="0.1"/>
    <x v="1"/>
    <x v="2"/>
    <x v="0"/>
    <n v="220"/>
    <n v="120"/>
    <n v="198"/>
    <n v="120"/>
    <x v="244"/>
    <n v="22"/>
    <x v="20"/>
    <x v="3"/>
    <x v="4"/>
    <x v="3"/>
    <x v="1"/>
    <x v="7"/>
    <x v="0"/>
  </r>
  <r>
    <x v="366"/>
    <d v="2024-08-23T00:00:00"/>
    <s v="C0035"/>
    <x v="7"/>
    <s v="P017"/>
    <n v="6"/>
    <n v="0"/>
    <x v="1"/>
    <x v="0"/>
    <x v="0"/>
    <n v="449"/>
    <n v="260"/>
    <n v="2694"/>
    <n v="1560"/>
    <x v="245"/>
    <n v="0"/>
    <x v="10"/>
    <x v="3"/>
    <x v="12"/>
    <x v="2"/>
    <x v="0"/>
    <x v="7"/>
    <x v="0"/>
  </r>
  <r>
    <x v="367"/>
    <d v="2024-08-25T00:00:00"/>
    <s v="C0124"/>
    <x v="7"/>
    <s v="P019"/>
    <n v="10"/>
    <n v="0.1"/>
    <x v="1"/>
    <x v="2"/>
    <x v="2"/>
    <n v="1199"/>
    <n v="600"/>
    <n v="10791"/>
    <n v="6000"/>
    <x v="246"/>
    <n v="1199"/>
    <x v="15"/>
    <x v="2"/>
    <x v="9"/>
    <x v="4"/>
    <x v="0"/>
    <x v="7"/>
    <x v="0"/>
  </r>
  <r>
    <x v="368"/>
    <d v="2024-08-25T00:00:00"/>
    <s v="C0188"/>
    <x v="7"/>
    <s v="P006"/>
    <n v="2"/>
    <n v="0"/>
    <x v="1"/>
    <x v="1"/>
    <x v="0"/>
    <n v="1799"/>
    <n v="1100"/>
    <n v="3598"/>
    <n v="2200"/>
    <x v="138"/>
    <n v="0"/>
    <x v="14"/>
    <x v="1"/>
    <x v="7"/>
    <x v="4"/>
    <x v="2"/>
    <x v="7"/>
    <x v="0"/>
  </r>
  <r>
    <x v="369"/>
    <d v="2024-08-26T00:00:00"/>
    <s v="C0099"/>
    <x v="7"/>
    <s v="P017"/>
    <n v="5"/>
    <n v="0.2"/>
    <x v="2"/>
    <x v="1"/>
    <x v="2"/>
    <n v="449"/>
    <n v="260"/>
    <n v="1796"/>
    <n v="1300"/>
    <x v="247"/>
    <n v="449"/>
    <x v="10"/>
    <x v="3"/>
    <x v="5"/>
    <x v="3"/>
    <x v="1"/>
    <x v="7"/>
    <x v="0"/>
  </r>
  <r>
    <x v="370"/>
    <d v="2024-08-27T00:00:00"/>
    <s v="C0088"/>
    <x v="7"/>
    <s v="P013"/>
    <n v="3"/>
    <n v="0.05"/>
    <x v="0"/>
    <x v="2"/>
    <x v="0"/>
    <n v="150"/>
    <n v="90"/>
    <n v="427.5"/>
    <n v="270"/>
    <x v="41"/>
    <n v="22.5"/>
    <x v="17"/>
    <x v="3"/>
    <x v="13"/>
    <x v="3"/>
    <x v="0"/>
    <x v="7"/>
    <x v="0"/>
  </r>
  <r>
    <x v="371"/>
    <d v="2024-08-27T00:00:00"/>
    <s v="C0077"/>
    <x v="7"/>
    <s v="P017"/>
    <n v="10"/>
    <n v="0.15"/>
    <x v="1"/>
    <x v="4"/>
    <x v="0"/>
    <n v="449"/>
    <n v="260"/>
    <n v="3816.5"/>
    <n v="2600"/>
    <x v="248"/>
    <n v="673.5"/>
    <x v="10"/>
    <x v="3"/>
    <x v="8"/>
    <x v="4"/>
    <x v="1"/>
    <x v="7"/>
    <x v="0"/>
  </r>
  <r>
    <x v="372"/>
    <d v="2024-08-27T00:00:00"/>
    <s v="C0054"/>
    <x v="7"/>
    <s v="P007"/>
    <n v="3"/>
    <n v="0.1"/>
    <x v="2"/>
    <x v="4"/>
    <x v="3"/>
    <n v="5499"/>
    <n v="3500"/>
    <n v="14847.3"/>
    <n v="10500"/>
    <x v="12"/>
    <n v="1649.7"/>
    <x v="11"/>
    <x v="0"/>
    <x v="10"/>
    <x v="2"/>
    <x v="1"/>
    <x v="7"/>
    <x v="0"/>
  </r>
  <r>
    <x v="373"/>
    <d v="2024-08-27T00:00:00"/>
    <s v="C0139"/>
    <x v="7"/>
    <s v="P017"/>
    <n v="4"/>
    <n v="0.1"/>
    <x v="1"/>
    <x v="0"/>
    <x v="0"/>
    <n v="449"/>
    <n v="260"/>
    <n v="1616.4"/>
    <n v="1040"/>
    <x v="249"/>
    <n v="179.60000000000002"/>
    <x v="10"/>
    <x v="3"/>
    <x v="3"/>
    <x v="2"/>
    <x v="0"/>
    <x v="7"/>
    <x v="0"/>
  </r>
  <r>
    <x v="374"/>
    <d v="2024-08-28T00:00:00"/>
    <s v="C0147"/>
    <x v="7"/>
    <s v="P019"/>
    <n v="5"/>
    <n v="0.1"/>
    <x v="1"/>
    <x v="1"/>
    <x v="2"/>
    <n v="1199"/>
    <n v="600"/>
    <n v="5395.5"/>
    <n v="3000"/>
    <x v="250"/>
    <n v="599.5"/>
    <x v="15"/>
    <x v="2"/>
    <x v="4"/>
    <x v="3"/>
    <x v="1"/>
    <x v="7"/>
    <x v="0"/>
  </r>
  <r>
    <x v="375"/>
    <d v="2024-08-28T00:00:00"/>
    <s v="C0004"/>
    <x v="7"/>
    <s v="P014"/>
    <n v="10"/>
    <n v="0"/>
    <x v="2"/>
    <x v="3"/>
    <x v="0"/>
    <n v="220"/>
    <n v="120"/>
    <n v="2200"/>
    <n v="1200"/>
    <x v="136"/>
    <n v="0"/>
    <x v="20"/>
    <x v="3"/>
    <x v="1"/>
    <x v="1"/>
    <x v="1"/>
    <x v="7"/>
    <x v="0"/>
  </r>
  <r>
    <x v="376"/>
    <d v="2024-08-29T00:00:00"/>
    <s v="C0069"/>
    <x v="7"/>
    <s v="P007"/>
    <n v="2"/>
    <n v="0.2"/>
    <x v="2"/>
    <x v="3"/>
    <x v="0"/>
    <n v="5499"/>
    <n v="3500"/>
    <n v="8798.4"/>
    <n v="7000"/>
    <x v="251"/>
    <n v="2199.6"/>
    <x v="11"/>
    <x v="0"/>
    <x v="1"/>
    <x v="1"/>
    <x v="1"/>
    <x v="7"/>
    <x v="0"/>
  </r>
  <r>
    <x v="377"/>
    <d v="2024-08-29T00:00:00"/>
    <s v="C0053"/>
    <x v="7"/>
    <s v="P010"/>
    <n v="10"/>
    <n v="0"/>
    <x v="2"/>
    <x v="2"/>
    <x v="0"/>
    <n v="4599"/>
    <n v="3000"/>
    <n v="45990"/>
    <n v="30000"/>
    <x v="252"/>
    <n v="0"/>
    <x v="3"/>
    <x v="0"/>
    <x v="0"/>
    <x v="0"/>
    <x v="1"/>
    <x v="7"/>
    <x v="0"/>
  </r>
  <r>
    <x v="378"/>
    <d v="2024-08-29T00:00:00"/>
    <s v="C0190"/>
    <x v="7"/>
    <s v="P022"/>
    <n v="10"/>
    <n v="0.15"/>
    <x v="1"/>
    <x v="0"/>
    <x v="0"/>
    <n v="899"/>
    <n v="450"/>
    <n v="7641.5"/>
    <n v="4500"/>
    <x v="253"/>
    <n v="1348.5"/>
    <x v="6"/>
    <x v="2"/>
    <x v="8"/>
    <x v="4"/>
    <x v="0"/>
    <x v="7"/>
    <x v="0"/>
  </r>
  <r>
    <x v="379"/>
    <d v="2024-08-30T00:00:00"/>
    <s v="C0131"/>
    <x v="7"/>
    <s v="P008"/>
    <n v="3"/>
    <n v="0.1"/>
    <x v="0"/>
    <x v="0"/>
    <x v="0"/>
    <n v="6499"/>
    <n v="4200"/>
    <n v="17547.3"/>
    <n v="12600"/>
    <x v="254"/>
    <n v="1949.7"/>
    <x v="13"/>
    <x v="0"/>
    <x v="10"/>
    <x v="2"/>
    <x v="0"/>
    <x v="7"/>
    <x v="0"/>
  </r>
  <r>
    <x v="380"/>
    <d v="2024-08-31T00:00:00"/>
    <s v="C0176"/>
    <x v="7"/>
    <s v="P014"/>
    <n v="4"/>
    <n v="0.2"/>
    <x v="1"/>
    <x v="1"/>
    <x v="0"/>
    <n v="220"/>
    <n v="120"/>
    <n v="704"/>
    <n v="480"/>
    <x v="255"/>
    <n v="176"/>
    <x v="20"/>
    <x v="3"/>
    <x v="0"/>
    <x v="0"/>
    <x v="1"/>
    <x v="7"/>
    <x v="0"/>
  </r>
  <r>
    <x v="381"/>
    <d v="2024-08-31T00:00:00"/>
    <s v="C0159"/>
    <x v="7"/>
    <s v="P007"/>
    <n v="6"/>
    <n v="0.1"/>
    <x v="1"/>
    <x v="1"/>
    <x v="2"/>
    <n v="5499"/>
    <n v="3500"/>
    <n v="29694.6"/>
    <n v="21000"/>
    <x v="256"/>
    <n v="3299.4"/>
    <x v="11"/>
    <x v="0"/>
    <x v="1"/>
    <x v="1"/>
    <x v="2"/>
    <x v="7"/>
    <x v="0"/>
  </r>
  <r>
    <x v="382"/>
    <d v="2024-08-31T00:00:00"/>
    <s v="C0140"/>
    <x v="7"/>
    <s v="P019"/>
    <n v="2"/>
    <n v="0.1"/>
    <x v="0"/>
    <x v="0"/>
    <x v="3"/>
    <n v="1199"/>
    <n v="600"/>
    <n v="2158.1999999999998"/>
    <n v="1200"/>
    <x v="257"/>
    <n v="239.8"/>
    <x v="15"/>
    <x v="2"/>
    <x v="12"/>
    <x v="2"/>
    <x v="2"/>
    <x v="7"/>
    <x v="0"/>
  </r>
  <r>
    <x v="383"/>
    <d v="2024-09-01T00:00:00"/>
    <s v="C0175"/>
    <x v="8"/>
    <s v="P006"/>
    <n v="1"/>
    <n v="0"/>
    <x v="1"/>
    <x v="3"/>
    <x v="0"/>
    <n v="1799"/>
    <n v="1100"/>
    <n v="1799"/>
    <n v="1100"/>
    <x v="107"/>
    <n v="0"/>
    <x v="14"/>
    <x v="1"/>
    <x v="9"/>
    <x v="4"/>
    <x v="1"/>
    <x v="8"/>
    <x v="0"/>
  </r>
  <r>
    <x v="384"/>
    <d v="2024-09-01T00:00:00"/>
    <s v="C0011"/>
    <x v="8"/>
    <s v="P013"/>
    <n v="5"/>
    <n v="0"/>
    <x v="2"/>
    <x v="2"/>
    <x v="0"/>
    <n v="150"/>
    <n v="90"/>
    <n v="750"/>
    <n v="450"/>
    <x v="258"/>
    <n v="0"/>
    <x v="17"/>
    <x v="3"/>
    <x v="1"/>
    <x v="1"/>
    <x v="1"/>
    <x v="8"/>
    <x v="0"/>
  </r>
  <r>
    <x v="385"/>
    <d v="2024-09-01T00:00:00"/>
    <s v="C0002"/>
    <x v="8"/>
    <s v="P009"/>
    <n v="4"/>
    <n v="0.05"/>
    <x v="2"/>
    <x v="4"/>
    <x v="3"/>
    <n v="4299"/>
    <n v="2800"/>
    <n v="16336.2"/>
    <n v="11200"/>
    <x v="0"/>
    <n v="859.80000000000007"/>
    <x v="0"/>
    <x v="0"/>
    <x v="6"/>
    <x v="4"/>
    <x v="1"/>
    <x v="8"/>
    <x v="0"/>
  </r>
  <r>
    <x v="386"/>
    <d v="2024-09-02T00:00:00"/>
    <s v="C0153"/>
    <x v="8"/>
    <s v="P011"/>
    <n v="1"/>
    <n v="0.1"/>
    <x v="1"/>
    <x v="1"/>
    <x v="0"/>
    <n v="899"/>
    <n v="500"/>
    <n v="809.1"/>
    <n v="500"/>
    <x v="177"/>
    <n v="89.9"/>
    <x v="1"/>
    <x v="0"/>
    <x v="5"/>
    <x v="3"/>
    <x v="0"/>
    <x v="8"/>
    <x v="0"/>
  </r>
  <r>
    <x v="387"/>
    <d v="2024-09-02T00:00:00"/>
    <s v="C0147"/>
    <x v="8"/>
    <s v="P016"/>
    <n v="10"/>
    <n v="0"/>
    <x v="0"/>
    <x v="2"/>
    <x v="0"/>
    <n v="240"/>
    <n v="140"/>
    <n v="2400"/>
    <n v="1400"/>
    <x v="136"/>
    <n v="0"/>
    <x v="16"/>
    <x v="3"/>
    <x v="4"/>
    <x v="3"/>
    <x v="1"/>
    <x v="8"/>
    <x v="0"/>
  </r>
  <r>
    <x v="388"/>
    <d v="2024-09-03T00:00:00"/>
    <s v="C0048"/>
    <x v="8"/>
    <s v="P008"/>
    <n v="10"/>
    <n v="0"/>
    <x v="0"/>
    <x v="2"/>
    <x v="0"/>
    <n v="6499"/>
    <n v="4200"/>
    <n v="64990"/>
    <n v="42000"/>
    <x v="115"/>
    <n v="0"/>
    <x v="13"/>
    <x v="0"/>
    <x v="1"/>
    <x v="1"/>
    <x v="1"/>
    <x v="8"/>
    <x v="0"/>
  </r>
  <r>
    <x v="389"/>
    <d v="2024-09-03T00:00:00"/>
    <s v="C0104"/>
    <x v="8"/>
    <s v="P018"/>
    <n v="1"/>
    <n v="0"/>
    <x v="1"/>
    <x v="1"/>
    <x v="2"/>
    <n v="499"/>
    <n v="250"/>
    <n v="499"/>
    <n v="250"/>
    <x v="36"/>
    <n v="0"/>
    <x v="18"/>
    <x v="2"/>
    <x v="1"/>
    <x v="1"/>
    <x v="1"/>
    <x v="8"/>
    <x v="0"/>
  </r>
  <r>
    <x v="390"/>
    <d v="2024-09-03T00:00:00"/>
    <s v="C0093"/>
    <x v="8"/>
    <s v="P011"/>
    <n v="3"/>
    <n v="0"/>
    <x v="1"/>
    <x v="0"/>
    <x v="0"/>
    <n v="899"/>
    <n v="500"/>
    <n v="2697"/>
    <n v="1500"/>
    <x v="153"/>
    <n v="0"/>
    <x v="1"/>
    <x v="0"/>
    <x v="0"/>
    <x v="0"/>
    <x v="1"/>
    <x v="8"/>
    <x v="0"/>
  </r>
  <r>
    <x v="391"/>
    <d v="2024-09-04T00:00:00"/>
    <s v="C0193"/>
    <x v="8"/>
    <s v="P018"/>
    <n v="1"/>
    <n v="0"/>
    <x v="2"/>
    <x v="2"/>
    <x v="0"/>
    <n v="499"/>
    <n v="250"/>
    <n v="499"/>
    <n v="250"/>
    <x v="36"/>
    <n v="0"/>
    <x v="18"/>
    <x v="2"/>
    <x v="1"/>
    <x v="1"/>
    <x v="1"/>
    <x v="8"/>
    <x v="0"/>
  </r>
  <r>
    <x v="392"/>
    <d v="2024-09-06T00:00:00"/>
    <s v="C0063"/>
    <x v="8"/>
    <s v="P020"/>
    <n v="1"/>
    <n v="0.1"/>
    <x v="2"/>
    <x v="0"/>
    <x v="0"/>
    <n v="1799"/>
    <n v="900"/>
    <n v="1619.1"/>
    <n v="900"/>
    <x v="259"/>
    <n v="179.9"/>
    <x v="4"/>
    <x v="2"/>
    <x v="6"/>
    <x v="4"/>
    <x v="1"/>
    <x v="8"/>
    <x v="0"/>
  </r>
  <r>
    <x v="393"/>
    <d v="2024-09-06T00:00:00"/>
    <s v="C0139"/>
    <x v="8"/>
    <s v="P009"/>
    <n v="3"/>
    <n v="0"/>
    <x v="0"/>
    <x v="2"/>
    <x v="0"/>
    <n v="4299"/>
    <n v="2800"/>
    <n v="12897"/>
    <n v="8400"/>
    <x v="260"/>
    <n v="0"/>
    <x v="0"/>
    <x v="0"/>
    <x v="3"/>
    <x v="2"/>
    <x v="0"/>
    <x v="8"/>
    <x v="0"/>
  </r>
  <r>
    <x v="394"/>
    <d v="2024-09-06T00:00:00"/>
    <s v="C0115"/>
    <x v="8"/>
    <s v="P017"/>
    <n v="6"/>
    <n v="0"/>
    <x v="2"/>
    <x v="1"/>
    <x v="2"/>
    <n v="449"/>
    <n v="260"/>
    <n v="2694"/>
    <n v="1560"/>
    <x v="245"/>
    <n v="0"/>
    <x v="10"/>
    <x v="3"/>
    <x v="8"/>
    <x v="4"/>
    <x v="0"/>
    <x v="8"/>
    <x v="0"/>
  </r>
  <r>
    <x v="395"/>
    <d v="2024-09-07T00:00:00"/>
    <s v="C0022"/>
    <x v="8"/>
    <s v="P017"/>
    <n v="1"/>
    <n v="0"/>
    <x v="1"/>
    <x v="2"/>
    <x v="3"/>
    <n v="449"/>
    <n v="260"/>
    <n v="449"/>
    <n v="260"/>
    <x v="114"/>
    <n v="0"/>
    <x v="10"/>
    <x v="3"/>
    <x v="13"/>
    <x v="3"/>
    <x v="1"/>
    <x v="8"/>
    <x v="0"/>
  </r>
  <r>
    <x v="396"/>
    <d v="2024-09-10T00:00:00"/>
    <s v="C0161"/>
    <x v="8"/>
    <s v="P001"/>
    <n v="1"/>
    <n v="0"/>
    <x v="2"/>
    <x v="0"/>
    <x v="0"/>
    <n v="700"/>
    <n v="450"/>
    <n v="700"/>
    <n v="450"/>
    <x v="261"/>
    <n v="0"/>
    <x v="7"/>
    <x v="1"/>
    <x v="8"/>
    <x v="4"/>
    <x v="1"/>
    <x v="8"/>
    <x v="0"/>
  </r>
  <r>
    <x v="397"/>
    <d v="2024-09-11T00:00:00"/>
    <s v="C0053"/>
    <x v="8"/>
    <s v="P004"/>
    <n v="10"/>
    <n v="0.1"/>
    <x v="1"/>
    <x v="0"/>
    <x v="2"/>
    <n v="1599"/>
    <n v="900"/>
    <n v="14391"/>
    <n v="9000"/>
    <x v="262"/>
    <n v="1599"/>
    <x v="21"/>
    <x v="1"/>
    <x v="0"/>
    <x v="0"/>
    <x v="1"/>
    <x v="8"/>
    <x v="0"/>
  </r>
  <r>
    <x v="398"/>
    <d v="2024-09-13T00:00:00"/>
    <s v="C0019"/>
    <x v="8"/>
    <s v="P021"/>
    <n v="2"/>
    <n v="0"/>
    <x v="2"/>
    <x v="3"/>
    <x v="0"/>
    <n v="1599"/>
    <n v="800"/>
    <n v="3198"/>
    <n v="1600"/>
    <x v="119"/>
    <n v="0"/>
    <x v="9"/>
    <x v="2"/>
    <x v="0"/>
    <x v="0"/>
    <x v="1"/>
    <x v="8"/>
    <x v="0"/>
  </r>
  <r>
    <x v="399"/>
    <d v="2024-09-13T00:00:00"/>
    <s v="C0014"/>
    <x v="8"/>
    <s v="P003"/>
    <n v="2"/>
    <n v="0.1"/>
    <x v="1"/>
    <x v="4"/>
    <x v="0"/>
    <n v="599"/>
    <n v="350"/>
    <n v="1078.2"/>
    <n v="700"/>
    <x v="156"/>
    <n v="119.80000000000001"/>
    <x v="2"/>
    <x v="1"/>
    <x v="1"/>
    <x v="1"/>
    <x v="1"/>
    <x v="8"/>
    <x v="0"/>
  </r>
  <r>
    <x v="400"/>
    <d v="2024-09-13T00:00:00"/>
    <s v="C0105"/>
    <x v="8"/>
    <s v="P009"/>
    <n v="5"/>
    <n v="0.05"/>
    <x v="0"/>
    <x v="3"/>
    <x v="0"/>
    <n v="4299"/>
    <n v="2800"/>
    <n v="20420.25"/>
    <n v="14000"/>
    <x v="210"/>
    <n v="1074.75"/>
    <x v="0"/>
    <x v="0"/>
    <x v="10"/>
    <x v="2"/>
    <x v="0"/>
    <x v="8"/>
    <x v="0"/>
  </r>
  <r>
    <x v="401"/>
    <d v="2024-09-13T00:00:00"/>
    <s v="C0173"/>
    <x v="8"/>
    <s v="P013"/>
    <n v="1"/>
    <n v="0.05"/>
    <x v="1"/>
    <x v="3"/>
    <x v="0"/>
    <n v="150"/>
    <n v="90"/>
    <n v="142.5"/>
    <n v="90"/>
    <x v="35"/>
    <n v="7.5"/>
    <x v="17"/>
    <x v="3"/>
    <x v="4"/>
    <x v="3"/>
    <x v="1"/>
    <x v="8"/>
    <x v="0"/>
  </r>
  <r>
    <x v="402"/>
    <d v="2024-09-13T00:00:00"/>
    <s v="C0012"/>
    <x v="8"/>
    <s v="P019"/>
    <n v="1"/>
    <n v="0"/>
    <x v="0"/>
    <x v="1"/>
    <x v="0"/>
    <n v="1199"/>
    <n v="600"/>
    <n v="1199"/>
    <n v="600"/>
    <x v="25"/>
    <n v="0"/>
    <x v="15"/>
    <x v="2"/>
    <x v="4"/>
    <x v="3"/>
    <x v="1"/>
    <x v="8"/>
    <x v="0"/>
  </r>
  <r>
    <x v="403"/>
    <d v="2024-09-15T00:00:00"/>
    <s v="C0023"/>
    <x v="8"/>
    <s v="P020"/>
    <n v="3"/>
    <n v="0.1"/>
    <x v="0"/>
    <x v="3"/>
    <x v="0"/>
    <n v="1799"/>
    <n v="900"/>
    <n v="4857.3"/>
    <n v="2700"/>
    <x v="157"/>
    <n v="539.70000000000005"/>
    <x v="4"/>
    <x v="2"/>
    <x v="0"/>
    <x v="0"/>
    <x v="0"/>
    <x v="8"/>
    <x v="0"/>
  </r>
  <r>
    <x v="404"/>
    <d v="2024-09-15T00:00:00"/>
    <s v="C0041"/>
    <x v="8"/>
    <s v="P016"/>
    <n v="10"/>
    <n v="0"/>
    <x v="1"/>
    <x v="1"/>
    <x v="0"/>
    <n v="240"/>
    <n v="140"/>
    <n v="2400"/>
    <n v="1400"/>
    <x v="136"/>
    <n v="0"/>
    <x v="16"/>
    <x v="3"/>
    <x v="0"/>
    <x v="0"/>
    <x v="0"/>
    <x v="8"/>
    <x v="0"/>
  </r>
  <r>
    <x v="405"/>
    <d v="2024-09-15T00:00:00"/>
    <s v="C0037"/>
    <x v="8"/>
    <s v="P021"/>
    <n v="3"/>
    <n v="0.1"/>
    <x v="1"/>
    <x v="1"/>
    <x v="2"/>
    <n v="1599"/>
    <n v="800"/>
    <n v="4317.3"/>
    <n v="2400"/>
    <x v="263"/>
    <n v="479.70000000000005"/>
    <x v="9"/>
    <x v="2"/>
    <x v="2"/>
    <x v="1"/>
    <x v="2"/>
    <x v="8"/>
    <x v="0"/>
  </r>
  <r>
    <x v="406"/>
    <d v="2024-09-16T00:00:00"/>
    <s v="C0142"/>
    <x v="8"/>
    <s v="P001"/>
    <n v="10"/>
    <n v="0"/>
    <x v="1"/>
    <x v="2"/>
    <x v="0"/>
    <n v="700"/>
    <n v="450"/>
    <n v="7000"/>
    <n v="4500"/>
    <x v="228"/>
    <n v="0"/>
    <x v="7"/>
    <x v="1"/>
    <x v="3"/>
    <x v="2"/>
    <x v="1"/>
    <x v="8"/>
    <x v="0"/>
  </r>
  <r>
    <x v="407"/>
    <d v="2024-09-16T00:00:00"/>
    <s v="C0138"/>
    <x v="8"/>
    <s v="P013"/>
    <n v="10"/>
    <n v="0.15"/>
    <x v="1"/>
    <x v="1"/>
    <x v="0"/>
    <n v="150"/>
    <n v="90"/>
    <n v="1275"/>
    <n v="900"/>
    <x v="264"/>
    <n v="225"/>
    <x v="17"/>
    <x v="3"/>
    <x v="12"/>
    <x v="2"/>
    <x v="1"/>
    <x v="8"/>
    <x v="0"/>
  </r>
  <r>
    <x v="408"/>
    <d v="2024-09-17T00:00:00"/>
    <s v="C0106"/>
    <x v="8"/>
    <s v="P007"/>
    <n v="10"/>
    <n v="0"/>
    <x v="1"/>
    <x v="1"/>
    <x v="0"/>
    <n v="5499"/>
    <n v="3500"/>
    <n v="54990"/>
    <n v="35000"/>
    <x v="92"/>
    <n v="0"/>
    <x v="11"/>
    <x v="0"/>
    <x v="3"/>
    <x v="2"/>
    <x v="0"/>
    <x v="8"/>
    <x v="0"/>
  </r>
  <r>
    <x v="409"/>
    <d v="2024-09-18T00:00:00"/>
    <s v="C0030"/>
    <x v="8"/>
    <s v="P007"/>
    <n v="2"/>
    <n v="0.1"/>
    <x v="2"/>
    <x v="2"/>
    <x v="0"/>
    <n v="5499"/>
    <n v="3500"/>
    <n v="9898.2000000000007"/>
    <n v="7000"/>
    <x v="265"/>
    <n v="1099.8"/>
    <x v="11"/>
    <x v="0"/>
    <x v="4"/>
    <x v="3"/>
    <x v="1"/>
    <x v="8"/>
    <x v="0"/>
  </r>
  <r>
    <x v="410"/>
    <d v="2024-09-18T00:00:00"/>
    <s v="C0166"/>
    <x v="8"/>
    <s v="P015"/>
    <n v="10"/>
    <n v="0"/>
    <x v="0"/>
    <x v="3"/>
    <x v="0"/>
    <n v="299"/>
    <n v="180"/>
    <n v="2990"/>
    <n v="1800"/>
    <x v="19"/>
    <n v="0"/>
    <x v="8"/>
    <x v="3"/>
    <x v="1"/>
    <x v="1"/>
    <x v="1"/>
    <x v="8"/>
    <x v="0"/>
  </r>
  <r>
    <x v="411"/>
    <d v="2024-09-18T00:00:00"/>
    <s v="C0186"/>
    <x v="8"/>
    <s v="P007"/>
    <n v="6"/>
    <n v="0.2"/>
    <x v="1"/>
    <x v="4"/>
    <x v="0"/>
    <n v="5499"/>
    <n v="3500"/>
    <n v="26395.200000000001"/>
    <n v="21000"/>
    <x v="266"/>
    <n v="6598.8"/>
    <x v="11"/>
    <x v="0"/>
    <x v="13"/>
    <x v="3"/>
    <x v="2"/>
    <x v="8"/>
    <x v="0"/>
  </r>
  <r>
    <x v="412"/>
    <d v="2024-09-19T00:00:00"/>
    <s v="C0073"/>
    <x v="8"/>
    <s v="P004"/>
    <n v="1"/>
    <n v="0.15"/>
    <x v="0"/>
    <x v="1"/>
    <x v="0"/>
    <n v="1599"/>
    <n v="900"/>
    <n v="1359.15"/>
    <n v="900"/>
    <x v="267"/>
    <n v="239.85"/>
    <x v="21"/>
    <x v="1"/>
    <x v="6"/>
    <x v="4"/>
    <x v="2"/>
    <x v="8"/>
    <x v="0"/>
  </r>
  <r>
    <x v="413"/>
    <d v="2024-09-19T00:00:00"/>
    <s v="C0169"/>
    <x v="8"/>
    <s v="P020"/>
    <n v="3"/>
    <n v="0.1"/>
    <x v="1"/>
    <x v="1"/>
    <x v="0"/>
    <n v="1799"/>
    <n v="900"/>
    <n v="4857.3"/>
    <n v="2700"/>
    <x v="157"/>
    <n v="539.70000000000005"/>
    <x v="4"/>
    <x v="2"/>
    <x v="3"/>
    <x v="2"/>
    <x v="1"/>
    <x v="8"/>
    <x v="0"/>
  </r>
  <r>
    <x v="414"/>
    <d v="2024-09-20T00:00:00"/>
    <s v="C0110"/>
    <x v="8"/>
    <s v="P011"/>
    <n v="2"/>
    <n v="0"/>
    <x v="2"/>
    <x v="0"/>
    <x v="0"/>
    <n v="899"/>
    <n v="500"/>
    <n v="1798"/>
    <n v="1000"/>
    <x v="268"/>
    <n v="0"/>
    <x v="1"/>
    <x v="0"/>
    <x v="0"/>
    <x v="0"/>
    <x v="1"/>
    <x v="8"/>
    <x v="0"/>
  </r>
  <r>
    <x v="415"/>
    <d v="2024-09-25T00:00:00"/>
    <s v="C0093"/>
    <x v="8"/>
    <s v="P009"/>
    <n v="2"/>
    <n v="0.1"/>
    <x v="0"/>
    <x v="0"/>
    <x v="0"/>
    <n v="4299"/>
    <n v="2800"/>
    <n v="7738.2"/>
    <n v="5600"/>
    <x v="269"/>
    <n v="859.80000000000007"/>
    <x v="0"/>
    <x v="0"/>
    <x v="0"/>
    <x v="0"/>
    <x v="1"/>
    <x v="8"/>
    <x v="0"/>
  </r>
  <r>
    <x v="416"/>
    <d v="2024-09-27T00:00:00"/>
    <s v="C0092"/>
    <x v="8"/>
    <s v="P015"/>
    <n v="3"/>
    <n v="0.05"/>
    <x v="1"/>
    <x v="2"/>
    <x v="0"/>
    <n v="299"/>
    <n v="180"/>
    <n v="852.15"/>
    <n v="540"/>
    <x v="201"/>
    <n v="44.85"/>
    <x v="8"/>
    <x v="3"/>
    <x v="2"/>
    <x v="1"/>
    <x v="0"/>
    <x v="8"/>
    <x v="0"/>
  </r>
  <r>
    <x v="417"/>
    <d v="2024-09-27T00:00:00"/>
    <s v="C0072"/>
    <x v="8"/>
    <s v="P003"/>
    <n v="2"/>
    <n v="0.15"/>
    <x v="1"/>
    <x v="3"/>
    <x v="0"/>
    <n v="599"/>
    <n v="350"/>
    <n v="1018.3"/>
    <n v="700"/>
    <x v="270"/>
    <n v="179.7"/>
    <x v="2"/>
    <x v="1"/>
    <x v="2"/>
    <x v="1"/>
    <x v="1"/>
    <x v="8"/>
    <x v="0"/>
  </r>
  <r>
    <x v="418"/>
    <d v="2024-09-27T00:00:00"/>
    <s v="C0005"/>
    <x v="8"/>
    <s v="P003"/>
    <n v="10"/>
    <n v="0.05"/>
    <x v="1"/>
    <x v="0"/>
    <x v="0"/>
    <n v="599"/>
    <n v="350"/>
    <n v="5690.5"/>
    <n v="3500"/>
    <x v="271"/>
    <n v="299.5"/>
    <x v="2"/>
    <x v="1"/>
    <x v="2"/>
    <x v="0"/>
    <x v="1"/>
    <x v="8"/>
    <x v="0"/>
  </r>
  <r>
    <x v="419"/>
    <d v="2024-09-28T00:00:00"/>
    <s v="C0055"/>
    <x v="8"/>
    <s v="P019"/>
    <n v="1"/>
    <n v="0.05"/>
    <x v="1"/>
    <x v="0"/>
    <x v="0"/>
    <n v="1199"/>
    <n v="600"/>
    <n v="1139.05"/>
    <n v="600"/>
    <x v="77"/>
    <n v="59.95"/>
    <x v="15"/>
    <x v="2"/>
    <x v="5"/>
    <x v="3"/>
    <x v="1"/>
    <x v="8"/>
    <x v="0"/>
  </r>
  <r>
    <x v="420"/>
    <d v="2024-09-28T00:00:00"/>
    <s v="C0199"/>
    <x v="8"/>
    <s v="P021"/>
    <n v="2"/>
    <n v="0"/>
    <x v="1"/>
    <x v="1"/>
    <x v="0"/>
    <n v="1599"/>
    <n v="800"/>
    <n v="3198"/>
    <n v="1600"/>
    <x v="119"/>
    <n v="0"/>
    <x v="9"/>
    <x v="2"/>
    <x v="2"/>
    <x v="1"/>
    <x v="0"/>
    <x v="8"/>
    <x v="0"/>
  </r>
  <r>
    <x v="421"/>
    <d v="2024-09-29T00:00:00"/>
    <s v="C0119"/>
    <x v="8"/>
    <s v="P005"/>
    <n v="10"/>
    <n v="0.05"/>
    <x v="1"/>
    <x v="3"/>
    <x v="0"/>
    <n v="1299"/>
    <n v="800"/>
    <n v="12340.5"/>
    <n v="8000"/>
    <x v="272"/>
    <n v="649.5"/>
    <x v="12"/>
    <x v="1"/>
    <x v="1"/>
    <x v="1"/>
    <x v="1"/>
    <x v="8"/>
    <x v="0"/>
  </r>
  <r>
    <x v="422"/>
    <d v="2024-09-30T00:00:00"/>
    <s v="C0062"/>
    <x v="8"/>
    <s v="P022"/>
    <n v="2"/>
    <n v="0.1"/>
    <x v="2"/>
    <x v="4"/>
    <x v="0"/>
    <n v="899"/>
    <n v="450"/>
    <n v="1618.2"/>
    <n v="900"/>
    <x v="72"/>
    <n v="179.8"/>
    <x v="6"/>
    <x v="2"/>
    <x v="0"/>
    <x v="0"/>
    <x v="2"/>
    <x v="8"/>
    <x v="0"/>
  </r>
  <r>
    <x v="423"/>
    <d v="2024-09-30T00:00:00"/>
    <s v="C0145"/>
    <x v="8"/>
    <s v="P019"/>
    <n v="2"/>
    <n v="0.1"/>
    <x v="0"/>
    <x v="3"/>
    <x v="0"/>
    <n v="1199"/>
    <n v="600"/>
    <n v="2158.1999999999998"/>
    <n v="1200"/>
    <x v="257"/>
    <n v="239.8"/>
    <x v="15"/>
    <x v="2"/>
    <x v="6"/>
    <x v="4"/>
    <x v="1"/>
    <x v="8"/>
    <x v="0"/>
  </r>
  <r>
    <x v="424"/>
    <d v="2024-09-30T00:00:00"/>
    <s v="C0195"/>
    <x v="8"/>
    <s v="P008"/>
    <n v="6"/>
    <n v="0"/>
    <x v="2"/>
    <x v="3"/>
    <x v="0"/>
    <n v="6499"/>
    <n v="4200"/>
    <n v="38994"/>
    <n v="25200"/>
    <x v="273"/>
    <n v="0"/>
    <x v="13"/>
    <x v="0"/>
    <x v="10"/>
    <x v="2"/>
    <x v="1"/>
    <x v="8"/>
    <x v="0"/>
  </r>
  <r>
    <x v="425"/>
    <d v="2024-10-02T00:00:00"/>
    <s v="C0053"/>
    <x v="9"/>
    <s v="P022"/>
    <n v="10"/>
    <n v="0"/>
    <x v="2"/>
    <x v="3"/>
    <x v="2"/>
    <n v="899"/>
    <n v="450"/>
    <n v="8990"/>
    <n v="4500"/>
    <x v="79"/>
    <n v="0"/>
    <x v="6"/>
    <x v="2"/>
    <x v="0"/>
    <x v="0"/>
    <x v="1"/>
    <x v="9"/>
    <x v="0"/>
  </r>
  <r>
    <x v="426"/>
    <d v="2024-10-05T00:00:00"/>
    <s v="C0083"/>
    <x v="9"/>
    <s v="P021"/>
    <n v="2"/>
    <n v="0.2"/>
    <x v="0"/>
    <x v="1"/>
    <x v="0"/>
    <n v="1599"/>
    <n v="800"/>
    <n v="2558.4"/>
    <n v="1600"/>
    <x v="10"/>
    <n v="639.6"/>
    <x v="9"/>
    <x v="2"/>
    <x v="3"/>
    <x v="2"/>
    <x v="1"/>
    <x v="9"/>
    <x v="0"/>
  </r>
  <r>
    <x v="427"/>
    <d v="2024-10-05T00:00:00"/>
    <s v="C0140"/>
    <x v="9"/>
    <s v="P019"/>
    <n v="2"/>
    <n v="0.1"/>
    <x v="1"/>
    <x v="3"/>
    <x v="0"/>
    <n v="1199"/>
    <n v="600"/>
    <n v="2158.1999999999998"/>
    <n v="1200"/>
    <x v="257"/>
    <n v="239.8"/>
    <x v="15"/>
    <x v="2"/>
    <x v="12"/>
    <x v="2"/>
    <x v="2"/>
    <x v="9"/>
    <x v="0"/>
  </r>
  <r>
    <x v="428"/>
    <d v="2024-10-06T00:00:00"/>
    <s v="C0065"/>
    <x v="9"/>
    <s v="P017"/>
    <n v="5"/>
    <n v="0.05"/>
    <x v="0"/>
    <x v="0"/>
    <x v="0"/>
    <n v="449"/>
    <n v="260"/>
    <n v="2132.75"/>
    <n v="1300"/>
    <x v="87"/>
    <n v="112.25"/>
    <x v="10"/>
    <x v="3"/>
    <x v="4"/>
    <x v="3"/>
    <x v="1"/>
    <x v="9"/>
    <x v="0"/>
  </r>
  <r>
    <x v="429"/>
    <d v="2024-10-06T00:00:00"/>
    <s v="C0155"/>
    <x v="9"/>
    <s v="P016"/>
    <n v="2"/>
    <n v="0.15"/>
    <x v="2"/>
    <x v="3"/>
    <x v="0"/>
    <n v="240"/>
    <n v="140"/>
    <n v="408"/>
    <n v="280"/>
    <x v="274"/>
    <n v="72"/>
    <x v="16"/>
    <x v="3"/>
    <x v="5"/>
    <x v="3"/>
    <x v="1"/>
    <x v="9"/>
    <x v="0"/>
  </r>
  <r>
    <x v="430"/>
    <d v="2024-10-06T00:00:00"/>
    <s v="C0165"/>
    <x v="9"/>
    <s v="P017"/>
    <n v="3"/>
    <n v="0"/>
    <x v="1"/>
    <x v="3"/>
    <x v="0"/>
    <n v="449"/>
    <n v="260"/>
    <n v="1347"/>
    <n v="780"/>
    <x v="21"/>
    <n v="0"/>
    <x v="10"/>
    <x v="3"/>
    <x v="11"/>
    <x v="3"/>
    <x v="1"/>
    <x v="9"/>
    <x v="0"/>
  </r>
  <r>
    <x v="431"/>
    <d v="2024-10-06T00:00:00"/>
    <s v="C0059"/>
    <x v="9"/>
    <s v="P022"/>
    <n v="5"/>
    <n v="0.1"/>
    <x v="0"/>
    <x v="0"/>
    <x v="0"/>
    <n v="899"/>
    <n v="450"/>
    <n v="4045.5"/>
    <n v="2250"/>
    <x v="275"/>
    <n v="449.5"/>
    <x v="6"/>
    <x v="2"/>
    <x v="7"/>
    <x v="4"/>
    <x v="2"/>
    <x v="9"/>
    <x v="0"/>
  </r>
  <r>
    <x v="432"/>
    <d v="2024-10-06T00:00:00"/>
    <s v="C0152"/>
    <x v="9"/>
    <s v="P007"/>
    <n v="4"/>
    <n v="0.1"/>
    <x v="2"/>
    <x v="4"/>
    <x v="0"/>
    <n v="5499"/>
    <n v="3500"/>
    <n v="19796.400000000001"/>
    <n v="14000"/>
    <x v="276"/>
    <n v="2199.6"/>
    <x v="11"/>
    <x v="0"/>
    <x v="11"/>
    <x v="3"/>
    <x v="1"/>
    <x v="9"/>
    <x v="0"/>
  </r>
  <r>
    <x v="433"/>
    <d v="2024-10-07T00:00:00"/>
    <s v="C0152"/>
    <x v="9"/>
    <s v="P019"/>
    <n v="2"/>
    <n v="0.05"/>
    <x v="1"/>
    <x v="4"/>
    <x v="0"/>
    <n v="1199"/>
    <n v="600"/>
    <n v="2278.1"/>
    <n v="1200"/>
    <x v="170"/>
    <n v="119.9"/>
    <x v="15"/>
    <x v="2"/>
    <x v="11"/>
    <x v="3"/>
    <x v="1"/>
    <x v="9"/>
    <x v="0"/>
  </r>
  <r>
    <x v="434"/>
    <d v="2024-10-08T00:00:00"/>
    <s v="C0043"/>
    <x v="9"/>
    <s v="P002"/>
    <n v="3"/>
    <n v="0.05"/>
    <x v="1"/>
    <x v="3"/>
    <x v="0"/>
    <n v="1999"/>
    <n v="1200"/>
    <n v="5697.15"/>
    <n v="3600"/>
    <x v="227"/>
    <n v="299.85000000000002"/>
    <x v="19"/>
    <x v="1"/>
    <x v="10"/>
    <x v="2"/>
    <x v="1"/>
    <x v="9"/>
    <x v="0"/>
  </r>
  <r>
    <x v="435"/>
    <d v="2024-10-08T00:00:00"/>
    <s v="C0073"/>
    <x v="9"/>
    <s v="P022"/>
    <n v="1"/>
    <n v="0.05"/>
    <x v="0"/>
    <x v="4"/>
    <x v="1"/>
    <n v="899"/>
    <n v="450"/>
    <n v="854.05"/>
    <n v="450"/>
    <x v="14"/>
    <n v="44.95"/>
    <x v="6"/>
    <x v="2"/>
    <x v="6"/>
    <x v="4"/>
    <x v="2"/>
    <x v="9"/>
    <x v="0"/>
  </r>
  <r>
    <x v="436"/>
    <d v="2024-10-08T00:00:00"/>
    <s v="C0106"/>
    <x v="9"/>
    <s v="P008"/>
    <n v="4"/>
    <n v="0.1"/>
    <x v="1"/>
    <x v="2"/>
    <x v="0"/>
    <n v="6499"/>
    <n v="4200"/>
    <n v="23396.400000000001"/>
    <n v="16800"/>
    <x v="188"/>
    <n v="2599.6000000000004"/>
    <x v="13"/>
    <x v="0"/>
    <x v="3"/>
    <x v="2"/>
    <x v="0"/>
    <x v="9"/>
    <x v="0"/>
  </r>
  <r>
    <x v="437"/>
    <d v="2024-10-09T00:00:00"/>
    <s v="C0043"/>
    <x v="9"/>
    <s v="P009"/>
    <n v="4"/>
    <n v="0.05"/>
    <x v="0"/>
    <x v="0"/>
    <x v="0"/>
    <n v="4299"/>
    <n v="2800"/>
    <n v="16336.2"/>
    <n v="11200"/>
    <x v="0"/>
    <n v="859.80000000000007"/>
    <x v="0"/>
    <x v="0"/>
    <x v="10"/>
    <x v="2"/>
    <x v="1"/>
    <x v="9"/>
    <x v="0"/>
  </r>
  <r>
    <x v="438"/>
    <d v="2024-10-09T00:00:00"/>
    <s v="C0028"/>
    <x v="9"/>
    <s v="P005"/>
    <n v="1"/>
    <n v="0.05"/>
    <x v="1"/>
    <x v="0"/>
    <x v="2"/>
    <n v="1299"/>
    <n v="800"/>
    <n v="1234.05"/>
    <n v="800"/>
    <x v="277"/>
    <n v="64.95"/>
    <x v="12"/>
    <x v="1"/>
    <x v="1"/>
    <x v="1"/>
    <x v="1"/>
    <x v="9"/>
    <x v="0"/>
  </r>
  <r>
    <x v="439"/>
    <d v="2024-10-10T00:00:00"/>
    <s v="C0156"/>
    <x v="9"/>
    <s v="P005"/>
    <n v="1"/>
    <n v="0.05"/>
    <x v="2"/>
    <x v="2"/>
    <x v="0"/>
    <n v="1299"/>
    <n v="800"/>
    <n v="1234.05"/>
    <n v="800"/>
    <x v="277"/>
    <n v="64.95"/>
    <x v="12"/>
    <x v="1"/>
    <x v="4"/>
    <x v="3"/>
    <x v="1"/>
    <x v="9"/>
    <x v="0"/>
  </r>
  <r>
    <x v="440"/>
    <d v="2024-10-11T00:00:00"/>
    <s v="C0193"/>
    <x v="9"/>
    <s v="P017"/>
    <n v="1"/>
    <n v="0.05"/>
    <x v="1"/>
    <x v="2"/>
    <x v="0"/>
    <n v="449"/>
    <n v="260"/>
    <n v="426.55"/>
    <n v="260"/>
    <x v="67"/>
    <n v="22.450000000000003"/>
    <x v="10"/>
    <x v="3"/>
    <x v="1"/>
    <x v="1"/>
    <x v="1"/>
    <x v="9"/>
    <x v="0"/>
  </r>
  <r>
    <x v="441"/>
    <d v="2024-10-12T00:00:00"/>
    <s v="C0199"/>
    <x v="9"/>
    <s v="P001"/>
    <n v="10"/>
    <n v="0.05"/>
    <x v="1"/>
    <x v="2"/>
    <x v="2"/>
    <n v="700"/>
    <n v="450"/>
    <n v="6650"/>
    <n v="4500"/>
    <x v="102"/>
    <n v="350"/>
    <x v="7"/>
    <x v="1"/>
    <x v="2"/>
    <x v="1"/>
    <x v="0"/>
    <x v="9"/>
    <x v="0"/>
  </r>
  <r>
    <x v="442"/>
    <d v="2024-10-13T00:00:00"/>
    <s v="C0059"/>
    <x v="9"/>
    <s v="P014"/>
    <n v="6"/>
    <n v="0"/>
    <x v="1"/>
    <x v="2"/>
    <x v="0"/>
    <n v="220"/>
    <n v="120"/>
    <n v="1320"/>
    <n v="720"/>
    <x v="33"/>
    <n v="0"/>
    <x v="20"/>
    <x v="3"/>
    <x v="7"/>
    <x v="4"/>
    <x v="2"/>
    <x v="9"/>
    <x v="0"/>
  </r>
  <r>
    <x v="443"/>
    <d v="2024-10-15T00:00:00"/>
    <s v="C0109"/>
    <x v="9"/>
    <s v="P004"/>
    <n v="2"/>
    <n v="0.05"/>
    <x v="2"/>
    <x v="1"/>
    <x v="0"/>
    <n v="1599"/>
    <n v="900"/>
    <n v="3038.1"/>
    <n v="1800"/>
    <x v="121"/>
    <n v="159.9"/>
    <x v="21"/>
    <x v="1"/>
    <x v="7"/>
    <x v="4"/>
    <x v="1"/>
    <x v="9"/>
    <x v="0"/>
  </r>
  <r>
    <x v="444"/>
    <d v="2024-10-16T00:00:00"/>
    <s v="C0140"/>
    <x v="9"/>
    <s v="P020"/>
    <n v="5"/>
    <n v="0"/>
    <x v="2"/>
    <x v="2"/>
    <x v="0"/>
    <n v="1799"/>
    <n v="900"/>
    <n v="8995"/>
    <n v="4500"/>
    <x v="4"/>
    <n v="0"/>
    <x v="4"/>
    <x v="2"/>
    <x v="12"/>
    <x v="2"/>
    <x v="2"/>
    <x v="9"/>
    <x v="0"/>
  </r>
  <r>
    <x v="445"/>
    <d v="2024-10-16T00:00:00"/>
    <s v="C0031"/>
    <x v="9"/>
    <s v="P017"/>
    <n v="10"/>
    <n v="0"/>
    <x v="0"/>
    <x v="0"/>
    <x v="0"/>
    <n v="449"/>
    <n v="260"/>
    <n v="4490"/>
    <n v="2600"/>
    <x v="11"/>
    <n v="0"/>
    <x v="10"/>
    <x v="3"/>
    <x v="0"/>
    <x v="0"/>
    <x v="0"/>
    <x v="9"/>
    <x v="0"/>
  </r>
  <r>
    <x v="446"/>
    <d v="2024-10-16T00:00:00"/>
    <s v="C0028"/>
    <x v="9"/>
    <s v="P012"/>
    <n v="2"/>
    <n v="0.1"/>
    <x v="1"/>
    <x v="0"/>
    <x v="0"/>
    <n v="320"/>
    <n v="220"/>
    <n v="576"/>
    <n v="440"/>
    <x v="30"/>
    <n v="64"/>
    <x v="5"/>
    <x v="3"/>
    <x v="1"/>
    <x v="1"/>
    <x v="1"/>
    <x v="9"/>
    <x v="0"/>
  </r>
  <r>
    <x v="447"/>
    <d v="2024-10-16T00:00:00"/>
    <s v="C0094"/>
    <x v="9"/>
    <s v="P019"/>
    <n v="6"/>
    <n v="0"/>
    <x v="1"/>
    <x v="2"/>
    <x v="0"/>
    <n v="1199"/>
    <n v="600"/>
    <n v="7194"/>
    <n v="3600"/>
    <x v="237"/>
    <n v="0"/>
    <x v="15"/>
    <x v="2"/>
    <x v="1"/>
    <x v="1"/>
    <x v="1"/>
    <x v="9"/>
    <x v="0"/>
  </r>
  <r>
    <x v="448"/>
    <d v="2024-10-17T00:00:00"/>
    <s v="C0046"/>
    <x v="9"/>
    <s v="P016"/>
    <n v="8"/>
    <n v="0.05"/>
    <x v="0"/>
    <x v="2"/>
    <x v="0"/>
    <n v="240"/>
    <n v="140"/>
    <n v="1824"/>
    <n v="1120"/>
    <x v="278"/>
    <n v="96"/>
    <x v="16"/>
    <x v="3"/>
    <x v="11"/>
    <x v="3"/>
    <x v="1"/>
    <x v="9"/>
    <x v="0"/>
  </r>
  <r>
    <x v="449"/>
    <d v="2024-10-17T00:00:00"/>
    <s v="C0199"/>
    <x v="9"/>
    <s v="P012"/>
    <n v="10"/>
    <n v="0"/>
    <x v="2"/>
    <x v="4"/>
    <x v="2"/>
    <n v="320"/>
    <n v="220"/>
    <n v="3200"/>
    <n v="2200"/>
    <x v="136"/>
    <n v="0"/>
    <x v="5"/>
    <x v="3"/>
    <x v="2"/>
    <x v="1"/>
    <x v="0"/>
    <x v="9"/>
    <x v="0"/>
  </r>
  <r>
    <x v="450"/>
    <d v="2024-10-18T00:00:00"/>
    <s v="C0180"/>
    <x v="9"/>
    <s v="P015"/>
    <n v="2"/>
    <n v="0"/>
    <x v="0"/>
    <x v="2"/>
    <x v="0"/>
    <n v="299"/>
    <n v="180"/>
    <n v="598"/>
    <n v="360"/>
    <x v="82"/>
    <n v="0"/>
    <x v="8"/>
    <x v="3"/>
    <x v="3"/>
    <x v="2"/>
    <x v="1"/>
    <x v="9"/>
    <x v="0"/>
  </r>
  <r>
    <x v="451"/>
    <d v="2024-10-18T00:00:00"/>
    <s v="C0179"/>
    <x v="9"/>
    <s v="P020"/>
    <n v="1"/>
    <n v="0"/>
    <x v="2"/>
    <x v="4"/>
    <x v="0"/>
    <n v="1799"/>
    <n v="900"/>
    <n v="1799"/>
    <n v="900"/>
    <x v="37"/>
    <n v="0"/>
    <x v="4"/>
    <x v="2"/>
    <x v="5"/>
    <x v="3"/>
    <x v="2"/>
    <x v="9"/>
    <x v="0"/>
  </r>
  <r>
    <x v="452"/>
    <d v="2024-10-18T00:00:00"/>
    <s v="C0154"/>
    <x v="9"/>
    <s v="P016"/>
    <n v="5"/>
    <n v="0"/>
    <x v="2"/>
    <x v="2"/>
    <x v="0"/>
    <n v="240"/>
    <n v="140"/>
    <n v="1200"/>
    <n v="700"/>
    <x v="5"/>
    <n v="0"/>
    <x v="16"/>
    <x v="3"/>
    <x v="2"/>
    <x v="0"/>
    <x v="1"/>
    <x v="9"/>
    <x v="0"/>
  </r>
  <r>
    <x v="453"/>
    <d v="2024-10-19T00:00:00"/>
    <s v="C0186"/>
    <x v="9"/>
    <s v="P002"/>
    <n v="5"/>
    <n v="0.05"/>
    <x v="1"/>
    <x v="2"/>
    <x v="0"/>
    <n v="1999"/>
    <n v="1200"/>
    <n v="9495.25"/>
    <n v="6000"/>
    <x v="83"/>
    <n v="499.75"/>
    <x v="19"/>
    <x v="1"/>
    <x v="13"/>
    <x v="3"/>
    <x v="2"/>
    <x v="9"/>
    <x v="0"/>
  </r>
  <r>
    <x v="454"/>
    <d v="2024-10-20T00:00:00"/>
    <s v="C0199"/>
    <x v="9"/>
    <s v="P002"/>
    <n v="4"/>
    <n v="0.05"/>
    <x v="1"/>
    <x v="2"/>
    <x v="0"/>
    <n v="1999"/>
    <n v="1200"/>
    <n v="7596.2"/>
    <n v="4800"/>
    <x v="279"/>
    <n v="399.8"/>
    <x v="19"/>
    <x v="1"/>
    <x v="2"/>
    <x v="1"/>
    <x v="0"/>
    <x v="9"/>
    <x v="0"/>
  </r>
  <r>
    <x v="455"/>
    <d v="2024-10-20T00:00:00"/>
    <s v="C0050"/>
    <x v="9"/>
    <s v="P010"/>
    <n v="2"/>
    <n v="0.05"/>
    <x v="1"/>
    <x v="4"/>
    <x v="0"/>
    <n v="4599"/>
    <n v="3000"/>
    <n v="8738.1"/>
    <n v="6000"/>
    <x v="172"/>
    <n v="459.90000000000003"/>
    <x v="3"/>
    <x v="0"/>
    <x v="1"/>
    <x v="1"/>
    <x v="2"/>
    <x v="9"/>
    <x v="0"/>
  </r>
  <r>
    <x v="456"/>
    <d v="2024-10-20T00:00:00"/>
    <s v="C0010"/>
    <x v="9"/>
    <s v="P022"/>
    <n v="4"/>
    <n v="0.1"/>
    <x v="2"/>
    <x v="1"/>
    <x v="1"/>
    <n v="899"/>
    <n v="450"/>
    <n v="3236.4"/>
    <n v="1800"/>
    <x v="280"/>
    <n v="359.6"/>
    <x v="6"/>
    <x v="2"/>
    <x v="11"/>
    <x v="3"/>
    <x v="1"/>
    <x v="9"/>
    <x v="0"/>
  </r>
  <r>
    <x v="457"/>
    <d v="2024-10-21T00:00:00"/>
    <s v="C0091"/>
    <x v="9"/>
    <s v="P013"/>
    <n v="5"/>
    <n v="0.05"/>
    <x v="1"/>
    <x v="3"/>
    <x v="0"/>
    <n v="150"/>
    <n v="90"/>
    <n v="712.5"/>
    <n v="450"/>
    <x v="205"/>
    <n v="37.5"/>
    <x v="17"/>
    <x v="3"/>
    <x v="7"/>
    <x v="4"/>
    <x v="1"/>
    <x v="9"/>
    <x v="0"/>
  </r>
  <r>
    <x v="458"/>
    <d v="2024-10-21T00:00:00"/>
    <s v="C0141"/>
    <x v="9"/>
    <s v="P003"/>
    <n v="6"/>
    <n v="0.1"/>
    <x v="0"/>
    <x v="1"/>
    <x v="2"/>
    <n v="599"/>
    <n v="350"/>
    <n v="3234.6"/>
    <n v="2100"/>
    <x v="281"/>
    <n v="359.40000000000003"/>
    <x v="2"/>
    <x v="1"/>
    <x v="3"/>
    <x v="2"/>
    <x v="2"/>
    <x v="9"/>
    <x v="0"/>
  </r>
  <r>
    <x v="459"/>
    <d v="2024-10-21T00:00:00"/>
    <s v="C0058"/>
    <x v="9"/>
    <s v="P009"/>
    <n v="2"/>
    <n v="0.15"/>
    <x v="0"/>
    <x v="4"/>
    <x v="0"/>
    <n v="4299"/>
    <n v="2800"/>
    <n v="7308.3"/>
    <n v="5600"/>
    <x v="282"/>
    <n v="1289.7"/>
    <x v="0"/>
    <x v="0"/>
    <x v="0"/>
    <x v="0"/>
    <x v="1"/>
    <x v="9"/>
    <x v="0"/>
  </r>
  <r>
    <x v="460"/>
    <d v="2024-10-21T00:00:00"/>
    <s v="C0130"/>
    <x v="9"/>
    <s v="P014"/>
    <n v="2"/>
    <n v="0"/>
    <x v="2"/>
    <x v="2"/>
    <x v="0"/>
    <n v="220"/>
    <n v="120"/>
    <n v="440"/>
    <n v="240"/>
    <x v="88"/>
    <n v="0"/>
    <x v="20"/>
    <x v="3"/>
    <x v="2"/>
    <x v="1"/>
    <x v="1"/>
    <x v="9"/>
    <x v="0"/>
  </r>
  <r>
    <x v="461"/>
    <d v="2024-10-22T00:00:00"/>
    <s v="C0138"/>
    <x v="9"/>
    <s v="P009"/>
    <n v="6"/>
    <n v="0.05"/>
    <x v="0"/>
    <x v="4"/>
    <x v="0"/>
    <n v="4299"/>
    <n v="2800"/>
    <n v="24504.3"/>
    <n v="16800"/>
    <x v="283"/>
    <n v="1289.7"/>
    <x v="0"/>
    <x v="0"/>
    <x v="12"/>
    <x v="2"/>
    <x v="1"/>
    <x v="9"/>
    <x v="0"/>
  </r>
  <r>
    <x v="462"/>
    <d v="2024-10-22T00:00:00"/>
    <s v="C0199"/>
    <x v="9"/>
    <s v="P011"/>
    <n v="12"/>
    <n v="0.05"/>
    <x v="2"/>
    <x v="0"/>
    <x v="0"/>
    <n v="899"/>
    <n v="500"/>
    <n v="10248.6"/>
    <n v="6000"/>
    <x v="284"/>
    <n v="539.4"/>
    <x v="1"/>
    <x v="0"/>
    <x v="2"/>
    <x v="1"/>
    <x v="0"/>
    <x v="9"/>
    <x v="0"/>
  </r>
  <r>
    <x v="463"/>
    <d v="2024-10-22T00:00:00"/>
    <s v="C0067"/>
    <x v="9"/>
    <s v="P004"/>
    <n v="1"/>
    <n v="0.05"/>
    <x v="1"/>
    <x v="4"/>
    <x v="1"/>
    <n v="1599"/>
    <n v="900"/>
    <n v="1519.05"/>
    <n v="900"/>
    <x v="285"/>
    <n v="79.95"/>
    <x v="21"/>
    <x v="1"/>
    <x v="0"/>
    <x v="0"/>
    <x v="1"/>
    <x v="9"/>
    <x v="0"/>
  </r>
  <r>
    <x v="464"/>
    <d v="2024-10-22T00:00:00"/>
    <s v="C0106"/>
    <x v="9"/>
    <s v="P011"/>
    <n v="8"/>
    <n v="0.05"/>
    <x v="0"/>
    <x v="4"/>
    <x v="0"/>
    <n v="899"/>
    <n v="500"/>
    <n v="6832.4"/>
    <n v="4000"/>
    <x v="286"/>
    <n v="359.6"/>
    <x v="1"/>
    <x v="0"/>
    <x v="3"/>
    <x v="2"/>
    <x v="0"/>
    <x v="9"/>
    <x v="0"/>
  </r>
  <r>
    <x v="465"/>
    <d v="2024-10-23T00:00:00"/>
    <s v="C0024"/>
    <x v="9"/>
    <s v="P010"/>
    <n v="10"/>
    <n v="0.1"/>
    <x v="1"/>
    <x v="4"/>
    <x v="0"/>
    <n v="4599"/>
    <n v="3000"/>
    <n v="41391"/>
    <n v="30000"/>
    <x v="287"/>
    <n v="4599"/>
    <x v="3"/>
    <x v="0"/>
    <x v="4"/>
    <x v="3"/>
    <x v="1"/>
    <x v="9"/>
    <x v="0"/>
  </r>
  <r>
    <x v="466"/>
    <d v="2024-10-23T00:00:00"/>
    <s v="C0081"/>
    <x v="9"/>
    <s v="P016"/>
    <n v="4"/>
    <n v="0.15"/>
    <x v="1"/>
    <x v="4"/>
    <x v="0"/>
    <n v="240"/>
    <n v="140"/>
    <n v="816"/>
    <n v="560"/>
    <x v="288"/>
    <n v="144"/>
    <x v="16"/>
    <x v="3"/>
    <x v="12"/>
    <x v="2"/>
    <x v="2"/>
    <x v="9"/>
    <x v="0"/>
  </r>
  <r>
    <x v="467"/>
    <d v="2024-10-25T00:00:00"/>
    <s v="C0189"/>
    <x v="9"/>
    <s v="P016"/>
    <n v="2"/>
    <n v="0.1"/>
    <x v="2"/>
    <x v="4"/>
    <x v="2"/>
    <n v="240"/>
    <n v="140"/>
    <n v="432"/>
    <n v="280"/>
    <x v="55"/>
    <n v="48"/>
    <x v="16"/>
    <x v="3"/>
    <x v="7"/>
    <x v="4"/>
    <x v="1"/>
    <x v="9"/>
    <x v="0"/>
  </r>
  <r>
    <x v="468"/>
    <d v="2024-10-25T00:00:00"/>
    <s v="C0064"/>
    <x v="9"/>
    <s v="P007"/>
    <n v="4"/>
    <n v="0.1"/>
    <x v="2"/>
    <x v="0"/>
    <x v="0"/>
    <n v="5499"/>
    <n v="3500"/>
    <n v="19796.400000000001"/>
    <n v="14000"/>
    <x v="276"/>
    <n v="2199.6"/>
    <x v="11"/>
    <x v="0"/>
    <x v="8"/>
    <x v="4"/>
    <x v="1"/>
    <x v="9"/>
    <x v="0"/>
  </r>
  <r>
    <x v="469"/>
    <d v="2024-10-25T00:00:00"/>
    <s v="C0002"/>
    <x v="9"/>
    <s v="P020"/>
    <n v="10"/>
    <n v="0.1"/>
    <x v="0"/>
    <x v="0"/>
    <x v="0"/>
    <n v="1799"/>
    <n v="900"/>
    <n v="16191"/>
    <n v="9000"/>
    <x v="289"/>
    <n v="1799"/>
    <x v="4"/>
    <x v="2"/>
    <x v="6"/>
    <x v="4"/>
    <x v="1"/>
    <x v="9"/>
    <x v="0"/>
  </r>
  <r>
    <x v="470"/>
    <d v="2024-10-26T00:00:00"/>
    <s v="C0071"/>
    <x v="9"/>
    <s v="P019"/>
    <n v="6"/>
    <n v="0.2"/>
    <x v="0"/>
    <x v="0"/>
    <x v="2"/>
    <n v="1199"/>
    <n v="600"/>
    <n v="5755.2"/>
    <n v="3600"/>
    <x v="290"/>
    <n v="1438.8000000000002"/>
    <x v="15"/>
    <x v="2"/>
    <x v="2"/>
    <x v="1"/>
    <x v="1"/>
    <x v="9"/>
    <x v="0"/>
  </r>
  <r>
    <x v="471"/>
    <d v="2024-10-27T00:00:00"/>
    <s v="C0193"/>
    <x v="9"/>
    <s v="P008"/>
    <n v="2"/>
    <n v="0.05"/>
    <x v="1"/>
    <x v="3"/>
    <x v="0"/>
    <n v="6499"/>
    <n v="4200"/>
    <n v="12348.1"/>
    <n v="8400"/>
    <x v="291"/>
    <n v="649.90000000000009"/>
    <x v="13"/>
    <x v="0"/>
    <x v="1"/>
    <x v="1"/>
    <x v="1"/>
    <x v="9"/>
    <x v="0"/>
  </r>
  <r>
    <x v="472"/>
    <d v="2024-10-27T00:00:00"/>
    <s v="C0089"/>
    <x v="9"/>
    <s v="P017"/>
    <n v="10"/>
    <n v="0.1"/>
    <x v="2"/>
    <x v="2"/>
    <x v="0"/>
    <n v="449"/>
    <n v="260"/>
    <n v="4041"/>
    <n v="2600"/>
    <x v="160"/>
    <n v="449"/>
    <x v="10"/>
    <x v="3"/>
    <x v="7"/>
    <x v="4"/>
    <x v="1"/>
    <x v="9"/>
    <x v="0"/>
  </r>
  <r>
    <x v="473"/>
    <d v="2024-10-28T00:00:00"/>
    <s v="C0081"/>
    <x v="9"/>
    <s v="P015"/>
    <n v="1"/>
    <n v="0.1"/>
    <x v="2"/>
    <x v="1"/>
    <x v="0"/>
    <n v="299"/>
    <n v="180"/>
    <n v="269.10000000000002"/>
    <n v="180"/>
    <x v="292"/>
    <n v="29.900000000000002"/>
    <x v="8"/>
    <x v="3"/>
    <x v="12"/>
    <x v="2"/>
    <x v="2"/>
    <x v="9"/>
    <x v="0"/>
  </r>
  <r>
    <x v="474"/>
    <d v="2024-10-29T00:00:00"/>
    <s v="C0157"/>
    <x v="9"/>
    <s v="P012"/>
    <n v="3"/>
    <n v="0.05"/>
    <x v="0"/>
    <x v="2"/>
    <x v="0"/>
    <n v="320"/>
    <n v="220"/>
    <n v="912"/>
    <n v="660"/>
    <x v="293"/>
    <n v="48"/>
    <x v="5"/>
    <x v="3"/>
    <x v="2"/>
    <x v="1"/>
    <x v="1"/>
    <x v="9"/>
    <x v="0"/>
  </r>
  <r>
    <x v="475"/>
    <d v="2024-10-29T00:00:00"/>
    <s v="C0094"/>
    <x v="9"/>
    <s v="P011"/>
    <n v="2"/>
    <n v="0.05"/>
    <x v="0"/>
    <x v="1"/>
    <x v="0"/>
    <n v="899"/>
    <n v="500"/>
    <n v="1708.1"/>
    <n v="1000"/>
    <x v="294"/>
    <n v="89.9"/>
    <x v="1"/>
    <x v="0"/>
    <x v="1"/>
    <x v="1"/>
    <x v="1"/>
    <x v="9"/>
    <x v="0"/>
  </r>
  <r>
    <x v="476"/>
    <d v="2024-10-29T00:00:00"/>
    <s v="C0072"/>
    <x v="9"/>
    <s v="P013"/>
    <n v="6"/>
    <n v="0.05"/>
    <x v="1"/>
    <x v="4"/>
    <x v="1"/>
    <n v="150"/>
    <n v="90"/>
    <n v="855"/>
    <n v="540"/>
    <x v="295"/>
    <n v="45"/>
    <x v="17"/>
    <x v="3"/>
    <x v="2"/>
    <x v="1"/>
    <x v="1"/>
    <x v="9"/>
    <x v="0"/>
  </r>
  <r>
    <x v="477"/>
    <d v="2024-10-29T00:00:00"/>
    <s v="C0185"/>
    <x v="9"/>
    <s v="P004"/>
    <n v="3"/>
    <n v="0.05"/>
    <x v="2"/>
    <x v="4"/>
    <x v="0"/>
    <n v="1599"/>
    <n v="900"/>
    <n v="4557.1499999999996"/>
    <n v="2700"/>
    <x v="229"/>
    <n v="239.85000000000002"/>
    <x v="21"/>
    <x v="1"/>
    <x v="3"/>
    <x v="2"/>
    <x v="0"/>
    <x v="9"/>
    <x v="0"/>
  </r>
  <r>
    <x v="478"/>
    <d v="2024-10-29T00:00:00"/>
    <s v="C0122"/>
    <x v="9"/>
    <s v="P005"/>
    <n v="1"/>
    <n v="0.05"/>
    <x v="1"/>
    <x v="2"/>
    <x v="0"/>
    <n v="1299"/>
    <n v="800"/>
    <n v="1234.05"/>
    <n v="800"/>
    <x v="277"/>
    <n v="64.95"/>
    <x v="12"/>
    <x v="1"/>
    <x v="4"/>
    <x v="3"/>
    <x v="0"/>
    <x v="9"/>
    <x v="0"/>
  </r>
  <r>
    <x v="479"/>
    <d v="2024-10-30T00:00:00"/>
    <s v="C0185"/>
    <x v="9"/>
    <s v="P018"/>
    <n v="4"/>
    <n v="0"/>
    <x v="1"/>
    <x v="3"/>
    <x v="0"/>
    <n v="499"/>
    <n v="250"/>
    <n v="1996"/>
    <n v="1000"/>
    <x v="99"/>
    <n v="0"/>
    <x v="18"/>
    <x v="2"/>
    <x v="3"/>
    <x v="2"/>
    <x v="0"/>
    <x v="9"/>
    <x v="0"/>
  </r>
  <r>
    <x v="480"/>
    <d v="2024-10-31T00:00:00"/>
    <s v="C0026"/>
    <x v="9"/>
    <s v="P013"/>
    <n v="2"/>
    <n v="0"/>
    <x v="1"/>
    <x v="3"/>
    <x v="0"/>
    <n v="150"/>
    <n v="90"/>
    <n v="300"/>
    <n v="180"/>
    <x v="46"/>
    <n v="0"/>
    <x v="17"/>
    <x v="3"/>
    <x v="0"/>
    <x v="0"/>
    <x v="0"/>
    <x v="9"/>
    <x v="0"/>
  </r>
  <r>
    <x v="481"/>
    <d v="2024-11-01T00:00:00"/>
    <s v="C0191"/>
    <x v="10"/>
    <s v="P015"/>
    <n v="4"/>
    <n v="0"/>
    <x v="0"/>
    <x v="1"/>
    <x v="0"/>
    <n v="299"/>
    <n v="180"/>
    <n v="1196"/>
    <n v="720"/>
    <x v="73"/>
    <n v="0"/>
    <x v="8"/>
    <x v="3"/>
    <x v="10"/>
    <x v="2"/>
    <x v="1"/>
    <x v="10"/>
    <x v="0"/>
  </r>
  <r>
    <x v="482"/>
    <d v="2024-11-02T00:00:00"/>
    <s v="C0106"/>
    <x v="10"/>
    <s v="P001"/>
    <n v="1"/>
    <n v="0.15"/>
    <x v="2"/>
    <x v="2"/>
    <x v="3"/>
    <n v="700"/>
    <n v="450"/>
    <n v="595"/>
    <n v="450"/>
    <x v="63"/>
    <n v="105"/>
    <x v="7"/>
    <x v="1"/>
    <x v="3"/>
    <x v="2"/>
    <x v="0"/>
    <x v="10"/>
    <x v="0"/>
  </r>
  <r>
    <x v="483"/>
    <d v="2024-11-02T00:00:00"/>
    <s v="C0167"/>
    <x v="10"/>
    <s v="P019"/>
    <n v="10"/>
    <n v="0.2"/>
    <x v="0"/>
    <x v="2"/>
    <x v="0"/>
    <n v="1199"/>
    <n v="600"/>
    <n v="9592"/>
    <n v="6000"/>
    <x v="141"/>
    <n v="2398"/>
    <x v="15"/>
    <x v="2"/>
    <x v="1"/>
    <x v="1"/>
    <x v="1"/>
    <x v="10"/>
    <x v="0"/>
  </r>
  <r>
    <x v="484"/>
    <d v="2024-11-04T00:00:00"/>
    <s v="C0199"/>
    <x v="10"/>
    <s v="P016"/>
    <n v="6"/>
    <n v="0"/>
    <x v="1"/>
    <x v="4"/>
    <x v="0"/>
    <n v="240"/>
    <n v="140"/>
    <n v="1440"/>
    <n v="840"/>
    <x v="33"/>
    <n v="0"/>
    <x v="16"/>
    <x v="3"/>
    <x v="2"/>
    <x v="1"/>
    <x v="0"/>
    <x v="10"/>
    <x v="0"/>
  </r>
  <r>
    <x v="485"/>
    <d v="2024-11-04T00:00:00"/>
    <s v="C0164"/>
    <x v="10"/>
    <s v="P006"/>
    <n v="4"/>
    <n v="0.05"/>
    <x v="2"/>
    <x v="3"/>
    <x v="0"/>
    <n v="1799"/>
    <n v="1100"/>
    <n v="6836.2"/>
    <n v="4400"/>
    <x v="185"/>
    <n v="359.8"/>
    <x v="14"/>
    <x v="1"/>
    <x v="1"/>
    <x v="1"/>
    <x v="2"/>
    <x v="10"/>
    <x v="0"/>
  </r>
  <r>
    <x v="486"/>
    <d v="2024-11-04T00:00:00"/>
    <s v="C0088"/>
    <x v="10"/>
    <s v="P006"/>
    <n v="2"/>
    <n v="0"/>
    <x v="0"/>
    <x v="2"/>
    <x v="0"/>
    <n v="1799"/>
    <n v="1100"/>
    <n v="3598"/>
    <n v="2200"/>
    <x v="138"/>
    <n v="0"/>
    <x v="14"/>
    <x v="1"/>
    <x v="13"/>
    <x v="3"/>
    <x v="0"/>
    <x v="10"/>
    <x v="0"/>
  </r>
  <r>
    <x v="487"/>
    <d v="2024-11-05T00:00:00"/>
    <s v="C0102"/>
    <x v="10"/>
    <s v="P021"/>
    <n v="3"/>
    <n v="0.1"/>
    <x v="1"/>
    <x v="2"/>
    <x v="3"/>
    <n v="1599"/>
    <n v="800"/>
    <n v="4317.3"/>
    <n v="2400"/>
    <x v="263"/>
    <n v="479.70000000000005"/>
    <x v="9"/>
    <x v="2"/>
    <x v="13"/>
    <x v="3"/>
    <x v="0"/>
    <x v="10"/>
    <x v="0"/>
  </r>
  <r>
    <x v="488"/>
    <d v="2024-11-05T00:00:00"/>
    <s v="C0116"/>
    <x v="10"/>
    <s v="P017"/>
    <n v="5"/>
    <n v="0"/>
    <x v="1"/>
    <x v="4"/>
    <x v="0"/>
    <n v="449"/>
    <n v="260"/>
    <n v="2245"/>
    <n v="1300"/>
    <x v="223"/>
    <n v="0"/>
    <x v="10"/>
    <x v="3"/>
    <x v="1"/>
    <x v="1"/>
    <x v="0"/>
    <x v="10"/>
    <x v="0"/>
  </r>
  <r>
    <x v="489"/>
    <d v="2024-11-05T00:00:00"/>
    <s v="C0065"/>
    <x v="10"/>
    <s v="P022"/>
    <n v="1"/>
    <n v="0"/>
    <x v="2"/>
    <x v="0"/>
    <x v="0"/>
    <n v="899"/>
    <n v="450"/>
    <n v="899"/>
    <n v="450"/>
    <x v="152"/>
    <n v="0"/>
    <x v="6"/>
    <x v="2"/>
    <x v="4"/>
    <x v="3"/>
    <x v="1"/>
    <x v="10"/>
    <x v="0"/>
  </r>
  <r>
    <x v="490"/>
    <d v="2024-11-06T00:00:00"/>
    <s v="C0014"/>
    <x v="10"/>
    <s v="P018"/>
    <n v="1"/>
    <n v="0.05"/>
    <x v="2"/>
    <x v="1"/>
    <x v="1"/>
    <n v="499"/>
    <n v="250"/>
    <n v="474.05"/>
    <n v="250"/>
    <x v="100"/>
    <n v="24.950000000000003"/>
    <x v="18"/>
    <x v="2"/>
    <x v="1"/>
    <x v="1"/>
    <x v="1"/>
    <x v="10"/>
    <x v="0"/>
  </r>
  <r>
    <x v="491"/>
    <d v="2024-11-07T00:00:00"/>
    <s v="C0040"/>
    <x v="10"/>
    <s v="P020"/>
    <n v="2"/>
    <n v="0.15"/>
    <x v="2"/>
    <x v="4"/>
    <x v="0"/>
    <n v="1799"/>
    <n v="900"/>
    <n v="3058.3"/>
    <n v="1800"/>
    <x v="296"/>
    <n v="539.69999999999993"/>
    <x v="4"/>
    <x v="2"/>
    <x v="9"/>
    <x v="4"/>
    <x v="1"/>
    <x v="10"/>
    <x v="0"/>
  </r>
  <r>
    <x v="492"/>
    <d v="2024-11-07T00:00:00"/>
    <s v="C0114"/>
    <x v="10"/>
    <s v="P010"/>
    <n v="2"/>
    <n v="0.05"/>
    <x v="2"/>
    <x v="1"/>
    <x v="0"/>
    <n v="4599"/>
    <n v="3000"/>
    <n v="8738.1"/>
    <n v="6000"/>
    <x v="172"/>
    <n v="459.90000000000003"/>
    <x v="3"/>
    <x v="0"/>
    <x v="12"/>
    <x v="2"/>
    <x v="2"/>
    <x v="10"/>
    <x v="0"/>
  </r>
  <r>
    <x v="493"/>
    <d v="2024-11-07T00:00:00"/>
    <s v="C0122"/>
    <x v="10"/>
    <s v="P011"/>
    <n v="12"/>
    <n v="0.15"/>
    <x v="2"/>
    <x v="2"/>
    <x v="0"/>
    <n v="899"/>
    <n v="500"/>
    <n v="9169.7999999999993"/>
    <n v="6000"/>
    <x v="297"/>
    <n v="1618.2"/>
    <x v="1"/>
    <x v="0"/>
    <x v="4"/>
    <x v="3"/>
    <x v="0"/>
    <x v="10"/>
    <x v="0"/>
  </r>
  <r>
    <x v="494"/>
    <d v="2024-11-08T00:00:00"/>
    <s v="C0152"/>
    <x v="10"/>
    <s v="P006"/>
    <n v="12"/>
    <n v="0.1"/>
    <x v="0"/>
    <x v="2"/>
    <x v="2"/>
    <n v="1799"/>
    <n v="1100"/>
    <n v="19429.2"/>
    <n v="13200"/>
    <x v="298"/>
    <n v="2158.8000000000002"/>
    <x v="14"/>
    <x v="1"/>
    <x v="11"/>
    <x v="3"/>
    <x v="1"/>
    <x v="10"/>
    <x v="0"/>
  </r>
  <r>
    <x v="495"/>
    <d v="2024-11-10T00:00:00"/>
    <s v="C0164"/>
    <x v="10"/>
    <s v="P021"/>
    <n v="10"/>
    <n v="0.15"/>
    <x v="2"/>
    <x v="3"/>
    <x v="0"/>
    <n v="1599"/>
    <n v="800"/>
    <n v="13591.5"/>
    <n v="8000"/>
    <x v="299"/>
    <n v="2398.5"/>
    <x v="9"/>
    <x v="2"/>
    <x v="1"/>
    <x v="1"/>
    <x v="2"/>
    <x v="10"/>
    <x v="0"/>
  </r>
  <r>
    <x v="496"/>
    <d v="2024-11-11T00:00:00"/>
    <s v="C0079"/>
    <x v="10"/>
    <s v="P015"/>
    <n v="4"/>
    <n v="0"/>
    <x v="2"/>
    <x v="2"/>
    <x v="0"/>
    <n v="299"/>
    <n v="180"/>
    <n v="1196"/>
    <n v="720"/>
    <x v="73"/>
    <n v="0"/>
    <x v="8"/>
    <x v="3"/>
    <x v="1"/>
    <x v="1"/>
    <x v="0"/>
    <x v="10"/>
    <x v="0"/>
  </r>
  <r>
    <x v="497"/>
    <d v="2024-11-12T00:00:00"/>
    <s v="C0089"/>
    <x v="10"/>
    <s v="P005"/>
    <n v="3"/>
    <n v="0.05"/>
    <x v="0"/>
    <x v="0"/>
    <x v="0"/>
    <n v="1299"/>
    <n v="800"/>
    <n v="3702.15"/>
    <n v="2400"/>
    <x v="300"/>
    <n v="194.85000000000002"/>
    <x v="12"/>
    <x v="1"/>
    <x v="7"/>
    <x v="4"/>
    <x v="1"/>
    <x v="10"/>
    <x v="0"/>
  </r>
  <r>
    <x v="498"/>
    <d v="2024-11-12T00:00:00"/>
    <s v="C0003"/>
    <x v="10"/>
    <s v="P010"/>
    <n v="5"/>
    <n v="0.05"/>
    <x v="1"/>
    <x v="1"/>
    <x v="0"/>
    <n v="4599"/>
    <n v="3000"/>
    <n v="21845.25"/>
    <n v="15000"/>
    <x v="301"/>
    <n v="1149.75"/>
    <x v="3"/>
    <x v="0"/>
    <x v="0"/>
    <x v="0"/>
    <x v="1"/>
    <x v="10"/>
    <x v="0"/>
  </r>
  <r>
    <x v="499"/>
    <d v="2024-11-12T00:00:00"/>
    <s v="C0106"/>
    <x v="10"/>
    <s v="P007"/>
    <n v="10"/>
    <n v="0"/>
    <x v="1"/>
    <x v="0"/>
    <x v="0"/>
    <n v="5499"/>
    <n v="3500"/>
    <n v="54990"/>
    <n v="35000"/>
    <x v="92"/>
    <n v="0"/>
    <x v="11"/>
    <x v="0"/>
    <x v="3"/>
    <x v="2"/>
    <x v="0"/>
    <x v="10"/>
    <x v="0"/>
  </r>
  <r>
    <x v="500"/>
    <d v="2024-11-12T00:00:00"/>
    <s v="C0057"/>
    <x v="10"/>
    <s v="P013"/>
    <n v="3"/>
    <n v="0.05"/>
    <x v="1"/>
    <x v="1"/>
    <x v="0"/>
    <n v="150"/>
    <n v="90"/>
    <n v="427.5"/>
    <n v="270"/>
    <x v="41"/>
    <n v="22.5"/>
    <x v="17"/>
    <x v="3"/>
    <x v="13"/>
    <x v="3"/>
    <x v="1"/>
    <x v="10"/>
    <x v="0"/>
  </r>
  <r>
    <x v="501"/>
    <d v="2024-11-13T00:00:00"/>
    <s v="C0167"/>
    <x v="10"/>
    <s v="P010"/>
    <n v="10"/>
    <n v="0.05"/>
    <x v="2"/>
    <x v="4"/>
    <x v="0"/>
    <n v="4599"/>
    <n v="3000"/>
    <n v="43690.5"/>
    <n v="30000"/>
    <x v="81"/>
    <n v="2299.5"/>
    <x v="3"/>
    <x v="0"/>
    <x v="1"/>
    <x v="1"/>
    <x v="1"/>
    <x v="10"/>
    <x v="0"/>
  </r>
  <r>
    <x v="502"/>
    <d v="2024-11-13T00:00:00"/>
    <s v="C0029"/>
    <x v="10"/>
    <s v="P010"/>
    <n v="12"/>
    <n v="0.05"/>
    <x v="0"/>
    <x v="4"/>
    <x v="0"/>
    <n v="4599"/>
    <n v="3000"/>
    <n v="52428.6"/>
    <n v="36000"/>
    <x v="302"/>
    <n v="2759.4"/>
    <x v="3"/>
    <x v="0"/>
    <x v="2"/>
    <x v="1"/>
    <x v="1"/>
    <x v="10"/>
    <x v="0"/>
  </r>
  <r>
    <x v="503"/>
    <d v="2024-11-13T00:00:00"/>
    <s v="C0005"/>
    <x v="10"/>
    <s v="P011"/>
    <n v="2"/>
    <n v="0.2"/>
    <x v="2"/>
    <x v="1"/>
    <x v="0"/>
    <n v="899"/>
    <n v="500"/>
    <n v="1438.4"/>
    <n v="1000"/>
    <x v="303"/>
    <n v="359.6"/>
    <x v="1"/>
    <x v="0"/>
    <x v="2"/>
    <x v="0"/>
    <x v="1"/>
    <x v="10"/>
    <x v="0"/>
  </r>
  <r>
    <x v="504"/>
    <d v="2024-11-13T00:00:00"/>
    <s v="C0033"/>
    <x v="10"/>
    <s v="P009"/>
    <n v="12"/>
    <n v="0"/>
    <x v="2"/>
    <x v="0"/>
    <x v="0"/>
    <n v="4299"/>
    <n v="2800"/>
    <n v="51588"/>
    <n v="33600"/>
    <x v="304"/>
    <n v="0"/>
    <x v="0"/>
    <x v="0"/>
    <x v="1"/>
    <x v="1"/>
    <x v="1"/>
    <x v="10"/>
    <x v="0"/>
  </r>
  <r>
    <x v="505"/>
    <d v="2024-11-13T00:00:00"/>
    <s v="C0088"/>
    <x v="10"/>
    <s v="P007"/>
    <n v="5"/>
    <n v="0.1"/>
    <x v="0"/>
    <x v="0"/>
    <x v="0"/>
    <n v="5499"/>
    <n v="3500"/>
    <n v="24745.5"/>
    <n v="17500"/>
    <x v="305"/>
    <n v="2749.5"/>
    <x v="11"/>
    <x v="0"/>
    <x v="13"/>
    <x v="3"/>
    <x v="0"/>
    <x v="10"/>
    <x v="0"/>
  </r>
  <r>
    <x v="506"/>
    <d v="2024-11-14T00:00:00"/>
    <s v="C0085"/>
    <x v="10"/>
    <s v="P002"/>
    <n v="1"/>
    <n v="0"/>
    <x v="2"/>
    <x v="2"/>
    <x v="0"/>
    <n v="1999"/>
    <n v="1200"/>
    <n v="1999"/>
    <n v="1200"/>
    <x v="57"/>
    <n v="0"/>
    <x v="19"/>
    <x v="1"/>
    <x v="9"/>
    <x v="4"/>
    <x v="1"/>
    <x v="10"/>
    <x v="0"/>
  </r>
  <r>
    <x v="507"/>
    <d v="2024-11-15T00:00:00"/>
    <s v="C0047"/>
    <x v="10"/>
    <s v="P016"/>
    <n v="2"/>
    <n v="0.1"/>
    <x v="2"/>
    <x v="4"/>
    <x v="0"/>
    <n v="240"/>
    <n v="140"/>
    <n v="432"/>
    <n v="280"/>
    <x v="55"/>
    <n v="48"/>
    <x v="16"/>
    <x v="3"/>
    <x v="1"/>
    <x v="1"/>
    <x v="1"/>
    <x v="10"/>
    <x v="0"/>
  </r>
  <r>
    <x v="508"/>
    <d v="2024-11-15T00:00:00"/>
    <s v="C0198"/>
    <x v="10"/>
    <s v="P013"/>
    <n v="6"/>
    <n v="0.1"/>
    <x v="0"/>
    <x v="3"/>
    <x v="0"/>
    <n v="150"/>
    <n v="90"/>
    <n v="810"/>
    <n v="540"/>
    <x v="235"/>
    <n v="90"/>
    <x v="17"/>
    <x v="3"/>
    <x v="8"/>
    <x v="4"/>
    <x v="0"/>
    <x v="10"/>
    <x v="0"/>
  </r>
  <r>
    <x v="509"/>
    <d v="2024-11-16T00:00:00"/>
    <s v="C0171"/>
    <x v="10"/>
    <s v="P017"/>
    <n v="2"/>
    <n v="0"/>
    <x v="0"/>
    <x v="4"/>
    <x v="3"/>
    <n v="449"/>
    <n v="260"/>
    <n v="898"/>
    <n v="520"/>
    <x v="306"/>
    <n v="0"/>
    <x v="10"/>
    <x v="3"/>
    <x v="2"/>
    <x v="1"/>
    <x v="0"/>
    <x v="10"/>
    <x v="0"/>
  </r>
  <r>
    <x v="510"/>
    <d v="2024-11-16T00:00:00"/>
    <s v="C0187"/>
    <x v="10"/>
    <s v="P021"/>
    <n v="2"/>
    <n v="0.15"/>
    <x v="0"/>
    <x v="0"/>
    <x v="0"/>
    <n v="1599"/>
    <n v="800"/>
    <n v="2718.3"/>
    <n v="1600"/>
    <x v="155"/>
    <n v="479.7"/>
    <x v="9"/>
    <x v="2"/>
    <x v="2"/>
    <x v="1"/>
    <x v="1"/>
    <x v="10"/>
    <x v="0"/>
  </r>
  <r>
    <x v="511"/>
    <d v="2024-11-16T00:00:00"/>
    <s v="C0077"/>
    <x v="10"/>
    <s v="P021"/>
    <n v="2"/>
    <n v="0.15"/>
    <x v="2"/>
    <x v="3"/>
    <x v="2"/>
    <n v="1599"/>
    <n v="800"/>
    <n v="2718.3"/>
    <n v="1600"/>
    <x v="155"/>
    <n v="479.7"/>
    <x v="9"/>
    <x v="2"/>
    <x v="8"/>
    <x v="4"/>
    <x v="1"/>
    <x v="10"/>
    <x v="0"/>
  </r>
  <r>
    <x v="512"/>
    <d v="2024-11-18T00:00:00"/>
    <s v="C0163"/>
    <x v="10"/>
    <s v="P008"/>
    <n v="5"/>
    <n v="0"/>
    <x v="1"/>
    <x v="3"/>
    <x v="0"/>
    <n v="6499"/>
    <n v="4200"/>
    <n v="32495"/>
    <n v="21000"/>
    <x v="158"/>
    <n v="0"/>
    <x v="13"/>
    <x v="0"/>
    <x v="5"/>
    <x v="3"/>
    <x v="1"/>
    <x v="10"/>
    <x v="0"/>
  </r>
  <r>
    <x v="513"/>
    <d v="2024-11-19T00:00:00"/>
    <s v="C0063"/>
    <x v="10"/>
    <s v="P013"/>
    <n v="1"/>
    <n v="0.05"/>
    <x v="1"/>
    <x v="2"/>
    <x v="0"/>
    <n v="150"/>
    <n v="90"/>
    <n v="142.5"/>
    <n v="90"/>
    <x v="35"/>
    <n v="7.5"/>
    <x v="17"/>
    <x v="3"/>
    <x v="6"/>
    <x v="4"/>
    <x v="1"/>
    <x v="10"/>
    <x v="0"/>
  </r>
  <r>
    <x v="514"/>
    <d v="2024-11-19T00:00:00"/>
    <s v="C0096"/>
    <x v="10"/>
    <s v="P005"/>
    <n v="1"/>
    <n v="0"/>
    <x v="1"/>
    <x v="1"/>
    <x v="0"/>
    <n v="1299"/>
    <n v="800"/>
    <n v="1299"/>
    <n v="800"/>
    <x v="17"/>
    <n v="0"/>
    <x v="12"/>
    <x v="1"/>
    <x v="2"/>
    <x v="1"/>
    <x v="1"/>
    <x v="10"/>
    <x v="0"/>
  </r>
  <r>
    <x v="515"/>
    <d v="2024-11-20T00:00:00"/>
    <s v="C0016"/>
    <x v="10"/>
    <s v="P021"/>
    <n v="1"/>
    <n v="0.05"/>
    <x v="2"/>
    <x v="4"/>
    <x v="0"/>
    <n v="1599"/>
    <n v="800"/>
    <n v="1519.05"/>
    <n v="800"/>
    <x v="307"/>
    <n v="79.95"/>
    <x v="9"/>
    <x v="2"/>
    <x v="1"/>
    <x v="1"/>
    <x v="1"/>
    <x v="10"/>
    <x v="0"/>
  </r>
  <r>
    <x v="516"/>
    <d v="2024-11-21T00:00:00"/>
    <s v="C0060"/>
    <x v="10"/>
    <s v="P016"/>
    <n v="8"/>
    <n v="0.1"/>
    <x v="0"/>
    <x v="4"/>
    <x v="0"/>
    <n v="240"/>
    <n v="140"/>
    <n v="1728"/>
    <n v="1120"/>
    <x v="308"/>
    <n v="192"/>
    <x v="16"/>
    <x v="3"/>
    <x v="1"/>
    <x v="1"/>
    <x v="2"/>
    <x v="10"/>
    <x v="0"/>
  </r>
  <r>
    <x v="517"/>
    <d v="2024-11-22T00:00:00"/>
    <s v="C0177"/>
    <x v="10"/>
    <s v="P001"/>
    <n v="5"/>
    <n v="0.1"/>
    <x v="2"/>
    <x v="0"/>
    <x v="0"/>
    <n v="700"/>
    <n v="450"/>
    <n v="3150"/>
    <n v="2250"/>
    <x v="309"/>
    <n v="350"/>
    <x v="7"/>
    <x v="1"/>
    <x v="11"/>
    <x v="3"/>
    <x v="0"/>
    <x v="10"/>
    <x v="0"/>
  </r>
  <r>
    <x v="518"/>
    <d v="2024-11-24T00:00:00"/>
    <s v="C0144"/>
    <x v="10"/>
    <s v="P015"/>
    <n v="6"/>
    <n v="0.1"/>
    <x v="2"/>
    <x v="2"/>
    <x v="0"/>
    <n v="299"/>
    <n v="180"/>
    <n v="1614.6"/>
    <n v="1080"/>
    <x v="310"/>
    <n v="179.4"/>
    <x v="8"/>
    <x v="3"/>
    <x v="7"/>
    <x v="4"/>
    <x v="0"/>
    <x v="10"/>
    <x v="0"/>
  </r>
  <r>
    <x v="519"/>
    <d v="2024-11-25T00:00:00"/>
    <s v="C0083"/>
    <x v="10"/>
    <s v="P012"/>
    <n v="6"/>
    <n v="0.15"/>
    <x v="1"/>
    <x v="4"/>
    <x v="0"/>
    <n v="320"/>
    <n v="220"/>
    <n v="1632"/>
    <n v="1320"/>
    <x v="78"/>
    <n v="288"/>
    <x v="5"/>
    <x v="3"/>
    <x v="3"/>
    <x v="2"/>
    <x v="1"/>
    <x v="10"/>
    <x v="0"/>
  </r>
  <r>
    <x v="520"/>
    <d v="2024-11-25T00:00:00"/>
    <s v="C0136"/>
    <x v="10"/>
    <s v="P003"/>
    <n v="2"/>
    <n v="0"/>
    <x v="0"/>
    <x v="0"/>
    <x v="0"/>
    <n v="599"/>
    <n v="350"/>
    <n v="1198"/>
    <n v="700"/>
    <x v="38"/>
    <n v="0"/>
    <x v="2"/>
    <x v="1"/>
    <x v="12"/>
    <x v="2"/>
    <x v="0"/>
    <x v="10"/>
    <x v="0"/>
  </r>
  <r>
    <x v="521"/>
    <d v="2024-11-25T00:00:00"/>
    <s v="C0199"/>
    <x v="10"/>
    <s v="P001"/>
    <n v="10"/>
    <n v="0.1"/>
    <x v="1"/>
    <x v="1"/>
    <x v="2"/>
    <n v="700"/>
    <n v="450"/>
    <n v="6300"/>
    <n v="4500"/>
    <x v="206"/>
    <n v="700"/>
    <x v="7"/>
    <x v="1"/>
    <x v="2"/>
    <x v="1"/>
    <x v="0"/>
    <x v="10"/>
    <x v="0"/>
  </r>
  <r>
    <x v="522"/>
    <d v="2024-11-26T00:00:00"/>
    <s v="C0062"/>
    <x v="10"/>
    <s v="P020"/>
    <n v="8"/>
    <n v="0"/>
    <x v="0"/>
    <x v="4"/>
    <x v="3"/>
    <n v="1799"/>
    <n v="900"/>
    <n v="14392"/>
    <n v="7200"/>
    <x v="311"/>
    <n v="0"/>
    <x v="4"/>
    <x v="2"/>
    <x v="0"/>
    <x v="0"/>
    <x v="2"/>
    <x v="10"/>
    <x v="0"/>
  </r>
  <r>
    <x v="523"/>
    <d v="2024-11-26T00:00:00"/>
    <s v="C0175"/>
    <x v="10"/>
    <s v="P017"/>
    <n v="12"/>
    <n v="0"/>
    <x v="0"/>
    <x v="1"/>
    <x v="0"/>
    <n v="449"/>
    <n v="260"/>
    <n v="5388"/>
    <n v="3120"/>
    <x v="312"/>
    <n v="0"/>
    <x v="10"/>
    <x v="3"/>
    <x v="9"/>
    <x v="4"/>
    <x v="1"/>
    <x v="10"/>
    <x v="0"/>
  </r>
  <r>
    <x v="524"/>
    <d v="2024-11-27T00:00:00"/>
    <s v="C0025"/>
    <x v="10"/>
    <s v="P004"/>
    <n v="20"/>
    <n v="0"/>
    <x v="2"/>
    <x v="4"/>
    <x v="0"/>
    <n v="1599"/>
    <n v="900"/>
    <n v="31980"/>
    <n v="18000"/>
    <x v="313"/>
    <n v="0"/>
    <x v="21"/>
    <x v="1"/>
    <x v="6"/>
    <x v="4"/>
    <x v="1"/>
    <x v="10"/>
    <x v="0"/>
  </r>
  <r>
    <x v="525"/>
    <d v="2024-11-27T00:00:00"/>
    <s v="C0052"/>
    <x v="10"/>
    <s v="P002"/>
    <n v="1"/>
    <n v="0"/>
    <x v="1"/>
    <x v="0"/>
    <x v="0"/>
    <n v="1999"/>
    <n v="1200"/>
    <n v="1999"/>
    <n v="1200"/>
    <x v="57"/>
    <n v="0"/>
    <x v="19"/>
    <x v="1"/>
    <x v="10"/>
    <x v="2"/>
    <x v="1"/>
    <x v="10"/>
    <x v="0"/>
  </r>
  <r>
    <x v="526"/>
    <d v="2024-11-28T00:00:00"/>
    <s v="C0126"/>
    <x v="10"/>
    <s v="P022"/>
    <n v="20"/>
    <n v="0.1"/>
    <x v="0"/>
    <x v="4"/>
    <x v="0"/>
    <n v="899"/>
    <n v="450"/>
    <n v="16182"/>
    <n v="9000"/>
    <x v="314"/>
    <n v="1798"/>
    <x v="6"/>
    <x v="2"/>
    <x v="8"/>
    <x v="4"/>
    <x v="0"/>
    <x v="10"/>
    <x v="0"/>
  </r>
  <r>
    <x v="527"/>
    <d v="2024-11-28T00:00:00"/>
    <s v="C0184"/>
    <x v="10"/>
    <s v="P020"/>
    <n v="1"/>
    <n v="0.15"/>
    <x v="0"/>
    <x v="3"/>
    <x v="0"/>
    <n v="1799"/>
    <n v="900"/>
    <n v="1529.15"/>
    <n v="900"/>
    <x v="315"/>
    <n v="269.84999999999997"/>
    <x v="4"/>
    <x v="2"/>
    <x v="1"/>
    <x v="1"/>
    <x v="1"/>
    <x v="10"/>
    <x v="0"/>
  </r>
  <r>
    <x v="528"/>
    <d v="2024-11-28T00:00:00"/>
    <s v="C0164"/>
    <x v="10"/>
    <s v="P015"/>
    <n v="1"/>
    <n v="0.05"/>
    <x v="0"/>
    <x v="1"/>
    <x v="3"/>
    <n v="299"/>
    <n v="180"/>
    <n v="284.05"/>
    <n v="180"/>
    <x v="9"/>
    <n v="14.950000000000001"/>
    <x v="8"/>
    <x v="3"/>
    <x v="1"/>
    <x v="1"/>
    <x v="2"/>
    <x v="10"/>
    <x v="0"/>
  </r>
  <r>
    <x v="529"/>
    <d v="2024-11-28T00:00:00"/>
    <s v="C0158"/>
    <x v="10"/>
    <s v="P002"/>
    <n v="6"/>
    <n v="0"/>
    <x v="0"/>
    <x v="3"/>
    <x v="0"/>
    <n v="1999"/>
    <n v="1200"/>
    <n v="11994"/>
    <n v="7200"/>
    <x v="316"/>
    <n v="0"/>
    <x v="19"/>
    <x v="1"/>
    <x v="4"/>
    <x v="3"/>
    <x v="0"/>
    <x v="10"/>
    <x v="0"/>
  </r>
  <r>
    <x v="530"/>
    <d v="2024-11-30T00:00:00"/>
    <s v="C0133"/>
    <x v="10"/>
    <s v="P007"/>
    <n v="1"/>
    <n v="0.1"/>
    <x v="2"/>
    <x v="4"/>
    <x v="0"/>
    <n v="5499"/>
    <n v="3500"/>
    <n v="4949.1000000000004"/>
    <n v="3500"/>
    <x v="317"/>
    <n v="549.9"/>
    <x v="11"/>
    <x v="0"/>
    <x v="8"/>
    <x v="4"/>
    <x v="1"/>
    <x v="10"/>
    <x v="0"/>
  </r>
  <r>
    <x v="531"/>
    <d v="2024-12-01T00:00:00"/>
    <s v="C0169"/>
    <x v="11"/>
    <s v="P017"/>
    <n v="4"/>
    <n v="0.05"/>
    <x v="1"/>
    <x v="2"/>
    <x v="0"/>
    <n v="449"/>
    <n v="260"/>
    <n v="1706.2"/>
    <n v="1040"/>
    <x v="318"/>
    <n v="89.800000000000011"/>
    <x v="10"/>
    <x v="3"/>
    <x v="3"/>
    <x v="2"/>
    <x v="1"/>
    <x v="11"/>
    <x v="0"/>
  </r>
  <r>
    <x v="532"/>
    <d v="2024-12-01T00:00:00"/>
    <s v="C0192"/>
    <x v="11"/>
    <s v="P014"/>
    <n v="2"/>
    <n v="0.05"/>
    <x v="1"/>
    <x v="0"/>
    <x v="0"/>
    <n v="220"/>
    <n v="120"/>
    <n v="418"/>
    <n v="240"/>
    <x v="319"/>
    <n v="22"/>
    <x v="20"/>
    <x v="3"/>
    <x v="10"/>
    <x v="2"/>
    <x v="0"/>
    <x v="11"/>
    <x v="0"/>
  </r>
  <r>
    <x v="533"/>
    <d v="2024-12-02T00:00:00"/>
    <s v="C0043"/>
    <x v="11"/>
    <s v="P004"/>
    <n v="4"/>
    <n v="0.05"/>
    <x v="2"/>
    <x v="2"/>
    <x v="0"/>
    <n v="1599"/>
    <n v="900"/>
    <n v="6076.2"/>
    <n v="3600"/>
    <x v="320"/>
    <n v="319.8"/>
    <x v="21"/>
    <x v="1"/>
    <x v="10"/>
    <x v="2"/>
    <x v="1"/>
    <x v="11"/>
    <x v="0"/>
  </r>
  <r>
    <x v="534"/>
    <d v="2024-12-02T00:00:00"/>
    <s v="C0114"/>
    <x v="11"/>
    <s v="P020"/>
    <n v="4"/>
    <n v="0.05"/>
    <x v="0"/>
    <x v="0"/>
    <x v="1"/>
    <n v="1799"/>
    <n v="900"/>
    <n v="6836.2"/>
    <n v="3600"/>
    <x v="321"/>
    <n v="359.8"/>
    <x v="4"/>
    <x v="2"/>
    <x v="12"/>
    <x v="2"/>
    <x v="2"/>
    <x v="11"/>
    <x v="0"/>
  </r>
  <r>
    <x v="535"/>
    <d v="2024-12-02T00:00:00"/>
    <s v="C0111"/>
    <x v="11"/>
    <s v="P021"/>
    <n v="8"/>
    <n v="0"/>
    <x v="0"/>
    <x v="2"/>
    <x v="0"/>
    <n v="1599"/>
    <n v="800"/>
    <n v="12792"/>
    <n v="6400"/>
    <x v="322"/>
    <n v="0"/>
    <x v="9"/>
    <x v="2"/>
    <x v="7"/>
    <x v="4"/>
    <x v="2"/>
    <x v="11"/>
    <x v="0"/>
  </r>
  <r>
    <x v="536"/>
    <d v="2024-12-03T00:00:00"/>
    <s v="C0093"/>
    <x v="11"/>
    <s v="P009"/>
    <n v="6"/>
    <n v="0.2"/>
    <x v="2"/>
    <x v="1"/>
    <x v="0"/>
    <n v="4299"/>
    <n v="2800"/>
    <n v="20635.2"/>
    <n v="16800"/>
    <x v="323"/>
    <n v="5158.8"/>
    <x v="0"/>
    <x v="0"/>
    <x v="0"/>
    <x v="0"/>
    <x v="1"/>
    <x v="11"/>
    <x v="0"/>
  </r>
  <r>
    <x v="537"/>
    <d v="2024-12-03T00:00:00"/>
    <s v="C0005"/>
    <x v="11"/>
    <s v="P020"/>
    <n v="10"/>
    <n v="0.2"/>
    <x v="0"/>
    <x v="4"/>
    <x v="0"/>
    <n v="1799"/>
    <n v="900"/>
    <n v="14392"/>
    <n v="9000"/>
    <x v="324"/>
    <n v="3598"/>
    <x v="4"/>
    <x v="2"/>
    <x v="2"/>
    <x v="0"/>
    <x v="1"/>
    <x v="11"/>
    <x v="0"/>
  </r>
  <r>
    <x v="538"/>
    <d v="2024-12-03T00:00:00"/>
    <s v="C0081"/>
    <x v="11"/>
    <s v="P007"/>
    <n v="2"/>
    <n v="0.1"/>
    <x v="1"/>
    <x v="2"/>
    <x v="2"/>
    <n v="5499"/>
    <n v="3500"/>
    <n v="9898.2000000000007"/>
    <n v="7000"/>
    <x v="265"/>
    <n v="1099.8"/>
    <x v="11"/>
    <x v="0"/>
    <x v="12"/>
    <x v="2"/>
    <x v="2"/>
    <x v="11"/>
    <x v="0"/>
  </r>
  <r>
    <x v="539"/>
    <d v="2024-12-05T00:00:00"/>
    <s v="C0147"/>
    <x v="11"/>
    <s v="P019"/>
    <n v="2"/>
    <n v="0"/>
    <x v="2"/>
    <x v="1"/>
    <x v="0"/>
    <n v="1199"/>
    <n v="600"/>
    <n v="2398"/>
    <n v="1200"/>
    <x v="24"/>
    <n v="0"/>
    <x v="15"/>
    <x v="2"/>
    <x v="4"/>
    <x v="3"/>
    <x v="1"/>
    <x v="11"/>
    <x v="0"/>
  </r>
  <r>
    <x v="540"/>
    <d v="2024-12-05T00:00:00"/>
    <s v="C0150"/>
    <x v="11"/>
    <s v="P012"/>
    <n v="2"/>
    <n v="0"/>
    <x v="1"/>
    <x v="0"/>
    <x v="0"/>
    <n v="320"/>
    <n v="220"/>
    <n v="640"/>
    <n v="440"/>
    <x v="88"/>
    <n v="0"/>
    <x v="5"/>
    <x v="3"/>
    <x v="4"/>
    <x v="3"/>
    <x v="1"/>
    <x v="11"/>
    <x v="0"/>
  </r>
  <r>
    <x v="541"/>
    <d v="2024-12-06T00:00:00"/>
    <s v="C0056"/>
    <x v="11"/>
    <s v="P019"/>
    <n v="2"/>
    <n v="0"/>
    <x v="0"/>
    <x v="2"/>
    <x v="0"/>
    <n v="1199"/>
    <n v="600"/>
    <n v="2398"/>
    <n v="1200"/>
    <x v="24"/>
    <n v="0"/>
    <x v="15"/>
    <x v="2"/>
    <x v="1"/>
    <x v="1"/>
    <x v="1"/>
    <x v="11"/>
    <x v="0"/>
  </r>
  <r>
    <x v="542"/>
    <d v="2024-12-06T00:00:00"/>
    <s v="C0153"/>
    <x v="11"/>
    <s v="P004"/>
    <n v="3"/>
    <n v="0.1"/>
    <x v="2"/>
    <x v="3"/>
    <x v="0"/>
    <n v="1599"/>
    <n v="900"/>
    <n v="4317.3"/>
    <n v="2700"/>
    <x v="325"/>
    <n v="479.70000000000005"/>
    <x v="21"/>
    <x v="1"/>
    <x v="5"/>
    <x v="3"/>
    <x v="0"/>
    <x v="11"/>
    <x v="0"/>
  </r>
  <r>
    <x v="543"/>
    <d v="2024-12-07T00:00:00"/>
    <s v="C0090"/>
    <x v="11"/>
    <s v="P011"/>
    <n v="5"/>
    <n v="0.15"/>
    <x v="2"/>
    <x v="2"/>
    <x v="0"/>
    <n v="899"/>
    <n v="500"/>
    <n v="3820.75"/>
    <n v="2500"/>
    <x v="326"/>
    <n v="674.25"/>
    <x v="1"/>
    <x v="0"/>
    <x v="1"/>
    <x v="1"/>
    <x v="1"/>
    <x v="11"/>
    <x v="0"/>
  </r>
  <r>
    <x v="544"/>
    <d v="2024-12-07T00:00:00"/>
    <s v="C0163"/>
    <x v="11"/>
    <s v="P001"/>
    <n v="5"/>
    <n v="0"/>
    <x v="1"/>
    <x v="2"/>
    <x v="0"/>
    <n v="700"/>
    <n v="450"/>
    <n v="3500"/>
    <n v="2250"/>
    <x v="164"/>
    <n v="0"/>
    <x v="7"/>
    <x v="1"/>
    <x v="5"/>
    <x v="3"/>
    <x v="1"/>
    <x v="11"/>
    <x v="0"/>
  </r>
  <r>
    <x v="545"/>
    <d v="2024-12-07T00:00:00"/>
    <s v="C0084"/>
    <x v="11"/>
    <s v="P005"/>
    <n v="20"/>
    <n v="0"/>
    <x v="1"/>
    <x v="0"/>
    <x v="0"/>
    <n v="1299"/>
    <n v="800"/>
    <n v="25980"/>
    <n v="16000"/>
    <x v="327"/>
    <n v="0"/>
    <x v="12"/>
    <x v="1"/>
    <x v="12"/>
    <x v="2"/>
    <x v="0"/>
    <x v="11"/>
    <x v="0"/>
  </r>
  <r>
    <x v="546"/>
    <d v="2024-12-07T00:00:00"/>
    <s v="C0193"/>
    <x v="11"/>
    <s v="P015"/>
    <n v="10"/>
    <n v="0"/>
    <x v="0"/>
    <x v="4"/>
    <x v="0"/>
    <n v="299"/>
    <n v="180"/>
    <n v="2990"/>
    <n v="1800"/>
    <x v="19"/>
    <n v="0"/>
    <x v="8"/>
    <x v="3"/>
    <x v="1"/>
    <x v="1"/>
    <x v="1"/>
    <x v="11"/>
    <x v="0"/>
  </r>
  <r>
    <x v="547"/>
    <d v="2024-12-08T00:00:00"/>
    <s v="C0087"/>
    <x v="11"/>
    <s v="P005"/>
    <n v="1"/>
    <n v="0.05"/>
    <x v="0"/>
    <x v="1"/>
    <x v="0"/>
    <n v="1299"/>
    <n v="800"/>
    <n v="1234.05"/>
    <n v="800"/>
    <x v="277"/>
    <n v="64.95"/>
    <x v="12"/>
    <x v="1"/>
    <x v="7"/>
    <x v="4"/>
    <x v="1"/>
    <x v="11"/>
    <x v="0"/>
  </r>
  <r>
    <x v="548"/>
    <d v="2024-12-09T00:00:00"/>
    <s v="C0103"/>
    <x v="11"/>
    <s v="P003"/>
    <n v="10"/>
    <n v="0.1"/>
    <x v="2"/>
    <x v="0"/>
    <x v="0"/>
    <n v="599"/>
    <n v="350"/>
    <n v="5391"/>
    <n v="3500"/>
    <x v="328"/>
    <n v="599"/>
    <x v="2"/>
    <x v="1"/>
    <x v="6"/>
    <x v="4"/>
    <x v="0"/>
    <x v="11"/>
    <x v="0"/>
  </r>
  <r>
    <x v="549"/>
    <d v="2024-12-10T00:00:00"/>
    <s v="C0051"/>
    <x v="11"/>
    <s v="P018"/>
    <n v="6"/>
    <n v="0.1"/>
    <x v="1"/>
    <x v="2"/>
    <x v="0"/>
    <n v="499"/>
    <n v="250"/>
    <n v="2694.6"/>
    <n v="1500"/>
    <x v="329"/>
    <n v="299.40000000000003"/>
    <x v="18"/>
    <x v="2"/>
    <x v="13"/>
    <x v="3"/>
    <x v="1"/>
    <x v="11"/>
    <x v="0"/>
  </r>
  <r>
    <x v="550"/>
    <d v="2024-12-12T00:00:00"/>
    <s v="C0063"/>
    <x v="11"/>
    <s v="P008"/>
    <n v="1"/>
    <n v="0.1"/>
    <x v="1"/>
    <x v="3"/>
    <x v="0"/>
    <n v="6499"/>
    <n v="4200"/>
    <n v="5849.1"/>
    <n v="4200"/>
    <x v="330"/>
    <n v="649.90000000000009"/>
    <x v="13"/>
    <x v="0"/>
    <x v="6"/>
    <x v="4"/>
    <x v="1"/>
    <x v="11"/>
    <x v="0"/>
  </r>
  <r>
    <x v="551"/>
    <d v="2024-12-12T00:00:00"/>
    <s v="C0172"/>
    <x v="11"/>
    <s v="P004"/>
    <n v="5"/>
    <n v="0"/>
    <x v="0"/>
    <x v="2"/>
    <x v="0"/>
    <n v="1599"/>
    <n v="900"/>
    <n v="7995"/>
    <n v="4500"/>
    <x v="331"/>
    <n v="0"/>
    <x v="21"/>
    <x v="1"/>
    <x v="9"/>
    <x v="4"/>
    <x v="2"/>
    <x v="11"/>
    <x v="0"/>
  </r>
  <r>
    <x v="552"/>
    <d v="2024-12-12T00:00:00"/>
    <s v="C0007"/>
    <x v="11"/>
    <s v="P021"/>
    <n v="3"/>
    <n v="0.2"/>
    <x v="0"/>
    <x v="2"/>
    <x v="0"/>
    <n v="1599"/>
    <n v="800"/>
    <n v="3837.6"/>
    <n v="2400"/>
    <x v="332"/>
    <n v="959.40000000000009"/>
    <x v="9"/>
    <x v="2"/>
    <x v="7"/>
    <x v="4"/>
    <x v="0"/>
    <x v="11"/>
    <x v="0"/>
  </r>
  <r>
    <x v="553"/>
    <d v="2024-12-12T00:00:00"/>
    <s v="C0113"/>
    <x v="11"/>
    <s v="P005"/>
    <n v="1"/>
    <n v="0"/>
    <x v="1"/>
    <x v="3"/>
    <x v="0"/>
    <n v="1299"/>
    <n v="800"/>
    <n v="1299"/>
    <n v="800"/>
    <x v="17"/>
    <n v="0"/>
    <x v="12"/>
    <x v="1"/>
    <x v="11"/>
    <x v="3"/>
    <x v="0"/>
    <x v="11"/>
    <x v="0"/>
  </r>
  <r>
    <x v="554"/>
    <d v="2024-12-13T00:00:00"/>
    <s v="C0190"/>
    <x v="11"/>
    <s v="P004"/>
    <n v="1"/>
    <n v="0.15"/>
    <x v="0"/>
    <x v="3"/>
    <x v="3"/>
    <n v="1599"/>
    <n v="900"/>
    <n v="1359.15"/>
    <n v="900"/>
    <x v="267"/>
    <n v="239.85"/>
    <x v="21"/>
    <x v="1"/>
    <x v="8"/>
    <x v="4"/>
    <x v="0"/>
    <x v="11"/>
    <x v="0"/>
  </r>
  <r>
    <x v="555"/>
    <d v="2024-12-13T00:00:00"/>
    <s v="C0178"/>
    <x v="11"/>
    <s v="P011"/>
    <n v="1"/>
    <n v="0.05"/>
    <x v="2"/>
    <x v="2"/>
    <x v="0"/>
    <n v="899"/>
    <n v="500"/>
    <n v="854.05"/>
    <n v="500"/>
    <x v="333"/>
    <n v="44.95"/>
    <x v="1"/>
    <x v="0"/>
    <x v="1"/>
    <x v="1"/>
    <x v="1"/>
    <x v="11"/>
    <x v="0"/>
  </r>
  <r>
    <x v="556"/>
    <d v="2024-12-13T00:00:00"/>
    <s v="C0053"/>
    <x v="11"/>
    <s v="P007"/>
    <n v="20"/>
    <n v="0.1"/>
    <x v="1"/>
    <x v="4"/>
    <x v="0"/>
    <n v="5499"/>
    <n v="3500"/>
    <n v="98982"/>
    <n v="70000"/>
    <x v="334"/>
    <n v="10998"/>
    <x v="11"/>
    <x v="0"/>
    <x v="0"/>
    <x v="0"/>
    <x v="1"/>
    <x v="11"/>
    <x v="0"/>
  </r>
  <r>
    <x v="557"/>
    <d v="2024-12-14T00:00:00"/>
    <s v="C0005"/>
    <x v="11"/>
    <s v="P022"/>
    <n v="10"/>
    <n v="0.15"/>
    <x v="0"/>
    <x v="4"/>
    <x v="0"/>
    <n v="899"/>
    <n v="450"/>
    <n v="7641.5"/>
    <n v="4500"/>
    <x v="253"/>
    <n v="1348.5"/>
    <x v="6"/>
    <x v="2"/>
    <x v="2"/>
    <x v="0"/>
    <x v="1"/>
    <x v="11"/>
    <x v="0"/>
  </r>
  <r>
    <x v="558"/>
    <d v="2024-12-14T00:00:00"/>
    <s v="C0073"/>
    <x v="11"/>
    <s v="P002"/>
    <n v="4"/>
    <n v="0.05"/>
    <x v="1"/>
    <x v="3"/>
    <x v="0"/>
    <n v="1999"/>
    <n v="1200"/>
    <n v="7596.2"/>
    <n v="4800"/>
    <x v="279"/>
    <n v="399.8"/>
    <x v="19"/>
    <x v="1"/>
    <x v="6"/>
    <x v="4"/>
    <x v="2"/>
    <x v="11"/>
    <x v="0"/>
  </r>
  <r>
    <x v="559"/>
    <d v="2024-12-15T00:00:00"/>
    <s v="C0100"/>
    <x v="11"/>
    <s v="P003"/>
    <n v="6"/>
    <n v="0.15"/>
    <x v="2"/>
    <x v="3"/>
    <x v="0"/>
    <n v="599"/>
    <n v="350"/>
    <n v="3054.9"/>
    <n v="2100"/>
    <x v="335"/>
    <n v="539.1"/>
    <x v="2"/>
    <x v="1"/>
    <x v="6"/>
    <x v="4"/>
    <x v="0"/>
    <x v="11"/>
    <x v="0"/>
  </r>
  <r>
    <x v="560"/>
    <d v="2024-12-15T00:00:00"/>
    <s v="C0167"/>
    <x v="11"/>
    <s v="P010"/>
    <n v="5"/>
    <n v="0.2"/>
    <x v="1"/>
    <x v="3"/>
    <x v="0"/>
    <n v="4599"/>
    <n v="3000"/>
    <n v="18396"/>
    <n v="15000"/>
    <x v="336"/>
    <n v="4599"/>
    <x v="3"/>
    <x v="0"/>
    <x v="1"/>
    <x v="1"/>
    <x v="1"/>
    <x v="11"/>
    <x v="0"/>
  </r>
  <r>
    <x v="561"/>
    <d v="2024-12-17T00:00:00"/>
    <s v="C0125"/>
    <x v="11"/>
    <s v="P011"/>
    <n v="10"/>
    <n v="0"/>
    <x v="0"/>
    <x v="2"/>
    <x v="0"/>
    <n v="899"/>
    <n v="500"/>
    <n v="8990"/>
    <n v="5000"/>
    <x v="337"/>
    <n v="0"/>
    <x v="1"/>
    <x v="0"/>
    <x v="2"/>
    <x v="0"/>
    <x v="1"/>
    <x v="11"/>
    <x v="0"/>
  </r>
  <r>
    <x v="562"/>
    <d v="2024-12-19T00:00:00"/>
    <s v="C0011"/>
    <x v="11"/>
    <s v="P001"/>
    <n v="4"/>
    <n v="0"/>
    <x v="1"/>
    <x v="4"/>
    <x v="0"/>
    <n v="700"/>
    <n v="450"/>
    <n v="2800"/>
    <n v="1800"/>
    <x v="136"/>
    <n v="0"/>
    <x v="7"/>
    <x v="1"/>
    <x v="1"/>
    <x v="1"/>
    <x v="1"/>
    <x v="11"/>
    <x v="0"/>
  </r>
  <r>
    <x v="563"/>
    <d v="2024-12-19T00:00:00"/>
    <s v="C0089"/>
    <x v="11"/>
    <s v="P001"/>
    <n v="4"/>
    <n v="0.05"/>
    <x v="1"/>
    <x v="1"/>
    <x v="0"/>
    <n v="700"/>
    <n v="450"/>
    <n v="2660"/>
    <n v="1800"/>
    <x v="47"/>
    <n v="140"/>
    <x v="7"/>
    <x v="1"/>
    <x v="7"/>
    <x v="4"/>
    <x v="1"/>
    <x v="11"/>
    <x v="0"/>
  </r>
  <r>
    <x v="564"/>
    <d v="2024-12-19T00:00:00"/>
    <s v="C0161"/>
    <x v="11"/>
    <s v="P002"/>
    <n v="3"/>
    <n v="0.15"/>
    <x v="2"/>
    <x v="2"/>
    <x v="0"/>
    <n v="1999"/>
    <n v="1200"/>
    <n v="5097.45"/>
    <n v="3600"/>
    <x v="338"/>
    <n v="899.55"/>
    <x v="19"/>
    <x v="1"/>
    <x v="8"/>
    <x v="4"/>
    <x v="1"/>
    <x v="11"/>
    <x v="0"/>
  </r>
  <r>
    <x v="565"/>
    <d v="2024-12-19T00:00:00"/>
    <s v="C0058"/>
    <x v="11"/>
    <s v="P009"/>
    <n v="2"/>
    <n v="0.15"/>
    <x v="2"/>
    <x v="0"/>
    <x v="0"/>
    <n v="4299"/>
    <n v="2800"/>
    <n v="7308.3"/>
    <n v="5600"/>
    <x v="282"/>
    <n v="1289.7"/>
    <x v="0"/>
    <x v="0"/>
    <x v="0"/>
    <x v="0"/>
    <x v="1"/>
    <x v="11"/>
    <x v="0"/>
  </r>
  <r>
    <x v="566"/>
    <d v="2024-12-22T00:00:00"/>
    <s v="C0174"/>
    <x v="11"/>
    <s v="P017"/>
    <n v="2"/>
    <n v="0"/>
    <x v="0"/>
    <x v="2"/>
    <x v="0"/>
    <n v="449"/>
    <n v="260"/>
    <n v="898"/>
    <n v="520"/>
    <x v="306"/>
    <n v="0"/>
    <x v="10"/>
    <x v="3"/>
    <x v="0"/>
    <x v="0"/>
    <x v="0"/>
    <x v="11"/>
    <x v="0"/>
  </r>
  <r>
    <x v="567"/>
    <d v="2024-12-23T00:00:00"/>
    <s v="C0115"/>
    <x v="11"/>
    <s v="P011"/>
    <n v="10"/>
    <n v="0"/>
    <x v="1"/>
    <x v="4"/>
    <x v="0"/>
    <n v="899"/>
    <n v="500"/>
    <n v="8990"/>
    <n v="5000"/>
    <x v="337"/>
    <n v="0"/>
    <x v="1"/>
    <x v="0"/>
    <x v="8"/>
    <x v="4"/>
    <x v="0"/>
    <x v="11"/>
    <x v="0"/>
  </r>
  <r>
    <x v="568"/>
    <d v="2024-12-23T00:00:00"/>
    <s v="C0080"/>
    <x v="11"/>
    <s v="P005"/>
    <n v="10"/>
    <n v="0.05"/>
    <x v="2"/>
    <x v="2"/>
    <x v="2"/>
    <n v="1299"/>
    <n v="800"/>
    <n v="12340.5"/>
    <n v="8000"/>
    <x v="272"/>
    <n v="649.5"/>
    <x v="12"/>
    <x v="1"/>
    <x v="0"/>
    <x v="0"/>
    <x v="1"/>
    <x v="11"/>
    <x v="0"/>
  </r>
  <r>
    <x v="569"/>
    <d v="2024-12-24T00:00:00"/>
    <s v="C0082"/>
    <x v="11"/>
    <s v="P006"/>
    <n v="2"/>
    <n v="0.05"/>
    <x v="2"/>
    <x v="1"/>
    <x v="0"/>
    <n v="1799"/>
    <n v="1100"/>
    <n v="3418.1"/>
    <n v="2200"/>
    <x v="20"/>
    <n v="179.9"/>
    <x v="14"/>
    <x v="1"/>
    <x v="1"/>
    <x v="1"/>
    <x v="1"/>
    <x v="11"/>
    <x v="0"/>
  </r>
  <r>
    <x v="570"/>
    <d v="2024-12-24T00:00:00"/>
    <s v="C0187"/>
    <x v="11"/>
    <s v="P005"/>
    <n v="1"/>
    <n v="0.15"/>
    <x v="0"/>
    <x v="1"/>
    <x v="0"/>
    <n v="1299"/>
    <n v="800"/>
    <n v="1104.1500000000001"/>
    <n v="800"/>
    <x v="339"/>
    <n v="194.85"/>
    <x v="12"/>
    <x v="1"/>
    <x v="2"/>
    <x v="1"/>
    <x v="1"/>
    <x v="11"/>
    <x v="0"/>
  </r>
  <r>
    <x v="571"/>
    <d v="2024-12-25T00:00:00"/>
    <s v="C0191"/>
    <x v="11"/>
    <s v="P015"/>
    <n v="3"/>
    <n v="0.1"/>
    <x v="2"/>
    <x v="3"/>
    <x v="0"/>
    <n v="299"/>
    <n v="180"/>
    <n v="807.3"/>
    <n v="540"/>
    <x v="76"/>
    <n v="89.7"/>
    <x v="8"/>
    <x v="3"/>
    <x v="10"/>
    <x v="2"/>
    <x v="1"/>
    <x v="11"/>
    <x v="0"/>
  </r>
  <r>
    <x v="572"/>
    <d v="2024-12-25T00:00:00"/>
    <s v="C0158"/>
    <x v="11"/>
    <s v="P020"/>
    <n v="6"/>
    <n v="0.05"/>
    <x v="2"/>
    <x v="4"/>
    <x v="0"/>
    <n v="1799"/>
    <n v="900"/>
    <n v="10254.299999999999"/>
    <n v="5400"/>
    <x v="340"/>
    <n v="539.70000000000005"/>
    <x v="4"/>
    <x v="2"/>
    <x v="4"/>
    <x v="3"/>
    <x v="0"/>
    <x v="11"/>
    <x v="0"/>
  </r>
  <r>
    <x v="573"/>
    <d v="2024-12-26T00:00:00"/>
    <s v="C0007"/>
    <x v="11"/>
    <s v="P022"/>
    <n v="4"/>
    <n v="0.1"/>
    <x v="1"/>
    <x v="2"/>
    <x v="0"/>
    <n v="899"/>
    <n v="450"/>
    <n v="3236.4"/>
    <n v="1800"/>
    <x v="280"/>
    <n v="359.6"/>
    <x v="6"/>
    <x v="2"/>
    <x v="7"/>
    <x v="4"/>
    <x v="0"/>
    <x v="11"/>
    <x v="0"/>
  </r>
  <r>
    <x v="574"/>
    <d v="2024-12-26T00:00:00"/>
    <s v="C0183"/>
    <x v="11"/>
    <s v="P016"/>
    <n v="4"/>
    <n v="0.15"/>
    <x v="2"/>
    <x v="4"/>
    <x v="0"/>
    <n v="240"/>
    <n v="140"/>
    <n v="816"/>
    <n v="560"/>
    <x v="288"/>
    <n v="144"/>
    <x v="16"/>
    <x v="3"/>
    <x v="0"/>
    <x v="0"/>
    <x v="2"/>
    <x v="11"/>
    <x v="0"/>
  </r>
  <r>
    <x v="575"/>
    <d v="2024-12-26T00:00:00"/>
    <s v="C0058"/>
    <x v="11"/>
    <s v="P007"/>
    <n v="1"/>
    <n v="0.1"/>
    <x v="0"/>
    <x v="0"/>
    <x v="0"/>
    <n v="5499"/>
    <n v="3500"/>
    <n v="4949.1000000000004"/>
    <n v="3500"/>
    <x v="317"/>
    <n v="549.9"/>
    <x v="11"/>
    <x v="0"/>
    <x v="0"/>
    <x v="0"/>
    <x v="1"/>
    <x v="11"/>
    <x v="0"/>
  </r>
  <r>
    <x v="576"/>
    <d v="2024-12-26T00:00:00"/>
    <s v="C0191"/>
    <x v="11"/>
    <s v="P008"/>
    <n v="2"/>
    <n v="0"/>
    <x v="0"/>
    <x v="2"/>
    <x v="3"/>
    <n v="6499"/>
    <n v="4200"/>
    <n v="12998"/>
    <n v="8400"/>
    <x v="187"/>
    <n v="0"/>
    <x v="13"/>
    <x v="0"/>
    <x v="10"/>
    <x v="2"/>
    <x v="1"/>
    <x v="11"/>
    <x v="0"/>
  </r>
  <r>
    <x v="577"/>
    <d v="2024-12-27T00:00:00"/>
    <s v="C0177"/>
    <x v="11"/>
    <s v="P016"/>
    <n v="4"/>
    <n v="0.15"/>
    <x v="2"/>
    <x v="2"/>
    <x v="0"/>
    <n v="240"/>
    <n v="140"/>
    <n v="816"/>
    <n v="560"/>
    <x v="288"/>
    <n v="144"/>
    <x v="16"/>
    <x v="3"/>
    <x v="11"/>
    <x v="3"/>
    <x v="0"/>
    <x v="11"/>
    <x v="0"/>
  </r>
  <r>
    <x v="578"/>
    <d v="2024-12-28T00:00:00"/>
    <s v="C0185"/>
    <x v="11"/>
    <s v="P013"/>
    <n v="4"/>
    <n v="0.05"/>
    <x v="1"/>
    <x v="2"/>
    <x v="0"/>
    <n v="150"/>
    <n v="90"/>
    <n v="570"/>
    <n v="360"/>
    <x v="341"/>
    <n v="30"/>
    <x v="17"/>
    <x v="3"/>
    <x v="3"/>
    <x v="2"/>
    <x v="0"/>
    <x v="11"/>
    <x v="0"/>
  </r>
  <r>
    <x v="579"/>
    <d v="2024-12-28T00:00:00"/>
    <s v="C0165"/>
    <x v="11"/>
    <s v="P017"/>
    <n v="2"/>
    <n v="0"/>
    <x v="2"/>
    <x v="4"/>
    <x v="0"/>
    <n v="449"/>
    <n v="260"/>
    <n v="898"/>
    <n v="520"/>
    <x v="306"/>
    <n v="0"/>
    <x v="10"/>
    <x v="3"/>
    <x v="11"/>
    <x v="3"/>
    <x v="1"/>
    <x v="11"/>
    <x v="0"/>
  </r>
  <r>
    <x v="580"/>
    <d v="2024-12-31T00:00:00"/>
    <s v="C0138"/>
    <x v="11"/>
    <s v="P017"/>
    <n v="10"/>
    <n v="0"/>
    <x v="1"/>
    <x v="3"/>
    <x v="0"/>
    <n v="449"/>
    <n v="260"/>
    <n v="4490"/>
    <n v="2600"/>
    <x v="11"/>
    <n v="0"/>
    <x v="10"/>
    <x v="3"/>
    <x v="12"/>
    <x v="2"/>
    <x v="1"/>
    <x v="11"/>
    <x v="0"/>
  </r>
  <r>
    <x v="581"/>
    <d v="2024-12-31T00:00:00"/>
    <s v="C0075"/>
    <x v="11"/>
    <s v="P007"/>
    <n v="6"/>
    <n v="0.15"/>
    <x v="0"/>
    <x v="0"/>
    <x v="0"/>
    <n v="5499"/>
    <n v="3500"/>
    <n v="28044.9"/>
    <n v="21000"/>
    <x v="342"/>
    <n v="4949.0999999999995"/>
    <x v="11"/>
    <x v="0"/>
    <x v="2"/>
    <x v="0"/>
    <x v="0"/>
    <x v="11"/>
    <x v="0"/>
  </r>
  <r>
    <x v="582"/>
    <d v="2025-01-01T00:00:00"/>
    <s v="C0109"/>
    <x v="0"/>
    <s v="P006"/>
    <n v="3"/>
    <n v="0.05"/>
    <x v="1"/>
    <x v="4"/>
    <x v="0"/>
    <n v="1799"/>
    <n v="1100"/>
    <n v="5127.1499999999996"/>
    <n v="3300"/>
    <x v="343"/>
    <n v="269.85000000000002"/>
    <x v="14"/>
    <x v="1"/>
    <x v="7"/>
    <x v="4"/>
    <x v="1"/>
    <x v="0"/>
    <x v="1"/>
  </r>
  <r>
    <x v="583"/>
    <d v="2025-01-02T00:00:00"/>
    <s v="C0166"/>
    <x v="0"/>
    <s v="P015"/>
    <n v="6"/>
    <n v="0"/>
    <x v="2"/>
    <x v="2"/>
    <x v="0"/>
    <n v="299"/>
    <n v="180"/>
    <n v="1794"/>
    <n v="1080"/>
    <x v="241"/>
    <n v="0"/>
    <x v="8"/>
    <x v="3"/>
    <x v="1"/>
    <x v="1"/>
    <x v="1"/>
    <x v="0"/>
    <x v="1"/>
  </r>
  <r>
    <x v="584"/>
    <d v="2025-01-02T00:00:00"/>
    <s v="C0035"/>
    <x v="0"/>
    <s v="P018"/>
    <n v="5"/>
    <n v="0.05"/>
    <x v="2"/>
    <x v="0"/>
    <x v="0"/>
    <n v="499"/>
    <n v="250"/>
    <n v="2370.25"/>
    <n v="1250"/>
    <x v="89"/>
    <n v="124.75"/>
    <x v="18"/>
    <x v="2"/>
    <x v="12"/>
    <x v="2"/>
    <x v="0"/>
    <x v="0"/>
    <x v="1"/>
  </r>
  <r>
    <x v="585"/>
    <d v="2025-01-02T00:00:00"/>
    <s v="C0183"/>
    <x v="0"/>
    <s v="P019"/>
    <n v="2"/>
    <n v="0.15"/>
    <x v="0"/>
    <x v="4"/>
    <x v="0"/>
    <n v="1199"/>
    <n v="600"/>
    <n v="2038.3"/>
    <n v="1200"/>
    <x v="344"/>
    <n v="359.7"/>
    <x v="15"/>
    <x v="2"/>
    <x v="0"/>
    <x v="0"/>
    <x v="2"/>
    <x v="0"/>
    <x v="1"/>
  </r>
  <r>
    <x v="586"/>
    <d v="2025-01-04T00:00:00"/>
    <s v="C0024"/>
    <x v="0"/>
    <s v="P004"/>
    <n v="1"/>
    <n v="0.1"/>
    <x v="2"/>
    <x v="2"/>
    <x v="0"/>
    <n v="1599"/>
    <n v="900"/>
    <n v="1439.1"/>
    <n v="900"/>
    <x v="345"/>
    <n v="159.9"/>
    <x v="21"/>
    <x v="1"/>
    <x v="4"/>
    <x v="3"/>
    <x v="1"/>
    <x v="0"/>
    <x v="1"/>
  </r>
  <r>
    <x v="587"/>
    <d v="2025-01-04T00:00:00"/>
    <s v="C0187"/>
    <x v="0"/>
    <s v="P013"/>
    <n v="10"/>
    <n v="0.05"/>
    <x v="1"/>
    <x v="0"/>
    <x v="0"/>
    <n v="150"/>
    <n v="90"/>
    <n v="1425"/>
    <n v="900"/>
    <x v="95"/>
    <n v="75"/>
    <x v="17"/>
    <x v="3"/>
    <x v="2"/>
    <x v="1"/>
    <x v="1"/>
    <x v="0"/>
    <x v="1"/>
  </r>
  <r>
    <x v="588"/>
    <d v="2025-01-05T00:00:00"/>
    <s v="C0197"/>
    <x v="0"/>
    <s v="P002"/>
    <n v="2"/>
    <n v="0.15"/>
    <x v="1"/>
    <x v="4"/>
    <x v="0"/>
    <n v="1999"/>
    <n v="1200"/>
    <n v="3398.3"/>
    <n v="2400"/>
    <x v="233"/>
    <n v="599.69999999999993"/>
    <x v="19"/>
    <x v="1"/>
    <x v="7"/>
    <x v="4"/>
    <x v="1"/>
    <x v="0"/>
    <x v="1"/>
  </r>
  <r>
    <x v="589"/>
    <d v="2025-01-05T00:00:00"/>
    <s v="C0038"/>
    <x v="0"/>
    <s v="P006"/>
    <n v="2"/>
    <n v="0.1"/>
    <x v="0"/>
    <x v="1"/>
    <x v="0"/>
    <n v="1799"/>
    <n v="1100"/>
    <n v="3238.2"/>
    <n v="2200"/>
    <x v="346"/>
    <n v="359.8"/>
    <x v="14"/>
    <x v="1"/>
    <x v="1"/>
    <x v="1"/>
    <x v="1"/>
    <x v="0"/>
    <x v="1"/>
  </r>
  <r>
    <x v="590"/>
    <d v="2025-01-05T00:00:00"/>
    <s v="C0074"/>
    <x v="0"/>
    <s v="P015"/>
    <n v="2"/>
    <n v="0"/>
    <x v="2"/>
    <x v="3"/>
    <x v="0"/>
    <n v="299"/>
    <n v="180"/>
    <n v="598"/>
    <n v="360"/>
    <x v="82"/>
    <n v="0"/>
    <x v="8"/>
    <x v="3"/>
    <x v="0"/>
    <x v="0"/>
    <x v="0"/>
    <x v="0"/>
    <x v="1"/>
  </r>
  <r>
    <x v="591"/>
    <d v="2025-01-05T00:00:00"/>
    <s v="C0196"/>
    <x v="0"/>
    <s v="P020"/>
    <n v="3"/>
    <n v="0"/>
    <x v="0"/>
    <x v="2"/>
    <x v="0"/>
    <n v="1799"/>
    <n v="900"/>
    <n v="5397"/>
    <n v="2700"/>
    <x v="347"/>
    <n v="0"/>
    <x v="4"/>
    <x v="2"/>
    <x v="0"/>
    <x v="0"/>
    <x v="0"/>
    <x v="0"/>
    <x v="1"/>
  </r>
  <r>
    <x v="592"/>
    <d v="2025-01-06T00:00:00"/>
    <s v="C0156"/>
    <x v="0"/>
    <s v="P001"/>
    <n v="6"/>
    <n v="0"/>
    <x v="0"/>
    <x v="0"/>
    <x v="0"/>
    <n v="700"/>
    <n v="450"/>
    <n v="4200"/>
    <n v="2700"/>
    <x v="7"/>
    <n v="0"/>
    <x v="7"/>
    <x v="1"/>
    <x v="4"/>
    <x v="3"/>
    <x v="1"/>
    <x v="0"/>
    <x v="1"/>
  </r>
  <r>
    <x v="593"/>
    <d v="2025-01-06T00:00:00"/>
    <s v="C0114"/>
    <x v="0"/>
    <s v="P014"/>
    <n v="1"/>
    <n v="0.05"/>
    <x v="1"/>
    <x v="1"/>
    <x v="0"/>
    <n v="220"/>
    <n v="120"/>
    <n v="209"/>
    <n v="120"/>
    <x v="123"/>
    <n v="11"/>
    <x v="20"/>
    <x v="3"/>
    <x v="12"/>
    <x v="2"/>
    <x v="2"/>
    <x v="0"/>
    <x v="1"/>
  </r>
  <r>
    <x v="594"/>
    <d v="2025-01-07T00:00:00"/>
    <s v="C0161"/>
    <x v="0"/>
    <s v="P020"/>
    <n v="10"/>
    <n v="0.1"/>
    <x v="2"/>
    <x v="4"/>
    <x v="0"/>
    <n v="1799"/>
    <n v="900"/>
    <n v="16191"/>
    <n v="9000"/>
    <x v="289"/>
    <n v="1799"/>
    <x v="4"/>
    <x v="2"/>
    <x v="8"/>
    <x v="4"/>
    <x v="1"/>
    <x v="0"/>
    <x v="1"/>
  </r>
  <r>
    <x v="595"/>
    <d v="2025-01-08T00:00:00"/>
    <s v="C0168"/>
    <x v="0"/>
    <s v="P002"/>
    <n v="4"/>
    <n v="0"/>
    <x v="1"/>
    <x v="2"/>
    <x v="0"/>
    <n v="1999"/>
    <n v="1200"/>
    <n v="7996"/>
    <n v="4800"/>
    <x v="166"/>
    <n v="0"/>
    <x v="19"/>
    <x v="1"/>
    <x v="10"/>
    <x v="2"/>
    <x v="2"/>
    <x v="0"/>
    <x v="1"/>
  </r>
  <r>
    <x v="596"/>
    <d v="2025-01-08T00:00:00"/>
    <s v="C0077"/>
    <x v="0"/>
    <s v="P020"/>
    <n v="4"/>
    <n v="0.15"/>
    <x v="0"/>
    <x v="4"/>
    <x v="0"/>
    <n v="1799"/>
    <n v="900"/>
    <n v="6116.6"/>
    <n v="3600"/>
    <x v="204"/>
    <n v="1079.3999999999999"/>
    <x v="4"/>
    <x v="2"/>
    <x v="8"/>
    <x v="4"/>
    <x v="1"/>
    <x v="0"/>
    <x v="1"/>
  </r>
  <r>
    <x v="597"/>
    <d v="2025-01-09T00:00:00"/>
    <s v="C0173"/>
    <x v="0"/>
    <s v="P006"/>
    <n v="3"/>
    <n v="0.05"/>
    <x v="1"/>
    <x v="2"/>
    <x v="0"/>
    <n v="1799"/>
    <n v="1100"/>
    <n v="5127.1499999999996"/>
    <n v="3300"/>
    <x v="343"/>
    <n v="269.85000000000002"/>
    <x v="14"/>
    <x v="1"/>
    <x v="4"/>
    <x v="3"/>
    <x v="1"/>
    <x v="0"/>
    <x v="1"/>
  </r>
  <r>
    <x v="598"/>
    <d v="2025-01-09T00:00:00"/>
    <s v="C0046"/>
    <x v="0"/>
    <s v="P018"/>
    <n v="6"/>
    <n v="0.1"/>
    <x v="2"/>
    <x v="3"/>
    <x v="0"/>
    <n v="499"/>
    <n v="250"/>
    <n v="2694.6"/>
    <n v="1500"/>
    <x v="329"/>
    <n v="299.40000000000003"/>
    <x v="18"/>
    <x v="2"/>
    <x v="11"/>
    <x v="3"/>
    <x v="1"/>
    <x v="0"/>
    <x v="1"/>
  </r>
  <r>
    <x v="599"/>
    <d v="2025-01-11T00:00:00"/>
    <s v="C0083"/>
    <x v="0"/>
    <s v="P010"/>
    <n v="4"/>
    <n v="0.15"/>
    <x v="0"/>
    <x v="2"/>
    <x v="0"/>
    <n v="4599"/>
    <n v="3000"/>
    <n v="15636.6"/>
    <n v="12000"/>
    <x v="348"/>
    <n v="2759.4"/>
    <x v="3"/>
    <x v="0"/>
    <x v="3"/>
    <x v="2"/>
    <x v="1"/>
    <x v="0"/>
    <x v="1"/>
  </r>
  <r>
    <x v="600"/>
    <d v="2025-01-11T00:00:00"/>
    <s v="C0075"/>
    <x v="0"/>
    <s v="P003"/>
    <n v="6"/>
    <n v="0"/>
    <x v="0"/>
    <x v="1"/>
    <x v="0"/>
    <n v="599"/>
    <n v="350"/>
    <n v="3594"/>
    <n v="2100"/>
    <x v="132"/>
    <n v="0"/>
    <x v="2"/>
    <x v="1"/>
    <x v="2"/>
    <x v="0"/>
    <x v="0"/>
    <x v="0"/>
    <x v="1"/>
  </r>
  <r>
    <x v="601"/>
    <d v="2025-01-11T00:00:00"/>
    <s v="C0106"/>
    <x v="0"/>
    <s v="P017"/>
    <n v="10"/>
    <n v="0"/>
    <x v="2"/>
    <x v="3"/>
    <x v="0"/>
    <n v="449"/>
    <n v="260"/>
    <n v="4490"/>
    <n v="2600"/>
    <x v="11"/>
    <n v="0"/>
    <x v="10"/>
    <x v="3"/>
    <x v="3"/>
    <x v="2"/>
    <x v="0"/>
    <x v="0"/>
    <x v="1"/>
  </r>
  <r>
    <x v="602"/>
    <d v="2025-01-12T00:00:00"/>
    <s v="C0187"/>
    <x v="0"/>
    <s v="P019"/>
    <n v="10"/>
    <n v="0.2"/>
    <x v="1"/>
    <x v="2"/>
    <x v="0"/>
    <n v="1199"/>
    <n v="600"/>
    <n v="9592"/>
    <n v="6000"/>
    <x v="141"/>
    <n v="2398"/>
    <x v="15"/>
    <x v="2"/>
    <x v="2"/>
    <x v="1"/>
    <x v="1"/>
    <x v="0"/>
    <x v="1"/>
  </r>
  <r>
    <x v="603"/>
    <d v="2025-01-12T00:00:00"/>
    <s v="C0110"/>
    <x v="0"/>
    <s v="P010"/>
    <n v="4"/>
    <n v="0"/>
    <x v="1"/>
    <x v="1"/>
    <x v="0"/>
    <n v="4599"/>
    <n v="3000"/>
    <n v="18396"/>
    <n v="12000"/>
    <x v="349"/>
    <n v="0"/>
    <x v="3"/>
    <x v="0"/>
    <x v="0"/>
    <x v="0"/>
    <x v="1"/>
    <x v="0"/>
    <x v="1"/>
  </r>
  <r>
    <x v="604"/>
    <d v="2025-01-13T00:00:00"/>
    <s v="C0158"/>
    <x v="0"/>
    <s v="P005"/>
    <n v="6"/>
    <n v="0.05"/>
    <x v="0"/>
    <x v="4"/>
    <x v="0"/>
    <n v="1299"/>
    <n v="800"/>
    <n v="7404.3"/>
    <n v="4800"/>
    <x v="350"/>
    <n v="389.70000000000005"/>
    <x v="12"/>
    <x v="1"/>
    <x v="4"/>
    <x v="3"/>
    <x v="0"/>
    <x v="0"/>
    <x v="1"/>
  </r>
  <r>
    <x v="605"/>
    <d v="2025-01-14T00:00:00"/>
    <s v="C0060"/>
    <x v="0"/>
    <s v="P020"/>
    <n v="3"/>
    <n v="0.2"/>
    <x v="2"/>
    <x v="0"/>
    <x v="0"/>
    <n v="1799"/>
    <n v="900"/>
    <n v="4317.6000000000004"/>
    <n v="2700"/>
    <x v="44"/>
    <n v="1079.4000000000001"/>
    <x v="4"/>
    <x v="2"/>
    <x v="1"/>
    <x v="1"/>
    <x v="2"/>
    <x v="0"/>
    <x v="1"/>
  </r>
  <r>
    <x v="606"/>
    <d v="2025-01-14T00:00:00"/>
    <s v="C0031"/>
    <x v="0"/>
    <s v="P021"/>
    <n v="2"/>
    <n v="0.1"/>
    <x v="0"/>
    <x v="3"/>
    <x v="1"/>
    <n v="1599"/>
    <n v="800"/>
    <n v="2878.2"/>
    <n v="1600"/>
    <x v="351"/>
    <n v="319.8"/>
    <x v="9"/>
    <x v="2"/>
    <x v="0"/>
    <x v="0"/>
    <x v="0"/>
    <x v="0"/>
    <x v="1"/>
  </r>
  <r>
    <x v="607"/>
    <d v="2025-01-15T00:00:00"/>
    <s v="C0090"/>
    <x v="0"/>
    <s v="P011"/>
    <n v="10"/>
    <n v="0.1"/>
    <x v="1"/>
    <x v="4"/>
    <x v="0"/>
    <n v="899"/>
    <n v="500"/>
    <n v="8091"/>
    <n v="5000"/>
    <x v="352"/>
    <n v="899"/>
    <x v="1"/>
    <x v="0"/>
    <x v="1"/>
    <x v="1"/>
    <x v="1"/>
    <x v="0"/>
    <x v="1"/>
  </r>
  <r>
    <x v="608"/>
    <d v="2025-01-15T00:00:00"/>
    <s v="C0066"/>
    <x v="0"/>
    <s v="P010"/>
    <n v="1"/>
    <n v="0"/>
    <x v="0"/>
    <x v="3"/>
    <x v="0"/>
    <n v="4599"/>
    <n v="3000"/>
    <n v="4599"/>
    <n v="3000"/>
    <x v="3"/>
    <n v="0"/>
    <x v="3"/>
    <x v="0"/>
    <x v="3"/>
    <x v="2"/>
    <x v="0"/>
    <x v="0"/>
    <x v="1"/>
  </r>
  <r>
    <x v="609"/>
    <d v="2025-01-16T00:00:00"/>
    <s v="C0176"/>
    <x v="0"/>
    <s v="P004"/>
    <n v="4"/>
    <n v="0"/>
    <x v="1"/>
    <x v="3"/>
    <x v="0"/>
    <n v="1599"/>
    <n v="900"/>
    <n v="6396"/>
    <n v="3600"/>
    <x v="353"/>
    <n v="0"/>
    <x v="21"/>
    <x v="1"/>
    <x v="0"/>
    <x v="0"/>
    <x v="1"/>
    <x v="0"/>
    <x v="1"/>
  </r>
  <r>
    <x v="610"/>
    <d v="2025-01-16T00:00:00"/>
    <s v="C0050"/>
    <x v="0"/>
    <s v="P006"/>
    <n v="4"/>
    <n v="0.1"/>
    <x v="0"/>
    <x v="0"/>
    <x v="3"/>
    <n v="1799"/>
    <n v="1100"/>
    <n v="6476.4"/>
    <n v="4400"/>
    <x v="354"/>
    <n v="719.6"/>
    <x v="14"/>
    <x v="1"/>
    <x v="1"/>
    <x v="1"/>
    <x v="2"/>
    <x v="0"/>
    <x v="1"/>
  </r>
  <r>
    <x v="611"/>
    <d v="2025-01-17T00:00:00"/>
    <s v="C0166"/>
    <x v="0"/>
    <s v="P002"/>
    <n v="2"/>
    <n v="0.05"/>
    <x v="1"/>
    <x v="1"/>
    <x v="0"/>
    <n v="1999"/>
    <n v="1200"/>
    <n v="3798.1"/>
    <n v="2400"/>
    <x v="75"/>
    <n v="199.9"/>
    <x v="19"/>
    <x v="1"/>
    <x v="1"/>
    <x v="1"/>
    <x v="1"/>
    <x v="0"/>
    <x v="1"/>
  </r>
  <r>
    <x v="612"/>
    <d v="2025-01-17T00:00:00"/>
    <s v="C0106"/>
    <x v="0"/>
    <s v="P015"/>
    <n v="1"/>
    <n v="0.1"/>
    <x v="1"/>
    <x v="1"/>
    <x v="0"/>
    <n v="299"/>
    <n v="180"/>
    <n v="269.10000000000002"/>
    <n v="180"/>
    <x v="292"/>
    <n v="29.900000000000002"/>
    <x v="8"/>
    <x v="3"/>
    <x v="3"/>
    <x v="2"/>
    <x v="0"/>
    <x v="0"/>
    <x v="1"/>
  </r>
  <r>
    <x v="613"/>
    <d v="2025-01-18T00:00:00"/>
    <s v="C0138"/>
    <x v="0"/>
    <s v="P018"/>
    <n v="1"/>
    <n v="0"/>
    <x v="0"/>
    <x v="3"/>
    <x v="0"/>
    <n v="499"/>
    <n v="250"/>
    <n v="499"/>
    <n v="250"/>
    <x v="36"/>
    <n v="0"/>
    <x v="18"/>
    <x v="2"/>
    <x v="12"/>
    <x v="2"/>
    <x v="1"/>
    <x v="0"/>
    <x v="1"/>
  </r>
  <r>
    <x v="614"/>
    <d v="2025-01-18T00:00:00"/>
    <s v="C0072"/>
    <x v="0"/>
    <s v="P005"/>
    <n v="1"/>
    <n v="0"/>
    <x v="1"/>
    <x v="4"/>
    <x v="0"/>
    <n v="1299"/>
    <n v="800"/>
    <n v="1299"/>
    <n v="800"/>
    <x v="17"/>
    <n v="0"/>
    <x v="12"/>
    <x v="1"/>
    <x v="2"/>
    <x v="1"/>
    <x v="1"/>
    <x v="0"/>
    <x v="1"/>
  </r>
  <r>
    <x v="615"/>
    <d v="2025-01-18T00:00:00"/>
    <s v="C0156"/>
    <x v="0"/>
    <s v="P019"/>
    <n v="5"/>
    <n v="0"/>
    <x v="0"/>
    <x v="1"/>
    <x v="0"/>
    <n v="1199"/>
    <n v="600"/>
    <n v="5995"/>
    <n v="3000"/>
    <x v="355"/>
    <n v="0"/>
    <x v="15"/>
    <x v="2"/>
    <x v="4"/>
    <x v="3"/>
    <x v="1"/>
    <x v="0"/>
    <x v="1"/>
  </r>
  <r>
    <x v="616"/>
    <d v="2025-01-20T00:00:00"/>
    <s v="C0070"/>
    <x v="0"/>
    <s v="P002"/>
    <n v="5"/>
    <n v="0"/>
    <x v="0"/>
    <x v="0"/>
    <x v="2"/>
    <n v="1999"/>
    <n v="1200"/>
    <n v="9995"/>
    <n v="6000"/>
    <x v="200"/>
    <n v="0"/>
    <x v="19"/>
    <x v="1"/>
    <x v="10"/>
    <x v="2"/>
    <x v="2"/>
    <x v="0"/>
    <x v="1"/>
  </r>
  <r>
    <x v="617"/>
    <d v="2025-01-20T00:00:00"/>
    <s v="C0056"/>
    <x v="0"/>
    <s v="P010"/>
    <n v="10"/>
    <n v="0"/>
    <x v="2"/>
    <x v="4"/>
    <x v="0"/>
    <n v="4599"/>
    <n v="3000"/>
    <n v="45990"/>
    <n v="30000"/>
    <x v="252"/>
    <n v="0"/>
    <x v="3"/>
    <x v="0"/>
    <x v="1"/>
    <x v="1"/>
    <x v="1"/>
    <x v="0"/>
    <x v="1"/>
  </r>
  <r>
    <x v="618"/>
    <d v="2025-01-20T00:00:00"/>
    <s v="C0114"/>
    <x v="0"/>
    <s v="P003"/>
    <n v="10"/>
    <n v="0"/>
    <x v="1"/>
    <x v="4"/>
    <x v="0"/>
    <n v="599"/>
    <n v="350"/>
    <n v="5990"/>
    <n v="3500"/>
    <x v="80"/>
    <n v="0"/>
    <x v="2"/>
    <x v="1"/>
    <x v="12"/>
    <x v="2"/>
    <x v="2"/>
    <x v="0"/>
    <x v="1"/>
  </r>
  <r>
    <x v="619"/>
    <d v="2025-01-21T00:00:00"/>
    <s v="C0088"/>
    <x v="0"/>
    <s v="P007"/>
    <n v="6"/>
    <n v="0.1"/>
    <x v="0"/>
    <x v="4"/>
    <x v="0"/>
    <n v="5499"/>
    <n v="3500"/>
    <n v="29694.6"/>
    <n v="21000"/>
    <x v="256"/>
    <n v="3299.4"/>
    <x v="11"/>
    <x v="0"/>
    <x v="13"/>
    <x v="3"/>
    <x v="0"/>
    <x v="0"/>
    <x v="1"/>
  </r>
  <r>
    <x v="620"/>
    <d v="2025-01-24T00:00:00"/>
    <s v="C0133"/>
    <x v="0"/>
    <s v="P004"/>
    <n v="2"/>
    <n v="0"/>
    <x v="0"/>
    <x v="2"/>
    <x v="0"/>
    <n v="1599"/>
    <n v="900"/>
    <n v="3198"/>
    <n v="1800"/>
    <x v="138"/>
    <n v="0"/>
    <x v="21"/>
    <x v="1"/>
    <x v="8"/>
    <x v="4"/>
    <x v="1"/>
    <x v="0"/>
    <x v="1"/>
  </r>
  <r>
    <x v="621"/>
    <d v="2025-01-24T00:00:00"/>
    <s v="C0002"/>
    <x v="0"/>
    <s v="P004"/>
    <n v="3"/>
    <n v="0.15"/>
    <x v="1"/>
    <x v="3"/>
    <x v="0"/>
    <n v="1599"/>
    <n v="900"/>
    <n v="4077.45"/>
    <n v="2700"/>
    <x v="356"/>
    <n v="719.55"/>
    <x v="21"/>
    <x v="1"/>
    <x v="6"/>
    <x v="4"/>
    <x v="1"/>
    <x v="0"/>
    <x v="1"/>
  </r>
  <r>
    <x v="622"/>
    <d v="2025-01-24T00:00:00"/>
    <s v="C0120"/>
    <x v="0"/>
    <s v="P011"/>
    <n v="1"/>
    <n v="0"/>
    <x v="1"/>
    <x v="1"/>
    <x v="0"/>
    <n v="899"/>
    <n v="500"/>
    <n v="899"/>
    <n v="500"/>
    <x v="68"/>
    <n v="0"/>
    <x v="1"/>
    <x v="0"/>
    <x v="5"/>
    <x v="3"/>
    <x v="0"/>
    <x v="0"/>
    <x v="1"/>
  </r>
  <r>
    <x v="623"/>
    <d v="2025-01-25T00:00:00"/>
    <s v="C0148"/>
    <x v="0"/>
    <s v="P001"/>
    <n v="3"/>
    <n v="0.05"/>
    <x v="2"/>
    <x v="4"/>
    <x v="0"/>
    <n v="700"/>
    <n v="450"/>
    <n v="1995"/>
    <n v="1350"/>
    <x v="103"/>
    <n v="105"/>
    <x v="7"/>
    <x v="1"/>
    <x v="5"/>
    <x v="3"/>
    <x v="1"/>
    <x v="0"/>
    <x v="1"/>
  </r>
  <r>
    <x v="624"/>
    <d v="2025-01-25T00:00:00"/>
    <s v="C0071"/>
    <x v="0"/>
    <s v="P010"/>
    <n v="10"/>
    <n v="0"/>
    <x v="2"/>
    <x v="1"/>
    <x v="0"/>
    <n v="4599"/>
    <n v="3000"/>
    <n v="45990"/>
    <n v="30000"/>
    <x v="252"/>
    <n v="0"/>
    <x v="3"/>
    <x v="0"/>
    <x v="2"/>
    <x v="1"/>
    <x v="1"/>
    <x v="0"/>
    <x v="1"/>
  </r>
  <r>
    <x v="625"/>
    <d v="2025-01-25T00:00:00"/>
    <s v="C0041"/>
    <x v="0"/>
    <s v="P005"/>
    <n v="3"/>
    <n v="0"/>
    <x v="1"/>
    <x v="2"/>
    <x v="3"/>
    <n v="1299"/>
    <n v="800"/>
    <n v="3897"/>
    <n v="2400"/>
    <x v="85"/>
    <n v="0"/>
    <x v="12"/>
    <x v="1"/>
    <x v="0"/>
    <x v="0"/>
    <x v="0"/>
    <x v="0"/>
    <x v="1"/>
  </r>
  <r>
    <x v="626"/>
    <d v="2025-01-25T00:00:00"/>
    <s v="C0053"/>
    <x v="0"/>
    <s v="P004"/>
    <n v="10"/>
    <n v="0"/>
    <x v="2"/>
    <x v="1"/>
    <x v="0"/>
    <n v="1599"/>
    <n v="900"/>
    <n v="15990"/>
    <n v="9000"/>
    <x v="53"/>
    <n v="0"/>
    <x v="21"/>
    <x v="1"/>
    <x v="0"/>
    <x v="0"/>
    <x v="1"/>
    <x v="0"/>
    <x v="1"/>
  </r>
  <r>
    <x v="627"/>
    <d v="2025-01-26T00:00:00"/>
    <s v="C0063"/>
    <x v="0"/>
    <s v="P019"/>
    <n v="2"/>
    <n v="0"/>
    <x v="0"/>
    <x v="2"/>
    <x v="0"/>
    <n v="1199"/>
    <n v="600"/>
    <n v="2398"/>
    <n v="1200"/>
    <x v="24"/>
    <n v="0"/>
    <x v="15"/>
    <x v="2"/>
    <x v="6"/>
    <x v="4"/>
    <x v="1"/>
    <x v="0"/>
    <x v="1"/>
  </r>
  <r>
    <x v="628"/>
    <d v="2025-01-26T00:00:00"/>
    <s v="C0013"/>
    <x v="0"/>
    <s v="P015"/>
    <n v="2"/>
    <n v="0"/>
    <x v="2"/>
    <x v="3"/>
    <x v="2"/>
    <n v="299"/>
    <n v="180"/>
    <n v="598"/>
    <n v="360"/>
    <x v="82"/>
    <n v="0"/>
    <x v="8"/>
    <x v="3"/>
    <x v="2"/>
    <x v="0"/>
    <x v="1"/>
    <x v="0"/>
    <x v="1"/>
  </r>
  <r>
    <x v="629"/>
    <d v="2025-01-27T00:00:00"/>
    <s v="C0014"/>
    <x v="0"/>
    <s v="P013"/>
    <n v="1"/>
    <n v="0.05"/>
    <x v="1"/>
    <x v="2"/>
    <x v="0"/>
    <n v="150"/>
    <n v="90"/>
    <n v="142.5"/>
    <n v="90"/>
    <x v="35"/>
    <n v="7.5"/>
    <x v="17"/>
    <x v="3"/>
    <x v="1"/>
    <x v="1"/>
    <x v="1"/>
    <x v="0"/>
    <x v="1"/>
  </r>
  <r>
    <x v="630"/>
    <d v="2025-01-27T00:00:00"/>
    <s v="C0177"/>
    <x v="0"/>
    <s v="P021"/>
    <n v="6"/>
    <n v="0.05"/>
    <x v="2"/>
    <x v="2"/>
    <x v="0"/>
    <n v="1599"/>
    <n v="800"/>
    <n v="9114.2999999999993"/>
    <n v="4800"/>
    <x v="165"/>
    <n v="479.70000000000005"/>
    <x v="9"/>
    <x v="2"/>
    <x v="11"/>
    <x v="3"/>
    <x v="0"/>
    <x v="0"/>
    <x v="1"/>
  </r>
  <r>
    <x v="631"/>
    <d v="2025-01-28T00:00:00"/>
    <s v="C0194"/>
    <x v="0"/>
    <s v="P003"/>
    <n v="6"/>
    <n v="0.05"/>
    <x v="1"/>
    <x v="0"/>
    <x v="0"/>
    <n v="599"/>
    <n v="350"/>
    <n v="3414.3"/>
    <n v="2100"/>
    <x v="357"/>
    <n v="179.70000000000002"/>
    <x v="2"/>
    <x v="1"/>
    <x v="6"/>
    <x v="4"/>
    <x v="0"/>
    <x v="0"/>
    <x v="1"/>
  </r>
  <r>
    <x v="632"/>
    <d v="2025-01-28T00:00:00"/>
    <s v="C0117"/>
    <x v="0"/>
    <s v="P004"/>
    <n v="3"/>
    <n v="0.1"/>
    <x v="0"/>
    <x v="0"/>
    <x v="0"/>
    <n v="1599"/>
    <n v="900"/>
    <n v="4317.3"/>
    <n v="2700"/>
    <x v="325"/>
    <n v="479.70000000000005"/>
    <x v="21"/>
    <x v="1"/>
    <x v="8"/>
    <x v="4"/>
    <x v="1"/>
    <x v="0"/>
    <x v="1"/>
  </r>
  <r>
    <x v="633"/>
    <d v="2025-01-30T00:00:00"/>
    <s v="C0058"/>
    <x v="0"/>
    <s v="P008"/>
    <n v="2"/>
    <n v="0.15"/>
    <x v="0"/>
    <x v="0"/>
    <x v="0"/>
    <n v="6499"/>
    <n v="4200"/>
    <n v="11048.3"/>
    <n v="8400"/>
    <x v="358"/>
    <n v="1949.6999999999998"/>
    <x v="13"/>
    <x v="0"/>
    <x v="0"/>
    <x v="0"/>
    <x v="1"/>
    <x v="0"/>
    <x v="1"/>
  </r>
  <r>
    <x v="634"/>
    <d v="2025-01-30T00:00:00"/>
    <s v="C0180"/>
    <x v="0"/>
    <s v="P006"/>
    <n v="4"/>
    <n v="0.1"/>
    <x v="0"/>
    <x v="0"/>
    <x v="2"/>
    <n v="1799"/>
    <n v="1100"/>
    <n v="6476.4"/>
    <n v="4400"/>
    <x v="354"/>
    <n v="719.6"/>
    <x v="14"/>
    <x v="1"/>
    <x v="3"/>
    <x v="2"/>
    <x v="1"/>
    <x v="0"/>
    <x v="1"/>
  </r>
  <r>
    <x v="635"/>
    <d v="2025-01-30T00:00:00"/>
    <s v="C0017"/>
    <x v="0"/>
    <s v="P001"/>
    <n v="6"/>
    <n v="0"/>
    <x v="2"/>
    <x v="1"/>
    <x v="0"/>
    <n v="700"/>
    <n v="450"/>
    <n v="4200"/>
    <n v="2700"/>
    <x v="7"/>
    <n v="0"/>
    <x v="7"/>
    <x v="1"/>
    <x v="11"/>
    <x v="3"/>
    <x v="1"/>
    <x v="0"/>
    <x v="1"/>
  </r>
  <r>
    <x v="636"/>
    <d v="2025-01-31T00:00:00"/>
    <s v="C0155"/>
    <x v="0"/>
    <s v="P012"/>
    <n v="2"/>
    <n v="0.05"/>
    <x v="1"/>
    <x v="3"/>
    <x v="0"/>
    <n v="320"/>
    <n v="220"/>
    <n v="608"/>
    <n v="440"/>
    <x v="130"/>
    <n v="32"/>
    <x v="5"/>
    <x v="3"/>
    <x v="5"/>
    <x v="3"/>
    <x v="1"/>
    <x v="0"/>
    <x v="1"/>
  </r>
  <r>
    <x v="637"/>
    <d v="2025-01-31T00:00:00"/>
    <s v="C0143"/>
    <x v="0"/>
    <s v="P011"/>
    <n v="1"/>
    <n v="0.1"/>
    <x v="0"/>
    <x v="2"/>
    <x v="0"/>
    <n v="899"/>
    <n v="500"/>
    <n v="809.1"/>
    <n v="500"/>
    <x v="177"/>
    <n v="89.9"/>
    <x v="1"/>
    <x v="0"/>
    <x v="7"/>
    <x v="4"/>
    <x v="0"/>
    <x v="0"/>
    <x v="1"/>
  </r>
  <r>
    <x v="638"/>
    <d v="2025-02-01T00:00:00"/>
    <s v="C0062"/>
    <x v="1"/>
    <s v="P014"/>
    <n v="2"/>
    <n v="0.05"/>
    <x v="0"/>
    <x v="3"/>
    <x v="1"/>
    <n v="220"/>
    <n v="120"/>
    <n v="418"/>
    <n v="240"/>
    <x v="319"/>
    <n v="22"/>
    <x v="20"/>
    <x v="3"/>
    <x v="0"/>
    <x v="0"/>
    <x v="2"/>
    <x v="1"/>
    <x v="1"/>
  </r>
  <r>
    <x v="639"/>
    <d v="2025-02-03T00:00:00"/>
    <s v="C0054"/>
    <x v="1"/>
    <s v="P011"/>
    <n v="5"/>
    <n v="0.1"/>
    <x v="0"/>
    <x v="2"/>
    <x v="0"/>
    <n v="899"/>
    <n v="500"/>
    <n v="4045.5"/>
    <n v="2500"/>
    <x v="118"/>
    <n v="449.5"/>
    <x v="1"/>
    <x v="0"/>
    <x v="10"/>
    <x v="2"/>
    <x v="1"/>
    <x v="1"/>
    <x v="1"/>
  </r>
  <r>
    <x v="640"/>
    <d v="2025-02-05T00:00:00"/>
    <s v="C0045"/>
    <x v="1"/>
    <s v="P008"/>
    <n v="1"/>
    <n v="0.1"/>
    <x v="0"/>
    <x v="3"/>
    <x v="0"/>
    <n v="6499"/>
    <n v="4200"/>
    <n v="5849.1"/>
    <n v="4200"/>
    <x v="330"/>
    <n v="649.90000000000009"/>
    <x v="13"/>
    <x v="0"/>
    <x v="8"/>
    <x v="4"/>
    <x v="2"/>
    <x v="1"/>
    <x v="1"/>
  </r>
  <r>
    <x v="641"/>
    <d v="2025-02-08T00:00:00"/>
    <s v="C0153"/>
    <x v="1"/>
    <s v="P019"/>
    <n v="6"/>
    <n v="0"/>
    <x v="0"/>
    <x v="4"/>
    <x v="0"/>
    <n v="1199"/>
    <n v="600"/>
    <n v="7194"/>
    <n v="3600"/>
    <x v="237"/>
    <n v="0"/>
    <x v="15"/>
    <x v="2"/>
    <x v="5"/>
    <x v="3"/>
    <x v="0"/>
    <x v="1"/>
    <x v="1"/>
  </r>
  <r>
    <x v="642"/>
    <d v="2025-02-08T00:00:00"/>
    <s v="C0104"/>
    <x v="1"/>
    <s v="P010"/>
    <n v="1"/>
    <n v="0.05"/>
    <x v="1"/>
    <x v="0"/>
    <x v="0"/>
    <n v="4599"/>
    <n v="3000"/>
    <n v="4369.05"/>
    <n v="3000"/>
    <x v="169"/>
    <n v="229.95000000000002"/>
    <x v="3"/>
    <x v="0"/>
    <x v="1"/>
    <x v="1"/>
    <x v="1"/>
    <x v="1"/>
    <x v="1"/>
  </r>
  <r>
    <x v="643"/>
    <d v="2025-02-09T00:00:00"/>
    <s v="C0127"/>
    <x v="1"/>
    <s v="P011"/>
    <n v="1"/>
    <n v="0"/>
    <x v="1"/>
    <x v="3"/>
    <x v="0"/>
    <n v="899"/>
    <n v="500"/>
    <n v="899"/>
    <n v="500"/>
    <x v="68"/>
    <n v="0"/>
    <x v="1"/>
    <x v="0"/>
    <x v="2"/>
    <x v="1"/>
    <x v="1"/>
    <x v="1"/>
    <x v="1"/>
  </r>
  <r>
    <x v="644"/>
    <d v="2025-02-09T00:00:00"/>
    <s v="C0170"/>
    <x v="1"/>
    <s v="P005"/>
    <n v="2"/>
    <n v="0.05"/>
    <x v="1"/>
    <x v="2"/>
    <x v="0"/>
    <n v="1299"/>
    <n v="800"/>
    <n v="2468.1"/>
    <n v="1600"/>
    <x v="175"/>
    <n v="129.9"/>
    <x v="12"/>
    <x v="1"/>
    <x v="2"/>
    <x v="0"/>
    <x v="0"/>
    <x v="1"/>
    <x v="1"/>
  </r>
  <r>
    <x v="645"/>
    <d v="2025-02-09T00:00:00"/>
    <s v="C0051"/>
    <x v="1"/>
    <s v="P015"/>
    <n v="2"/>
    <n v="0.1"/>
    <x v="1"/>
    <x v="1"/>
    <x v="0"/>
    <n v="299"/>
    <n v="180"/>
    <n v="538.20000000000005"/>
    <n v="360"/>
    <x v="131"/>
    <n v="59.800000000000004"/>
    <x v="8"/>
    <x v="3"/>
    <x v="13"/>
    <x v="3"/>
    <x v="1"/>
    <x v="1"/>
    <x v="1"/>
  </r>
  <r>
    <x v="646"/>
    <d v="2025-02-10T00:00:00"/>
    <s v="C0184"/>
    <x v="1"/>
    <s v="P014"/>
    <n v="4"/>
    <n v="0.2"/>
    <x v="1"/>
    <x v="2"/>
    <x v="0"/>
    <n v="220"/>
    <n v="120"/>
    <n v="704"/>
    <n v="480"/>
    <x v="255"/>
    <n v="176"/>
    <x v="20"/>
    <x v="3"/>
    <x v="1"/>
    <x v="1"/>
    <x v="1"/>
    <x v="1"/>
    <x v="1"/>
  </r>
  <r>
    <x v="647"/>
    <d v="2025-02-10T00:00:00"/>
    <s v="C0033"/>
    <x v="1"/>
    <s v="P013"/>
    <n v="3"/>
    <n v="0"/>
    <x v="2"/>
    <x v="3"/>
    <x v="2"/>
    <n v="150"/>
    <n v="90"/>
    <n v="450"/>
    <n v="270"/>
    <x v="359"/>
    <n v="0"/>
    <x v="17"/>
    <x v="3"/>
    <x v="1"/>
    <x v="1"/>
    <x v="1"/>
    <x v="1"/>
    <x v="1"/>
  </r>
  <r>
    <x v="648"/>
    <d v="2025-02-11T00:00:00"/>
    <s v="C0092"/>
    <x v="1"/>
    <s v="P018"/>
    <n v="1"/>
    <n v="0.15"/>
    <x v="2"/>
    <x v="0"/>
    <x v="2"/>
    <n v="499"/>
    <n v="250"/>
    <n v="424.15"/>
    <n v="250"/>
    <x v="61"/>
    <n v="74.849999999999994"/>
    <x v="18"/>
    <x v="2"/>
    <x v="2"/>
    <x v="1"/>
    <x v="0"/>
    <x v="1"/>
    <x v="1"/>
  </r>
  <r>
    <x v="649"/>
    <d v="2025-02-11T00:00:00"/>
    <s v="C0101"/>
    <x v="1"/>
    <s v="P019"/>
    <n v="4"/>
    <n v="0.1"/>
    <x v="0"/>
    <x v="2"/>
    <x v="0"/>
    <n v="1199"/>
    <n v="600"/>
    <n v="4316.3999999999996"/>
    <n v="2400"/>
    <x v="360"/>
    <n v="479.6"/>
    <x v="15"/>
    <x v="2"/>
    <x v="5"/>
    <x v="3"/>
    <x v="0"/>
    <x v="1"/>
    <x v="1"/>
  </r>
  <r>
    <x v="650"/>
    <d v="2025-02-11T00:00:00"/>
    <s v="C0170"/>
    <x v="1"/>
    <s v="P007"/>
    <n v="2"/>
    <n v="0.05"/>
    <x v="0"/>
    <x v="1"/>
    <x v="0"/>
    <n v="5499"/>
    <n v="3500"/>
    <n v="10448.1"/>
    <n v="7000"/>
    <x v="225"/>
    <n v="549.9"/>
    <x v="11"/>
    <x v="0"/>
    <x v="2"/>
    <x v="0"/>
    <x v="0"/>
    <x v="1"/>
    <x v="1"/>
  </r>
  <r>
    <x v="651"/>
    <d v="2025-02-12T00:00:00"/>
    <s v="C0040"/>
    <x v="1"/>
    <s v="P014"/>
    <n v="3"/>
    <n v="0.2"/>
    <x v="2"/>
    <x v="3"/>
    <x v="0"/>
    <n v="220"/>
    <n v="120"/>
    <n v="528"/>
    <n v="360"/>
    <x v="130"/>
    <n v="132"/>
    <x v="20"/>
    <x v="3"/>
    <x v="9"/>
    <x v="4"/>
    <x v="1"/>
    <x v="1"/>
    <x v="1"/>
  </r>
  <r>
    <x v="652"/>
    <d v="2025-02-14T00:00:00"/>
    <s v="C0166"/>
    <x v="1"/>
    <s v="P003"/>
    <n v="1"/>
    <n v="0"/>
    <x v="1"/>
    <x v="0"/>
    <x v="2"/>
    <n v="599"/>
    <n v="350"/>
    <n v="599"/>
    <n v="350"/>
    <x v="36"/>
    <n v="0"/>
    <x v="2"/>
    <x v="1"/>
    <x v="1"/>
    <x v="1"/>
    <x v="1"/>
    <x v="1"/>
    <x v="1"/>
  </r>
  <r>
    <x v="653"/>
    <d v="2025-02-14T00:00:00"/>
    <s v="C0022"/>
    <x v="1"/>
    <s v="P005"/>
    <n v="2"/>
    <n v="0.05"/>
    <x v="0"/>
    <x v="2"/>
    <x v="0"/>
    <n v="1299"/>
    <n v="800"/>
    <n v="2468.1"/>
    <n v="1600"/>
    <x v="175"/>
    <n v="129.9"/>
    <x v="12"/>
    <x v="1"/>
    <x v="13"/>
    <x v="3"/>
    <x v="1"/>
    <x v="1"/>
    <x v="1"/>
  </r>
  <r>
    <x v="654"/>
    <d v="2025-02-14T00:00:00"/>
    <s v="C0160"/>
    <x v="1"/>
    <s v="P014"/>
    <n v="2"/>
    <n v="0.05"/>
    <x v="0"/>
    <x v="0"/>
    <x v="0"/>
    <n v="220"/>
    <n v="120"/>
    <n v="418"/>
    <n v="240"/>
    <x v="319"/>
    <n v="22"/>
    <x v="20"/>
    <x v="3"/>
    <x v="2"/>
    <x v="1"/>
    <x v="1"/>
    <x v="1"/>
    <x v="1"/>
  </r>
  <r>
    <x v="655"/>
    <d v="2025-02-14T00:00:00"/>
    <s v="C0058"/>
    <x v="1"/>
    <s v="P012"/>
    <n v="2"/>
    <n v="0.05"/>
    <x v="0"/>
    <x v="4"/>
    <x v="0"/>
    <n v="320"/>
    <n v="220"/>
    <n v="608"/>
    <n v="440"/>
    <x v="130"/>
    <n v="32"/>
    <x v="5"/>
    <x v="3"/>
    <x v="0"/>
    <x v="0"/>
    <x v="1"/>
    <x v="1"/>
    <x v="1"/>
  </r>
  <r>
    <x v="656"/>
    <d v="2025-02-15T00:00:00"/>
    <s v="C0069"/>
    <x v="1"/>
    <s v="P017"/>
    <n v="5"/>
    <n v="0.15"/>
    <x v="2"/>
    <x v="3"/>
    <x v="0"/>
    <n v="449"/>
    <n v="260"/>
    <n v="1908.25"/>
    <n v="1300"/>
    <x v="361"/>
    <n v="336.75"/>
    <x v="10"/>
    <x v="3"/>
    <x v="1"/>
    <x v="1"/>
    <x v="1"/>
    <x v="1"/>
    <x v="1"/>
  </r>
  <r>
    <x v="657"/>
    <d v="2025-02-16T00:00:00"/>
    <s v="C0124"/>
    <x v="1"/>
    <s v="P019"/>
    <n v="4"/>
    <n v="0"/>
    <x v="1"/>
    <x v="3"/>
    <x v="0"/>
    <n v="1199"/>
    <n v="600"/>
    <n v="4796"/>
    <n v="2400"/>
    <x v="32"/>
    <n v="0"/>
    <x v="15"/>
    <x v="2"/>
    <x v="9"/>
    <x v="4"/>
    <x v="0"/>
    <x v="1"/>
    <x v="1"/>
  </r>
  <r>
    <x v="658"/>
    <d v="2025-02-17T00:00:00"/>
    <s v="C0187"/>
    <x v="1"/>
    <s v="P005"/>
    <n v="10"/>
    <n v="0.2"/>
    <x v="0"/>
    <x v="0"/>
    <x v="1"/>
    <n v="1299"/>
    <n v="800"/>
    <n v="10392"/>
    <n v="8000"/>
    <x v="362"/>
    <n v="2598"/>
    <x v="12"/>
    <x v="1"/>
    <x v="2"/>
    <x v="1"/>
    <x v="1"/>
    <x v="1"/>
    <x v="1"/>
  </r>
  <r>
    <x v="659"/>
    <d v="2025-02-18T00:00:00"/>
    <s v="C0021"/>
    <x v="1"/>
    <s v="P017"/>
    <n v="10"/>
    <n v="0.15"/>
    <x v="0"/>
    <x v="3"/>
    <x v="0"/>
    <n v="449"/>
    <n v="260"/>
    <n v="3816.5"/>
    <n v="2600"/>
    <x v="248"/>
    <n v="673.5"/>
    <x v="10"/>
    <x v="3"/>
    <x v="1"/>
    <x v="1"/>
    <x v="1"/>
    <x v="1"/>
    <x v="1"/>
  </r>
  <r>
    <x v="660"/>
    <d v="2025-02-18T00:00:00"/>
    <s v="C0163"/>
    <x v="1"/>
    <s v="P022"/>
    <n v="10"/>
    <n v="0.1"/>
    <x v="2"/>
    <x v="1"/>
    <x v="0"/>
    <n v="899"/>
    <n v="450"/>
    <n v="8091"/>
    <n v="4500"/>
    <x v="363"/>
    <n v="899"/>
    <x v="6"/>
    <x v="2"/>
    <x v="5"/>
    <x v="3"/>
    <x v="1"/>
    <x v="1"/>
    <x v="1"/>
  </r>
  <r>
    <x v="661"/>
    <d v="2025-02-21T00:00:00"/>
    <s v="C0200"/>
    <x v="1"/>
    <s v="P018"/>
    <n v="1"/>
    <n v="0.05"/>
    <x v="0"/>
    <x v="2"/>
    <x v="0"/>
    <n v="499"/>
    <n v="250"/>
    <n v="474.05"/>
    <n v="250"/>
    <x v="100"/>
    <n v="24.950000000000003"/>
    <x v="18"/>
    <x v="2"/>
    <x v="7"/>
    <x v="4"/>
    <x v="1"/>
    <x v="1"/>
    <x v="1"/>
  </r>
  <r>
    <x v="662"/>
    <d v="2025-02-21T00:00:00"/>
    <s v="C0108"/>
    <x v="1"/>
    <s v="P011"/>
    <n v="4"/>
    <n v="0.2"/>
    <x v="0"/>
    <x v="4"/>
    <x v="0"/>
    <n v="899"/>
    <n v="500"/>
    <n v="2876.8"/>
    <n v="2000"/>
    <x v="364"/>
    <n v="719.2"/>
    <x v="1"/>
    <x v="0"/>
    <x v="4"/>
    <x v="3"/>
    <x v="2"/>
    <x v="1"/>
    <x v="1"/>
  </r>
  <r>
    <x v="663"/>
    <d v="2025-02-22T00:00:00"/>
    <s v="C0178"/>
    <x v="1"/>
    <s v="P002"/>
    <n v="3"/>
    <n v="0.1"/>
    <x v="2"/>
    <x v="0"/>
    <x v="0"/>
    <n v="1999"/>
    <n v="1200"/>
    <n v="5397.3"/>
    <n v="3600"/>
    <x v="151"/>
    <n v="599.70000000000005"/>
    <x v="19"/>
    <x v="1"/>
    <x v="1"/>
    <x v="1"/>
    <x v="1"/>
    <x v="1"/>
    <x v="1"/>
  </r>
  <r>
    <x v="664"/>
    <d v="2025-02-22T00:00:00"/>
    <s v="C0044"/>
    <x v="1"/>
    <s v="P019"/>
    <n v="1"/>
    <n v="0.1"/>
    <x v="1"/>
    <x v="2"/>
    <x v="0"/>
    <n v="1199"/>
    <n v="600"/>
    <n v="1079.0999999999999"/>
    <n v="600"/>
    <x v="365"/>
    <n v="119.9"/>
    <x v="15"/>
    <x v="2"/>
    <x v="2"/>
    <x v="0"/>
    <x v="2"/>
    <x v="1"/>
    <x v="1"/>
  </r>
  <r>
    <x v="665"/>
    <d v="2025-02-22T00:00:00"/>
    <s v="C0074"/>
    <x v="1"/>
    <s v="P001"/>
    <n v="6"/>
    <n v="0"/>
    <x v="0"/>
    <x v="1"/>
    <x v="0"/>
    <n v="700"/>
    <n v="450"/>
    <n v="4200"/>
    <n v="2700"/>
    <x v="7"/>
    <n v="0"/>
    <x v="7"/>
    <x v="1"/>
    <x v="0"/>
    <x v="0"/>
    <x v="0"/>
    <x v="1"/>
    <x v="1"/>
  </r>
  <r>
    <x v="666"/>
    <d v="2025-02-22T00:00:00"/>
    <s v="C0158"/>
    <x v="1"/>
    <s v="P005"/>
    <n v="3"/>
    <n v="0"/>
    <x v="1"/>
    <x v="3"/>
    <x v="0"/>
    <n v="1299"/>
    <n v="800"/>
    <n v="3897"/>
    <n v="2400"/>
    <x v="85"/>
    <n v="0"/>
    <x v="12"/>
    <x v="1"/>
    <x v="4"/>
    <x v="3"/>
    <x v="0"/>
    <x v="1"/>
    <x v="1"/>
  </r>
  <r>
    <x v="667"/>
    <d v="2025-02-23T00:00:00"/>
    <s v="C0045"/>
    <x v="1"/>
    <s v="P020"/>
    <n v="2"/>
    <n v="0.1"/>
    <x v="2"/>
    <x v="1"/>
    <x v="0"/>
    <n v="1799"/>
    <n v="900"/>
    <n v="3238.2"/>
    <n v="1800"/>
    <x v="140"/>
    <n v="359.8"/>
    <x v="4"/>
    <x v="2"/>
    <x v="8"/>
    <x v="4"/>
    <x v="2"/>
    <x v="1"/>
    <x v="1"/>
  </r>
  <r>
    <x v="668"/>
    <d v="2025-02-24T00:00:00"/>
    <s v="C0125"/>
    <x v="1"/>
    <s v="P008"/>
    <n v="2"/>
    <n v="0.1"/>
    <x v="0"/>
    <x v="3"/>
    <x v="2"/>
    <n v="6499"/>
    <n v="4200"/>
    <n v="11698.2"/>
    <n v="8400"/>
    <x v="366"/>
    <n v="1299.8000000000002"/>
    <x v="13"/>
    <x v="0"/>
    <x v="2"/>
    <x v="0"/>
    <x v="1"/>
    <x v="1"/>
    <x v="1"/>
  </r>
  <r>
    <x v="669"/>
    <d v="2025-02-24T00:00:00"/>
    <s v="C0153"/>
    <x v="1"/>
    <s v="P005"/>
    <n v="2"/>
    <n v="0.1"/>
    <x v="0"/>
    <x v="0"/>
    <x v="0"/>
    <n v="1299"/>
    <n v="800"/>
    <n v="2338.1999999999998"/>
    <n v="1600"/>
    <x v="367"/>
    <n v="259.8"/>
    <x v="12"/>
    <x v="1"/>
    <x v="5"/>
    <x v="3"/>
    <x v="0"/>
    <x v="1"/>
    <x v="1"/>
  </r>
  <r>
    <x v="670"/>
    <d v="2025-02-24T00:00:00"/>
    <s v="C0170"/>
    <x v="1"/>
    <s v="P008"/>
    <n v="6"/>
    <n v="0.1"/>
    <x v="1"/>
    <x v="1"/>
    <x v="0"/>
    <n v="6499"/>
    <n v="4200"/>
    <n v="35094.6"/>
    <n v="25200"/>
    <x v="368"/>
    <n v="3899.4"/>
    <x v="13"/>
    <x v="0"/>
    <x v="2"/>
    <x v="0"/>
    <x v="0"/>
    <x v="1"/>
    <x v="1"/>
  </r>
  <r>
    <x v="671"/>
    <d v="2025-02-25T00:00:00"/>
    <s v="C0165"/>
    <x v="1"/>
    <s v="P002"/>
    <n v="3"/>
    <n v="0.1"/>
    <x v="2"/>
    <x v="0"/>
    <x v="0"/>
    <n v="1999"/>
    <n v="1200"/>
    <n v="5397.3"/>
    <n v="3600"/>
    <x v="151"/>
    <n v="599.70000000000005"/>
    <x v="19"/>
    <x v="1"/>
    <x v="11"/>
    <x v="3"/>
    <x v="1"/>
    <x v="1"/>
    <x v="1"/>
  </r>
  <r>
    <x v="672"/>
    <d v="2025-02-25T00:00:00"/>
    <s v="C0122"/>
    <x v="1"/>
    <s v="P013"/>
    <n v="3"/>
    <n v="0.05"/>
    <x v="1"/>
    <x v="4"/>
    <x v="3"/>
    <n v="150"/>
    <n v="90"/>
    <n v="427.5"/>
    <n v="270"/>
    <x v="41"/>
    <n v="22.5"/>
    <x v="17"/>
    <x v="3"/>
    <x v="4"/>
    <x v="3"/>
    <x v="0"/>
    <x v="1"/>
    <x v="1"/>
  </r>
  <r>
    <x v="673"/>
    <d v="2025-02-27T00:00:00"/>
    <s v="C0175"/>
    <x v="1"/>
    <s v="P013"/>
    <n v="5"/>
    <n v="0.05"/>
    <x v="0"/>
    <x v="3"/>
    <x v="0"/>
    <n v="150"/>
    <n v="90"/>
    <n v="712.5"/>
    <n v="450"/>
    <x v="205"/>
    <n v="37.5"/>
    <x v="17"/>
    <x v="3"/>
    <x v="9"/>
    <x v="4"/>
    <x v="1"/>
    <x v="1"/>
    <x v="1"/>
  </r>
  <r>
    <x v="674"/>
    <d v="2025-02-27T00:00:00"/>
    <s v="C0115"/>
    <x v="1"/>
    <s v="P010"/>
    <n v="5"/>
    <n v="0.1"/>
    <x v="1"/>
    <x v="3"/>
    <x v="3"/>
    <n v="4599"/>
    <n v="3000"/>
    <n v="20695.5"/>
    <n v="15000"/>
    <x v="163"/>
    <n v="2299.5"/>
    <x v="3"/>
    <x v="0"/>
    <x v="8"/>
    <x v="4"/>
    <x v="0"/>
    <x v="1"/>
    <x v="1"/>
  </r>
  <r>
    <x v="675"/>
    <d v="2025-02-28T00:00:00"/>
    <s v="C0137"/>
    <x v="1"/>
    <s v="P004"/>
    <n v="4"/>
    <n v="0.2"/>
    <x v="1"/>
    <x v="1"/>
    <x v="0"/>
    <n v="1599"/>
    <n v="900"/>
    <n v="5116.8"/>
    <n v="3600"/>
    <x v="369"/>
    <n v="1279.2"/>
    <x v="21"/>
    <x v="1"/>
    <x v="1"/>
    <x v="1"/>
    <x v="0"/>
    <x v="1"/>
    <x v="1"/>
  </r>
  <r>
    <x v="676"/>
    <d v="2025-02-28T00:00:00"/>
    <s v="C0070"/>
    <x v="1"/>
    <s v="P011"/>
    <n v="3"/>
    <n v="0.1"/>
    <x v="1"/>
    <x v="0"/>
    <x v="0"/>
    <n v="899"/>
    <n v="500"/>
    <n v="2427.3000000000002"/>
    <n v="1500"/>
    <x v="370"/>
    <n v="269.7"/>
    <x v="1"/>
    <x v="0"/>
    <x v="10"/>
    <x v="2"/>
    <x v="2"/>
    <x v="1"/>
    <x v="1"/>
  </r>
  <r>
    <x v="677"/>
    <d v="2025-02-28T00:00:00"/>
    <s v="C0198"/>
    <x v="1"/>
    <s v="P015"/>
    <n v="2"/>
    <n v="0.1"/>
    <x v="2"/>
    <x v="2"/>
    <x v="0"/>
    <n v="299"/>
    <n v="180"/>
    <n v="538.20000000000005"/>
    <n v="360"/>
    <x v="131"/>
    <n v="59.800000000000004"/>
    <x v="8"/>
    <x v="3"/>
    <x v="8"/>
    <x v="4"/>
    <x v="0"/>
    <x v="1"/>
    <x v="1"/>
  </r>
  <r>
    <x v="678"/>
    <d v="2025-02-28T00:00:00"/>
    <s v="C0174"/>
    <x v="1"/>
    <s v="P011"/>
    <n v="2"/>
    <n v="0"/>
    <x v="2"/>
    <x v="3"/>
    <x v="0"/>
    <n v="899"/>
    <n v="500"/>
    <n v="1798"/>
    <n v="1000"/>
    <x v="268"/>
    <n v="0"/>
    <x v="1"/>
    <x v="0"/>
    <x v="0"/>
    <x v="0"/>
    <x v="0"/>
    <x v="1"/>
    <x v="1"/>
  </r>
  <r>
    <x v="679"/>
    <d v="2025-03-01T00:00:00"/>
    <s v="C0106"/>
    <x v="2"/>
    <s v="P001"/>
    <n v="1"/>
    <n v="0.05"/>
    <x v="0"/>
    <x v="4"/>
    <x v="0"/>
    <n v="700"/>
    <n v="450"/>
    <n v="665"/>
    <n v="450"/>
    <x v="371"/>
    <n v="35"/>
    <x v="7"/>
    <x v="1"/>
    <x v="3"/>
    <x v="2"/>
    <x v="0"/>
    <x v="2"/>
    <x v="1"/>
  </r>
  <r>
    <x v="680"/>
    <d v="2025-03-01T00:00:00"/>
    <s v="C0065"/>
    <x v="2"/>
    <s v="P010"/>
    <n v="2"/>
    <n v="0"/>
    <x v="2"/>
    <x v="2"/>
    <x v="0"/>
    <n v="4599"/>
    <n v="3000"/>
    <n v="9198"/>
    <n v="6000"/>
    <x v="66"/>
    <n v="0"/>
    <x v="3"/>
    <x v="0"/>
    <x v="4"/>
    <x v="3"/>
    <x v="1"/>
    <x v="2"/>
    <x v="1"/>
  </r>
  <r>
    <x v="681"/>
    <d v="2025-03-01T00:00:00"/>
    <s v="C0056"/>
    <x v="2"/>
    <s v="P022"/>
    <n v="1"/>
    <n v="0.1"/>
    <x v="1"/>
    <x v="4"/>
    <x v="0"/>
    <n v="899"/>
    <n v="450"/>
    <n v="809.1"/>
    <n v="450"/>
    <x v="372"/>
    <n v="89.9"/>
    <x v="6"/>
    <x v="2"/>
    <x v="1"/>
    <x v="1"/>
    <x v="1"/>
    <x v="2"/>
    <x v="1"/>
  </r>
  <r>
    <x v="682"/>
    <d v="2025-03-02T00:00:00"/>
    <s v="C0169"/>
    <x v="2"/>
    <s v="P013"/>
    <n v="2"/>
    <n v="0.15"/>
    <x v="0"/>
    <x v="1"/>
    <x v="0"/>
    <n v="150"/>
    <n v="90"/>
    <n v="255"/>
    <n v="180"/>
    <x v="62"/>
    <n v="45"/>
    <x v="17"/>
    <x v="3"/>
    <x v="3"/>
    <x v="2"/>
    <x v="1"/>
    <x v="2"/>
    <x v="1"/>
  </r>
  <r>
    <x v="683"/>
    <d v="2025-03-02T00:00:00"/>
    <s v="C0170"/>
    <x v="2"/>
    <s v="P015"/>
    <n v="1"/>
    <n v="0.05"/>
    <x v="0"/>
    <x v="0"/>
    <x v="3"/>
    <n v="299"/>
    <n v="180"/>
    <n v="284.05"/>
    <n v="180"/>
    <x v="9"/>
    <n v="14.950000000000001"/>
    <x v="8"/>
    <x v="3"/>
    <x v="2"/>
    <x v="0"/>
    <x v="0"/>
    <x v="2"/>
    <x v="1"/>
  </r>
  <r>
    <x v="684"/>
    <d v="2025-03-03T00:00:00"/>
    <s v="C0198"/>
    <x v="2"/>
    <s v="P022"/>
    <n v="4"/>
    <n v="0"/>
    <x v="0"/>
    <x v="3"/>
    <x v="0"/>
    <n v="899"/>
    <n v="450"/>
    <n v="3596"/>
    <n v="1800"/>
    <x v="373"/>
    <n v="0"/>
    <x v="6"/>
    <x v="2"/>
    <x v="8"/>
    <x v="4"/>
    <x v="0"/>
    <x v="2"/>
    <x v="1"/>
  </r>
  <r>
    <x v="685"/>
    <d v="2025-03-04T00:00:00"/>
    <s v="C0100"/>
    <x v="2"/>
    <s v="P013"/>
    <n v="4"/>
    <n v="0.2"/>
    <x v="0"/>
    <x v="4"/>
    <x v="0"/>
    <n v="150"/>
    <n v="90"/>
    <n v="480"/>
    <n v="360"/>
    <x v="46"/>
    <n v="120"/>
    <x v="17"/>
    <x v="3"/>
    <x v="6"/>
    <x v="4"/>
    <x v="0"/>
    <x v="2"/>
    <x v="1"/>
  </r>
  <r>
    <x v="686"/>
    <d v="2025-03-05T00:00:00"/>
    <s v="C0018"/>
    <x v="2"/>
    <s v="P015"/>
    <n v="6"/>
    <n v="0.2"/>
    <x v="0"/>
    <x v="4"/>
    <x v="0"/>
    <n v="299"/>
    <n v="180"/>
    <n v="1435.2"/>
    <n v="1080"/>
    <x v="374"/>
    <n v="358.8"/>
    <x v="8"/>
    <x v="3"/>
    <x v="7"/>
    <x v="4"/>
    <x v="0"/>
    <x v="2"/>
    <x v="1"/>
  </r>
  <r>
    <x v="687"/>
    <d v="2025-03-05T00:00:00"/>
    <s v="C0126"/>
    <x v="2"/>
    <s v="P021"/>
    <n v="1"/>
    <n v="0"/>
    <x v="2"/>
    <x v="2"/>
    <x v="0"/>
    <n v="1599"/>
    <n v="800"/>
    <n v="1599"/>
    <n v="800"/>
    <x v="57"/>
    <n v="0"/>
    <x v="9"/>
    <x v="2"/>
    <x v="8"/>
    <x v="4"/>
    <x v="0"/>
    <x v="2"/>
    <x v="1"/>
  </r>
  <r>
    <x v="688"/>
    <d v="2025-03-05T00:00:00"/>
    <s v="C0028"/>
    <x v="2"/>
    <s v="P021"/>
    <n v="6"/>
    <n v="0.1"/>
    <x v="2"/>
    <x v="3"/>
    <x v="0"/>
    <n v="1599"/>
    <n v="800"/>
    <n v="8634.6"/>
    <n v="4800"/>
    <x v="59"/>
    <n v="959.40000000000009"/>
    <x v="9"/>
    <x v="2"/>
    <x v="1"/>
    <x v="1"/>
    <x v="1"/>
    <x v="2"/>
    <x v="1"/>
  </r>
  <r>
    <x v="689"/>
    <d v="2025-03-07T00:00:00"/>
    <s v="C0187"/>
    <x v="2"/>
    <s v="P019"/>
    <n v="3"/>
    <n v="0.1"/>
    <x v="0"/>
    <x v="4"/>
    <x v="0"/>
    <n v="1199"/>
    <n v="600"/>
    <n v="3237.3"/>
    <n v="1800"/>
    <x v="375"/>
    <n v="359.70000000000005"/>
    <x v="15"/>
    <x v="2"/>
    <x v="2"/>
    <x v="1"/>
    <x v="1"/>
    <x v="2"/>
    <x v="1"/>
  </r>
  <r>
    <x v="690"/>
    <d v="2025-03-09T00:00:00"/>
    <s v="C0164"/>
    <x v="2"/>
    <s v="P021"/>
    <n v="1"/>
    <n v="0.15"/>
    <x v="0"/>
    <x v="4"/>
    <x v="0"/>
    <n v="1599"/>
    <n v="800"/>
    <n v="1359.15"/>
    <n v="800"/>
    <x v="376"/>
    <n v="239.85"/>
    <x v="9"/>
    <x v="2"/>
    <x v="1"/>
    <x v="1"/>
    <x v="2"/>
    <x v="2"/>
    <x v="1"/>
  </r>
  <r>
    <x v="691"/>
    <d v="2025-03-09T00:00:00"/>
    <s v="C0101"/>
    <x v="2"/>
    <s v="P011"/>
    <n v="1"/>
    <n v="0.05"/>
    <x v="0"/>
    <x v="0"/>
    <x v="3"/>
    <n v="899"/>
    <n v="500"/>
    <n v="854.05"/>
    <n v="500"/>
    <x v="333"/>
    <n v="44.95"/>
    <x v="1"/>
    <x v="0"/>
    <x v="5"/>
    <x v="3"/>
    <x v="0"/>
    <x v="2"/>
    <x v="1"/>
  </r>
  <r>
    <x v="692"/>
    <d v="2025-03-09T00:00:00"/>
    <s v="C0104"/>
    <x v="2"/>
    <s v="P014"/>
    <n v="1"/>
    <n v="0.05"/>
    <x v="1"/>
    <x v="0"/>
    <x v="0"/>
    <n v="220"/>
    <n v="120"/>
    <n v="209"/>
    <n v="120"/>
    <x v="123"/>
    <n v="11"/>
    <x v="20"/>
    <x v="3"/>
    <x v="1"/>
    <x v="1"/>
    <x v="1"/>
    <x v="2"/>
    <x v="1"/>
  </r>
  <r>
    <x v="693"/>
    <d v="2025-03-10T00:00:00"/>
    <s v="C0146"/>
    <x v="2"/>
    <s v="P004"/>
    <n v="10"/>
    <n v="0.15"/>
    <x v="1"/>
    <x v="1"/>
    <x v="0"/>
    <n v="1599"/>
    <n v="900"/>
    <n v="13591.5"/>
    <n v="9000"/>
    <x v="377"/>
    <n v="2398.5"/>
    <x v="21"/>
    <x v="1"/>
    <x v="0"/>
    <x v="0"/>
    <x v="1"/>
    <x v="2"/>
    <x v="1"/>
  </r>
  <r>
    <x v="694"/>
    <d v="2025-03-10T00:00:00"/>
    <s v="C0015"/>
    <x v="2"/>
    <s v="P013"/>
    <n v="1"/>
    <n v="0"/>
    <x v="0"/>
    <x v="3"/>
    <x v="0"/>
    <n v="150"/>
    <n v="90"/>
    <n v="150"/>
    <n v="90"/>
    <x v="378"/>
    <n v="0"/>
    <x v="17"/>
    <x v="3"/>
    <x v="9"/>
    <x v="4"/>
    <x v="1"/>
    <x v="2"/>
    <x v="1"/>
  </r>
  <r>
    <x v="695"/>
    <d v="2025-03-11T00:00:00"/>
    <s v="C0195"/>
    <x v="2"/>
    <s v="P015"/>
    <n v="3"/>
    <n v="0.05"/>
    <x v="2"/>
    <x v="0"/>
    <x v="0"/>
    <n v="299"/>
    <n v="180"/>
    <n v="852.15"/>
    <n v="540"/>
    <x v="201"/>
    <n v="44.85"/>
    <x v="8"/>
    <x v="3"/>
    <x v="10"/>
    <x v="2"/>
    <x v="1"/>
    <x v="2"/>
    <x v="1"/>
  </r>
  <r>
    <x v="696"/>
    <d v="2025-03-12T00:00:00"/>
    <s v="C0049"/>
    <x v="2"/>
    <s v="P022"/>
    <n v="3"/>
    <n v="0.1"/>
    <x v="1"/>
    <x v="1"/>
    <x v="2"/>
    <n v="899"/>
    <n v="450"/>
    <n v="2427.3000000000002"/>
    <n v="1350"/>
    <x v="379"/>
    <n v="269.7"/>
    <x v="6"/>
    <x v="2"/>
    <x v="6"/>
    <x v="4"/>
    <x v="0"/>
    <x v="2"/>
    <x v="1"/>
  </r>
  <r>
    <x v="697"/>
    <d v="2025-03-13T00:00:00"/>
    <s v="C0022"/>
    <x v="2"/>
    <s v="P016"/>
    <n v="6"/>
    <n v="0.1"/>
    <x v="2"/>
    <x v="3"/>
    <x v="0"/>
    <n v="240"/>
    <n v="140"/>
    <n v="1296"/>
    <n v="840"/>
    <x v="380"/>
    <n v="144"/>
    <x v="16"/>
    <x v="3"/>
    <x v="13"/>
    <x v="3"/>
    <x v="1"/>
    <x v="2"/>
    <x v="1"/>
  </r>
  <r>
    <x v="698"/>
    <d v="2025-03-15T00:00:00"/>
    <s v="C0062"/>
    <x v="2"/>
    <s v="P019"/>
    <n v="6"/>
    <n v="0"/>
    <x v="1"/>
    <x v="1"/>
    <x v="0"/>
    <n v="1199"/>
    <n v="600"/>
    <n v="7194"/>
    <n v="3600"/>
    <x v="237"/>
    <n v="0"/>
    <x v="15"/>
    <x v="2"/>
    <x v="0"/>
    <x v="0"/>
    <x v="2"/>
    <x v="2"/>
    <x v="1"/>
  </r>
  <r>
    <x v="699"/>
    <d v="2025-03-15T00:00:00"/>
    <s v="C0137"/>
    <x v="2"/>
    <s v="P016"/>
    <n v="6"/>
    <n v="0.2"/>
    <x v="0"/>
    <x v="3"/>
    <x v="0"/>
    <n v="240"/>
    <n v="140"/>
    <n v="1152"/>
    <n v="840"/>
    <x v="78"/>
    <n v="288"/>
    <x v="16"/>
    <x v="3"/>
    <x v="1"/>
    <x v="1"/>
    <x v="0"/>
    <x v="2"/>
    <x v="1"/>
  </r>
  <r>
    <x v="700"/>
    <d v="2025-03-15T00:00:00"/>
    <s v="C0185"/>
    <x v="2"/>
    <s v="P011"/>
    <n v="1"/>
    <n v="0.05"/>
    <x v="1"/>
    <x v="2"/>
    <x v="0"/>
    <n v="899"/>
    <n v="500"/>
    <n v="854.05"/>
    <n v="500"/>
    <x v="333"/>
    <n v="44.95"/>
    <x v="1"/>
    <x v="0"/>
    <x v="3"/>
    <x v="2"/>
    <x v="0"/>
    <x v="2"/>
    <x v="1"/>
  </r>
  <r>
    <x v="701"/>
    <d v="2025-03-15T00:00:00"/>
    <s v="C0174"/>
    <x v="2"/>
    <s v="P015"/>
    <n v="10"/>
    <n v="0"/>
    <x v="2"/>
    <x v="3"/>
    <x v="0"/>
    <n v="299"/>
    <n v="180"/>
    <n v="2990"/>
    <n v="1800"/>
    <x v="19"/>
    <n v="0"/>
    <x v="8"/>
    <x v="3"/>
    <x v="0"/>
    <x v="0"/>
    <x v="0"/>
    <x v="2"/>
    <x v="1"/>
  </r>
  <r>
    <x v="702"/>
    <d v="2025-03-16T00:00:00"/>
    <s v="C0126"/>
    <x v="2"/>
    <s v="P005"/>
    <n v="1"/>
    <n v="0.05"/>
    <x v="2"/>
    <x v="4"/>
    <x v="2"/>
    <n v="1299"/>
    <n v="800"/>
    <n v="1234.05"/>
    <n v="800"/>
    <x v="277"/>
    <n v="64.95"/>
    <x v="12"/>
    <x v="1"/>
    <x v="8"/>
    <x v="4"/>
    <x v="0"/>
    <x v="2"/>
    <x v="1"/>
  </r>
  <r>
    <x v="703"/>
    <d v="2025-03-16T00:00:00"/>
    <s v="C0034"/>
    <x v="2"/>
    <s v="P021"/>
    <n v="1"/>
    <n v="0"/>
    <x v="0"/>
    <x v="3"/>
    <x v="0"/>
    <n v="1599"/>
    <n v="800"/>
    <n v="1599"/>
    <n v="800"/>
    <x v="57"/>
    <n v="0"/>
    <x v="9"/>
    <x v="2"/>
    <x v="1"/>
    <x v="1"/>
    <x v="0"/>
    <x v="2"/>
    <x v="1"/>
  </r>
  <r>
    <x v="704"/>
    <d v="2025-03-16T00:00:00"/>
    <s v="C0157"/>
    <x v="2"/>
    <s v="P015"/>
    <n v="2"/>
    <n v="0.1"/>
    <x v="2"/>
    <x v="3"/>
    <x v="0"/>
    <n v="299"/>
    <n v="180"/>
    <n v="538.20000000000005"/>
    <n v="360"/>
    <x v="131"/>
    <n v="59.800000000000004"/>
    <x v="8"/>
    <x v="3"/>
    <x v="2"/>
    <x v="1"/>
    <x v="1"/>
    <x v="2"/>
    <x v="1"/>
  </r>
  <r>
    <x v="705"/>
    <d v="2025-03-16T00:00:00"/>
    <s v="C0153"/>
    <x v="2"/>
    <s v="P016"/>
    <n v="2"/>
    <n v="0"/>
    <x v="0"/>
    <x v="0"/>
    <x v="0"/>
    <n v="240"/>
    <n v="140"/>
    <n v="480"/>
    <n v="280"/>
    <x v="88"/>
    <n v="0"/>
    <x v="16"/>
    <x v="3"/>
    <x v="5"/>
    <x v="3"/>
    <x v="0"/>
    <x v="2"/>
    <x v="1"/>
  </r>
  <r>
    <x v="706"/>
    <d v="2025-03-17T00:00:00"/>
    <s v="C0031"/>
    <x v="2"/>
    <s v="P011"/>
    <n v="10"/>
    <n v="0"/>
    <x v="2"/>
    <x v="3"/>
    <x v="0"/>
    <n v="899"/>
    <n v="500"/>
    <n v="8990"/>
    <n v="5000"/>
    <x v="337"/>
    <n v="0"/>
    <x v="1"/>
    <x v="0"/>
    <x v="0"/>
    <x v="0"/>
    <x v="0"/>
    <x v="2"/>
    <x v="1"/>
  </r>
  <r>
    <x v="707"/>
    <d v="2025-03-18T00:00:00"/>
    <s v="C0045"/>
    <x v="2"/>
    <s v="P019"/>
    <n v="4"/>
    <n v="0"/>
    <x v="0"/>
    <x v="4"/>
    <x v="0"/>
    <n v="1199"/>
    <n v="600"/>
    <n v="4796"/>
    <n v="2400"/>
    <x v="32"/>
    <n v="0"/>
    <x v="15"/>
    <x v="2"/>
    <x v="8"/>
    <x v="4"/>
    <x v="2"/>
    <x v="2"/>
    <x v="1"/>
  </r>
  <r>
    <x v="708"/>
    <d v="2025-03-18T00:00:00"/>
    <s v="C0142"/>
    <x v="2"/>
    <s v="P012"/>
    <n v="2"/>
    <n v="0.05"/>
    <x v="2"/>
    <x v="4"/>
    <x v="3"/>
    <n v="320"/>
    <n v="220"/>
    <n v="608"/>
    <n v="440"/>
    <x v="130"/>
    <n v="32"/>
    <x v="5"/>
    <x v="3"/>
    <x v="3"/>
    <x v="2"/>
    <x v="1"/>
    <x v="2"/>
    <x v="1"/>
  </r>
  <r>
    <x v="709"/>
    <d v="2025-03-20T00:00:00"/>
    <s v="C0162"/>
    <x v="2"/>
    <s v="P004"/>
    <n v="5"/>
    <n v="0.1"/>
    <x v="0"/>
    <x v="3"/>
    <x v="0"/>
    <n v="1599"/>
    <n v="900"/>
    <n v="7195.5"/>
    <n v="4500"/>
    <x v="381"/>
    <n v="799.5"/>
    <x v="21"/>
    <x v="1"/>
    <x v="4"/>
    <x v="3"/>
    <x v="2"/>
    <x v="2"/>
    <x v="1"/>
  </r>
  <r>
    <x v="710"/>
    <d v="2025-03-22T00:00:00"/>
    <s v="C0002"/>
    <x v="2"/>
    <s v="P001"/>
    <n v="2"/>
    <n v="0.15"/>
    <x v="1"/>
    <x v="1"/>
    <x v="0"/>
    <n v="700"/>
    <n v="450"/>
    <n v="1190"/>
    <n v="900"/>
    <x v="212"/>
    <n v="210"/>
    <x v="7"/>
    <x v="1"/>
    <x v="6"/>
    <x v="4"/>
    <x v="1"/>
    <x v="2"/>
    <x v="1"/>
  </r>
  <r>
    <x v="711"/>
    <d v="2025-03-22T00:00:00"/>
    <s v="C0178"/>
    <x v="2"/>
    <s v="P014"/>
    <n v="6"/>
    <n v="0.1"/>
    <x v="1"/>
    <x v="1"/>
    <x v="0"/>
    <n v="220"/>
    <n v="120"/>
    <n v="1188"/>
    <n v="720"/>
    <x v="211"/>
    <n v="132"/>
    <x v="20"/>
    <x v="3"/>
    <x v="1"/>
    <x v="1"/>
    <x v="1"/>
    <x v="2"/>
    <x v="1"/>
  </r>
  <r>
    <x v="712"/>
    <d v="2025-03-22T00:00:00"/>
    <s v="C0116"/>
    <x v="2"/>
    <s v="P017"/>
    <n v="5"/>
    <n v="0"/>
    <x v="1"/>
    <x v="3"/>
    <x v="0"/>
    <n v="449"/>
    <n v="260"/>
    <n v="2245"/>
    <n v="1300"/>
    <x v="223"/>
    <n v="0"/>
    <x v="10"/>
    <x v="3"/>
    <x v="1"/>
    <x v="1"/>
    <x v="0"/>
    <x v="2"/>
    <x v="1"/>
  </r>
  <r>
    <x v="713"/>
    <d v="2025-03-23T00:00:00"/>
    <s v="C0047"/>
    <x v="2"/>
    <s v="P020"/>
    <n v="6"/>
    <n v="0.05"/>
    <x v="0"/>
    <x v="1"/>
    <x v="0"/>
    <n v="1799"/>
    <n v="900"/>
    <n v="10254.299999999999"/>
    <n v="5400"/>
    <x v="340"/>
    <n v="539.70000000000005"/>
    <x v="4"/>
    <x v="2"/>
    <x v="1"/>
    <x v="1"/>
    <x v="1"/>
    <x v="2"/>
    <x v="1"/>
  </r>
  <r>
    <x v="714"/>
    <d v="2025-03-23T00:00:00"/>
    <s v="C0002"/>
    <x v="2"/>
    <s v="P014"/>
    <n v="10"/>
    <n v="0"/>
    <x v="1"/>
    <x v="3"/>
    <x v="0"/>
    <n v="220"/>
    <n v="120"/>
    <n v="2200"/>
    <n v="1200"/>
    <x v="136"/>
    <n v="0"/>
    <x v="20"/>
    <x v="3"/>
    <x v="6"/>
    <x v="4"/>
    <x v="1"/>
    <x v="2"/>
    <x v="1"/>
  </r>
  <r>
    <x v="715"/>
    <d v="2025-03-24T00:00:00"/>
    <s v="C0093"/>
    <x v="2"/>
    <s v="P020"/>
    <n v="10"/>
    <n v="0.05"/>
    <x v="1"/>
    <x v="4"/>
    <x v="0"/>
    <n v="1799"/>
    <n v="900"/>
    <n v="17090.5"/>
    <n v="9000"/>
    <x v="382"/>
    <n v="899.5"/>
    <x v="4"/>
    <x v="2"/>
    <x v="0"/>
    <x v="0"/>
    <x v="1"/>
    <x v="2"/>
    <x v="1"/>
  </r>
  <r>
    <x v="716"/>
    <d v="2025-03-24T00:00:00"/>
    <s v="C0014"/>
    <x v="2"/>
    <s v="P009"/>
    <n v="2"/>
    <n v="0"/>
    <x v="0"/>
    <x v="0"/>
    <x v="0"/>
    <n v="4299"/>
    <n v="2800"/>
    <n v="8598"/>
    <n v="5600"/>
    <x v="113"/>
    <n v="0"/>
    <x v="0"/>
    <x v="0"/>
    <x v="1"/>
    <x v="1"/>
    <x v="1"/>
    <x v="2"/>
    <x v="1"/>
  </r>
  <r>
    <x v="717"/>
    <d v="2025-03-24T00:00:00"/>
    <s v="C0041"/>
    <x v="2"/>
    <s v="P006"/>
    <n v="1"/>
    <n v="0"/>
    <x v="2"/>
    <x v="0"/>
    <x v="0"/>
    <n v="1799"/>
    <n v="1100"/>
    <n v="1799"/>
    <n v="1100"/>
    <x v="107"/>
    <n v="0"/>
    <x v="14"/>
    <x v="1"/>
    <x v="0"/>
    <x v="0"/>
    <x v="0"/>
    <x v="2"/>
    <x v="1"/>
  </r>
  <r>
    <x v="718"/>
    <d v="2025-03-24T00:00:00"/>
    <s v="C0086"/>
    <x v="2"/>
    <s v="P009"/>
    <n v="6"/>
    <n v="0"/>
    <x v="1"/>
    <x v="4"/>
    <x v="0"/>
    <n v="4299"/>
    <n v="2800"/>
    <n v="25794"/>
    <n v="16800"/>
    <x v="216"/>
    <n v="0"/>
    <x v="0"/>
    <x v="0"/>
    <x v="1"/>
    <x v="1"/>
    <x v="0"/>
    <x v="2"/>
    <x v="1"/>
  </r>
  <r>
    <x v="719"/>
    <d v="2025-03-25T00:00:00"/>
    <s v="C0008"/>
    <x v="2"/>
    <s v="P006"/>
    <n v="6"/>
    <n v="0.05"/>
    <x v="2"/>
    <x v="0"/>
    <x v="0"/>
    <n v="1799"/>
    <n v="1100"/>
    <n v="10254.299999999999"/>
    <n v="6600"/>
    <x v="383"/>
    <n v="539.70000000000005"/>
    <x v="14"/>
    <x v="1"/>
    <x v="5"/>
    <x v="3"/>
    <x v="1"/>
    <x v="2"/>
    <x v="1"/>
  </r>
  <r>
    <x v="720"/>
    <d v="2025-03-25T00:00:00"/>
    <s v="C0149"/>
    <x v="2"/>
    <s v="P019"/>
    <n v="4"/>
    <n v="0.05"/>
    <x v="0"/>
    <x v="4"/>
    <x v="0"/>
    <n v="1199"/>
    <n v="600"/>
    <n v="4556.2"/>
    <n v="2400"/>
    <x v="384"/>
    <n v="239.8"/>
    <x v="15"/>
    <x v="2"/>
    <x v="5"/>
    <x v="3"/>
    <x v="0"/>
    <x v="2"/>
    <x v="1"/>
  </r>
  <r>
    <x v="721"/>
    <d v="2025-03-26T00:00:00"/>
    <s v="C0084"/>
    <x v="2"/>
    <s v="P004"/>
    <n v="2"/>
    <n v="0"/>
    <x v="2"/>
    <x v="0"/>
    <x v="0"/>
    <n v="1599"/>
    <n v="900"/>
    <n v="3198"/>
    <n v="1800"/>
    <x v="138"/>
    <n v="0"/>
    <x v="21"/>
    <x v="1"/>
    <x v="12"/>
    <x v="2"/>
    <x v="0"/>
    <x v="2"/>
    <x v="1"/>
  </r>
  <r>
    <x v="722"/>
    <d v="2025-03-26T00:00:00"/>
    <s v="C0019"/>
    <x v="2"/>
    <s v="P008"/>
    <n v="6"/>
    <n v="0.05"/>
    <x v="0"/>
    <x v="4"/>
    <x v="0"/>
    <n v="6499"/>
    <n v="4200"/>
    <n v="37044.300000000003"/>
    <n v="25200"/>
    <x v="385"/>
    <n v="1949.7"/>
    <x v="13"/>
    <x v="0"/>
    <x v="0"/>
    <x v="0"/>
    <x v="1"/>
    <x v="2"/>
    <x v="1"/>
  </r>
  <r>
    <x v="723"/>
    <d v="2025-03-27T00:00:00"/>
    <s v="C0157"/>
    <x v="2"/>
    <s v="P007"/>
    <n v="6"/>
    <n v="0"/>
    <x v="0"/>
    <x v="4"/>
    <x v="0"/>
    <n v="5499"/>
    <n v="3500"/>
    <n v="32994"/>
    <n v="21000"/>
    <x v="386"/>
    <n v="0"/>
    <x v="11"/>
    <x v="0"/>
    <x v="2"/>
    <x v="1"/>
    <x v="1"/>
    <x v="2"/>
    <x v="1"/>
  </r>
  <r>
    <x v="724"/>
    <d v="2025-03-27T00:00:00"/>
    <s v="C0092"/>
    <x v="2"/>
    <s v="P021"/>
    <n v="3"/>
    <n v="0"/>
    <x v="1"/>
    <x v="2"/>
    <x v="0"/>
    <n v="1599"/>
    <n v="800"/>
    <n v="4797"/>
    <n v="2400"/>
    <x v="178"/>
    <n v="0"/>
    <x v="9"/>
    <x v="2"/>
    <x v="2"/>
    <x v="1"/>
    <x v="0"/>
    <x v="2"/>
    <x v="1"/>
  </r>
  <r>
    <x v="725"/>
    <d v="2025-03-27T00:00:00"/>
    <s v="C0072"/>
    <x v="2"/>
    <s v="P002"/>
    <n v="2"/>
    <n v="0"/>
    <x v="0"/>
    <x v="4"/>
    <x v="0"/>
    <n v="1999"/>
    <n v="1200"/>
    <n v="3998"/>
    <n v="2400"/>
    <x v="119"/>
    <n v="0"/>
    <x v="19"/>
    <x v="1"/>
    <x v="2"/>
    <x v="1"/>
    <x v="1"/>
    <x v="2"/>
    <x v="1"/>
  </r>
  <r>
    <x v="726"/>
    <d v="2025-03-28T00:00:00"/>
    <s v="C0057"/>
    <x v="2"/>
    <s v="P011"/>
    <n v="3"/>
    <n v="0.05"/>
    <x v="1"/>
    <x v="2"/>
    <x v="0"/>
    <n v="899"/>
    <n v="500"/>
    <n v="2562.15"/>
    <n v="1500"/>
    <x v="222"/>
    <n v="134.85"/>
    <x v="1"/>
    <x v="0"/>
    <x v="13"/>
    <x v="3"/>
    <x v="1"/>
    <x v="2"/>
    <x v="1"/>
  </r>
  <r>
    <x v="727"/>
    <d v="2025-03-28T00:00:00"/>
    <s v="C0148"/>
    <x v="2"/>
    <s v="P006"/>
    <n v="10"/>
    <n v="0.15"/>
    <x v="1"/>
    <x v="0"/>
    <x v="0"/>
    <n v="1799"/>
    <n v="1100"/>
    <n v="15291.5"/>
    <n v="11000"/>
    <x v="387"/>
    <n v="2698.5"/>
    <x v="14"/>
    <x v="1"/>
    <x v="5"/>
    <x v="3"/>
    <x v="1"/>
    <x v="2"/>
    <x v="1"/>
  </r>
  <r>
    <x v="728"/>
    <d v="2025-03-28T00:00:00"/>
    <s v="C0152"/>
    <x v="2"/>
    <s v="P007"/>
    <n v="6"/>
    <n v="0.1"/>
    <x v="1"/>
    <x v="0"/>
    <x v="0"/>
    <n v="5499"/>
    <n v="3500"/>
    <n v="29694.6"/>
    <n v="21000"/>
    <x v="256"/>
    <n v="3299.4"/>
    <x v="11"/>
    <x v="0"/>
    <x v="11"/>
    <x v="3"/>
    <x v="1"/>
    <x v="2"/>
    <x v="1"/>
  </r>
  <r>
    <x v="729"/>
    <d v="2025-03-28T00:00:00"/>
    <s v="C0064"/>
    <x v="2"/>
    <s v="P008"/>
    <n v="4"/>
    <n v="0.05"/>
    <x v="1"/>
    <x v="4"/>
    <x v="0"/>
    <n v="6499"/>
    <n v="4200"/>
    <n v="24696.2"/>
    <n v="16800"/>
    <x v="388"/>
    <n v="1299.8000000000002"/>
    <x v="13"/>
    <x v="0"/>
    <x v="8"/>
    <x v="4"/>
    <x v="1"/>
    <x v="2"/>
    <x v="1"/>
  </r>
  <r>
    <x v="730"/>
    <d v="2025-03-28T00:00:00"/>
    <s v="C0002"/>
    <x v="2"/>
    <s v="P019"/>
    <n v="5"/>
    <n v="0.2"/>
    <x v="0"/>
    <x v="2"/>
    <x v="0"/>
    <n v="1199"/>
    <n v="600"/>
    <n v="4796"/>
    <n v="3000"/>
    <x v="373"/>
    <n v="1199"/>
    <x v="15"/>
    <x v="2"/>
    <x v="6"/>
    <x v="4"/>
    <x v="1"/>
    <x v="2"/>
    <x v="1"/>
  </r>
  <r>
    <x v="731"/>
    <d v="2025-03-29T00:00:00"/>
    <s v="C0109"/>
    <x v="2"/>
    <s v="P002"/>
    <n v="10"/>
    <n v="0"/>
    <x v="1"/>
    <x v="3"/>
    <x v="0"/>
    <n v="1999"/>
    <n v="1200"/>
    <n v="19990"/>
    <n v="12000"/>
    <x v="389"/>
    <n v="0"/>
    <x v="19"/>
    <x v="1"/>
    <x v="7"/>
    <x v="4"/>
    <x v="1"/>
    <x v="2"/>
    <x v="1"/>
  </r>
  <r>
    <x v="732"/>
    <d v="2025-03-29T00:00:00"/>
    <s v="C0127"/>
    <x v="2"/>
    <s v="P015"/>
    <n v="2"/>
    <n v="0"/>
    <x v="1"/>
    <x v="0"/>
    <x v="0"/>
    <n v="299"/>
    <n v="180"/>
    <n v="598"/>
    <n v="360"/>
    <x v="82"/>
    <n v="0"/>
    <x v="8"/>
    <x v="3"/>
    <x v="2"/>
    <x v="1"/>
    <x v="1"/>
    <x v="2"/>
    <x v="1"/>
  </r>
  <r>
    <x v="733"/>
    <d v="2025-03-30T00:00:00"/>
    <s v="C0034"/>
    <x v="2"/>
    <s v="P007"/>
    <n v="4"/>
    <n v="0"/>
    <x v="2"/>
    <x v="3"/>
    <x v="0"/>
    <n v="5499"/>
    <n v="3500"/>
    <n v="21996"/>
    <n v="14000"/>
    <x v="390"/>
    <n v="0"/>
    <x v="11"/>
    <x v="0"/>
    <x v="1"/>
    <x v="1"/>
    <x v="0"/>
    <x v="2"/>
    <x v="1"/>
  </r>
  <r>
    <x v="734"/>
    <d v="2025-03-30T00:00:00"/>
    <s v="C0172"/>
    <x v="2"/>
    <s v="P016"/>
    <n v="3"/>
    <n v="0"/>
    <x v="1"/>
    <x v="2"/>
    <x v="0"/>
    <n v="240"/>
    <n v="140"/>
    <n v="720"/>
    <n v="420"/>
    <x v="258"/>
    <n v="0"/>
    <x v="16"/>
    <x v="3"/>
    <x v="9"/>
    <x v="4"/>
    <x v="2"/>
    <x v="2"/>
    <x v="1"/>
  </r>
  <r>
    <x v="735"/>
    <d v="2025-03-30T00:00:00"/>
    <s v="C0117"/>
    <x v="2"/>
    <s v="P001"/>
    <n v="6"/>
    <n v="0.1"/>
    <x v="0"/>
    <x v="4"/>
    <x v="2"/>
    <n v="700"/>
    <n v="450"/>
    <n v="3780"/>
    <n v="2700"/>
    <x v="391"/>
    <n v="420"/>
    <x v="7"/>
    <x v="1"/>
    <x v="8"/>
    <x v="4"/>
    <x v="1"/>
    <x v="2"/>
    <x v="1"/>
  </r>
  <r>
    <x v="736"/>
    <d v="2025-03-30T00:00:00"/>
    <s v="C0161"/>
    <x v="2"/>
    <s v="P012"/>
    <n v="6"/>
    <n v="0.1"/>
    <x v="1"/>
    <x v="3"/>
    <x v="0"/>
    <n v="320"/>
    <n v="220"/>
    <n v="1728"/>
    <n v="1320"/>
    <x v="392"/>
    <n v="192"/>
    <x v="5"/>
    <x v="3"/>
    <x v="8"/>
    <x v="4"/>
    <x v="1"/>
    <x v="2"/>
    <x v="1"/>
  </r>
  <r>
    <x v="737"/>
    <d v="2025-03-31T00:00:00"/>
    <s v="C0177"/>
    <x v="2"/>
    <s v="P013"/>
    <n v="4"/>
    <n v="0.05"/>
    <x v="0"/>
    <x v="2"/>
    <x v="0"/>
    <n v="150"/>
    <n v="90"/>
    <n v="570"/>
    <n v="360"/>
    <x v="341"/>
    <n v="30"/>
    <x v="17"/>
    <x v="3"/>
    <x v="11"/>
    <x v="3"/>
    <x v="0"/>
    <x v="2"/>
    <x v="1"/>
  </r>
  <r>
    <x v="738"/>
    <d v="2025-04-02T00:00:00"/>
    <s v="C0148"/>
    <x v="3"/>
    <s v="P018"/>
    <n v="2"/>
    <n v="0.1"/>
    <x v="0"/>
    <x v="3"/>
    <x v="0"/>
    <n v="499"/>
    <n v="250"/>
    <n v="898.2"/>
    <n v="500"/>
    <x v="393"/>
    <n v="99.800000000000011"/>
    <x v="18"/>
    <x v="2"/>
    <x v="5"/>
    <x v="3"/>
    <x v="1"/>
    <x v="3"/>
    <x v="1"/>
  </r>
  <r>
    <x v="739"/>
    <d v="2025-04-04T00:00:00"/>
    <s v="C0173"/>
    <x v="3"/>
    <s v="P017"/>
    <n v="4"/>
    <n v="0.15"/>
    <x v="0"/>
    <x v="0"/>
    <x v="0"/>
    <n v="449"/>
    <n v="260"/>
    <n v="1526.6"/>
    <n v="1040"/>
    <x v="159"/>
    <n v="269.39999999999998"/>
    <x v="10"/>
    <x v="3"/>
    <x v="4"/>
    <x v="3"/>
    <x v="1"/>
    <x v="3"/>
    <x v="1"/>
  </r>
  <r>
    <x v="740"/>
    <d v="2025-04-04T00:00:00"/>
    <s v="C0011"/>
    <x v="3"/>
    <s v="P020"/>
    <n v="4"/>
    <n v="0"/>
    <x v="1"/>
    <x v="3"/>
    <x v="0"/>
    <n v="1799"/>
    <n v="900"/>
    <n v="7196"/>
    <n v="3600"/>
    <x v="394"/>
    <n v="0"/>
    <x v="4"/>
    <x v="2"/>
    <x v="1"/>
    <x v="1"/>
    <x v="1"/>
    <x v="3"/>
    <x v="1"/>
  </r>
  <r>
    <x v="741"/>
    <d v="2025-04-04T00:00:00"/>
    <s v="C0182"/>
    <x v="3"/>
    <s v="P018"/>
    <n v="2"/>
    <n v="0"/>
    <x v="1"/>
    <x v="3"/>
    <x v="0"/>
    <n v="499"/>
    <n v="250"/>
    <n v="998"/>
    <n v="500"/>
    <x v="38"/>
    <n v="0"/>
    <x v="18"/>
    <x v="2"/>
    <x v="0"/>
    <x v="0"/>
    <x v="1"/>
    <x v="3"/>
    <x v="1"/>
  </r>
  <r>
    <x v="742"/>
    <d v="2025-04-04T00:00:00"/>
    <s v="C0123"/>
    <x v="3"/>
    <s v="P021"/>
    <n v="2"/>
    <n v="0.1"/>
    <x v="0"/>
    <x v="1"/>
    <x v="0"/>
    <n v="1599"/>
    <n v="800"/>
    <n v="2878.2"/>
    <n v="1600"/>
    <x v="351"/>
    <n v="319.8"/>
    <x v="9"/>
    <x v="2"/>
    <x v="4"/>
    <x v="3"/>
    <x v="1"/>
    <x v="3"/>
    <x v="1"/>
  </r>
  <r>
    <x v="743"/>
    <d v="2025-04-05T00:00:00"/>
    <s v="C0129"/>
    <x v="3"/>
    <s v="P009"/>
    <n v="5"/>
    <n v="0"/>
    <x v="0"/>
    <x v="0"/>
    <x v="0"/>
    <n v="4299"/>
    <n v="2800"/>
    <n v="21495"/>
    <n v="14000"/>
    <x v="395"/>
    <n v="0"/>
    <x v="0"/>
    <x v="0"/>
    <x v="6"/>
    <x v="4"/>
    <x v="0"/>
    <x v="3"/>
    <x v="1"/>
  </r>
  <r>
    <x v="744"/>
    <d v="2025-04-05T00:00:00"/>
    <s v="C0129"/>
    <x v="3"/>
    <s v="P016"/>
    <n v="10"/>
    <n v="0.1"/>
    <x v="1"/>
    <x v="2"/>
    <x v="0"/>
    <n v="240"/>
    <n v="140"/>
    <n v="2160"/>
    <n v="1400"/>
    <x v="396"/>
    <n v="240"/>
    <x v="16"/>
    <x v="3"/>
    <x v="6"/>
    <x v="4"/>
    <x v="0"/>
    <x v="3"/>
    <x v="1"/>
  </r>
  <r>
    <x v="745"/>
    <d v="2025-04-06T00:00:00"/>
    <s v="C0116"/>
    <x v="3"/>
    <s v="P010"/>
    <n v="4"/>
    <n v="0.1"/>
    <x v="2"/>
    <x v="4"/>
    <x v="3"/>
    <n v="4599"/>
    <n v="3000"/>
    <n v="16556.400000000001"/>
    <n v="12000"/>
    <x v="397"/>
    <n v="1839.6000000000001"/>
    <x v="3"/>
    <x v="0"/>
    <x v="1"/>
    <x v="1"/>
    <x v="0"/>
    <x v="3"/>
    <x v="1"/>
  </r>
  <r>
    <x v="746"/>
    <d v="2025-04-06T00:00:00"/>
    <s v="C0023"/>
    <x v="3"/>
    <s v="P015"/>
    <n v="1"/>
    <n v="0"/>
    <x v="2"/>
    <x v="3"/>
    <x v="0"/>
    <n v="299"/>
    <n v="180"/>
    <n v="299"/>
    <n v="180"/>
    <x v="398"/>
    <n v="0"/>
    <x v="8"/>
    <x v="3"/>
    <x v="0"/>
    <x v="0"/>
    <x v="0"/>
    <x v="3"/>
    <x v="1"/>
  </r>
  <r>
    <x v="747"/>
    <d v="2025-04-06T00:00:00"/>
    <s v="C0071"/>
    <x v="3"/>
    <s v="P006"/>
    <n v="1"/>
    <n v="0.1"/>
    <x v="2"/>
    <x v="2"/>
    <x v="0"/>
    <n v="1799"/>
    <n v="1100"/>
    <n v="1619.1"/>
    <n v="1100"/>
    <x v="150"/>
    <n v="179.9"/>
    <x v="14"/>
    <x v="1"/>
    <x v="2"/>
    <x v="1"/>
    <x v="1"/>
    <x v="3"/>
    <x v="1"/>
  </r>
  <r>
    <x v="748"/>
    <d v="2025-04-06T00:00:00"/>
    <s v="C0006"/>
    <x v="3"/>
    <s v="P021"/>
    <n v="3"/>
    <n v="0.05"/>
    <x v="2"/>
    <x v="0"/>
    <x v="0"/>
    <n v="1599"/>
    <n v="800"/>
    <n v="4557.1499999999996"/>
    <n v="2400"/>
    <x v="399"/>
    <n v="239.85000000000002"/>
    <x v="9"/>
    <x v="2"/>
    <x v="0"/>
    <x v="0"/>
    <x v="1"/>
    <x v="3"/>
    <x v="1"/>
  </r>
  <r>
    <x v="749"/>
    <d v="2025-04-07T00:00:00"/>
    <s v="C0108"/>
    <x v="3"/>
    <s v="P012"/>
    <n v="6"/>
    <n v="0.1"/>
    <x v="2"/>
    <x v="3"/>
    <x v="0"/>
    <n v="320"/>
    <n v="220"/>
    <n v="1728"/>
    <n v="1320"/>
    <x v="392"/>
    <n v="192"/>
    <x v="5"/>
    <x v="3"/>
    <x v="4"/>
    <x v="3"/>
    <x v="2"/>
    <x v="3"/>
    <x v="1"/>
  </r>
  <r>
    <x v="750"/>
    <d v="2025-04-07T00:00:00"/>
    <s v="C0060"/>
    <x v="3"/>
    <s v="P001"/>
    <n v="10"/>
    <n v="0.05"/>
    <x v="0"/>
    <x v="1"/>
    <x v="0"/>
    <n v="700"/>
    <n v="450"/>
    <n v="6650"/>
    <n v="4500"/>
    <x v="102"/>
    <n v="350"/>
    <x v="7"/>
    <x v="1"/>
    <x v="1"/>
    <x v="1"/>
    <x v="2"/>
    <x v="3"/>
    <x v="1"/>
  </r>
  <r>
    <x v="751"/>
    <d v="2025-04-07T00:00:00"/>
    <s v="C0152"/>
    <x v="3"/>
    <s v="P016"/>
    <n v="10"/>
    <n v="0.1"/>
    <x v="0"/>
    <x v="2"/>
    <x v="0"/>
    <n v="240"/>
    <n v="140"/>
    <n v="2160"/>
    <n v="1400"/>
    <x v="396"/>
    <n v="240"/>
    <x v="16"/>
    <x v="3"/>
    <x v="11"/>
    <x v="3"/>
    <x v="1"/>
    <x v="3"/>
    <x v="1"/>
  </r>
  <r>
    <x v="752"/>
    <d v="2025-04-09T00:00:00"/>
    <s v="C0079"/>
    <x v="3"/>
    <s v="P005"/>
    <n v="2"/>
    <n v="0.1"/>
    <x v="0"/>
    <x v="1"/>
    <x v="0"/>
    <n v="1299"/>
    <n v="800"/>
    <n v="2338.1999999999998"/>
    <n v="1600"/>
    <x v="367"/>
    <n v="259.8"/>
    <x v="12"/>
    <x v="1"/>
    <x v="1"/>
    <x v="1"/>
    <x v="0"/>
    <x v="3"/>
    <x v="1"/>
  </r>
  <r>
    <x v="753"/>
    <d v="2025-04-09T00:00:00"/>
    <s v="C0038"/>
    <x v="3"/>
    <s v="P002"/>
    <n v="4"/>
    <n v="0"/>
    <x v="1"/>
    <x v="4"/>
    <x v="3"/>
    <n v="1999"/>
    <n v="1200"/>
    <n v="7996"/>
    <n v="4800"/>
    <x v="166"/>
    <n v="0"/>
    <x v="19"/>
    <x v="1"/>
    <x v="1"/>
    <x v="1"/>
    <x v="1"/>
    <x v="3"/>
    <x v="1"/>
  </r>
  <r>
    <x v="754"/>
    <d v="2025-04-09T00:00:00"/>
    <s v="C0074"/>
    <x v="3"/>
    <s v="P018"/>
    <n v="2"/>
    <n v="0.2"/>
    <x v="1"/>
    <x v="4"/>
    <x v="0"/>
    <n v="499"/>
    <n v="250"/>
    <n v="798.4"/>
    <n v="500"/>
    <x v="400"/>
    <n v="199.60000000000002"/>
    <x v="18"/>
    <x v="2"/>
    <x v="0"/>
    <x v="0"/>
    <x v="0"/>
    <x v="3"/>
    <x v="1"/>
  </r>
  <r>
    <x v="755"/>
    <d v="2025-04-09T00:00:00"/>
    <s v="C0061"/>
    <x v="3"/>
    <s v="P006"/>
    <n v="1"/>
    <n v="0"/>
    <x v="2"/>
    <x v="0"/>
    <x v="0"/>
    <n v="1799"/>
    <n v="1100"/>
    <n v="1799"/>
    <n v="1100"/>
    <x v="107"/>
    <n v="0"/>
    <x v="14"/>
    <x v="1"/>
    <x v="0"/>
    <x v="0"/>
    <x v="0"/>
    <x v="3"/>
    <x v="1"/>
  </r>
  <r>
    <x v="756"/>
    <d v="2025-04-09T00:00:00"/>
    <s v="C0095"/>
    <x v="3"/>
    <s v="P009"/>
    <n v="2"/>
    <n v="0"/>
    <x v="1"/>
    <x v="1"/>
    <x v="0"/>
    <n v="4299"/>
    <n v="2800"/>
    <n v="8598"/>
    <n v="5600"/>
    <x v="113"/>
    <n v="0"/>
    <x v="0"/>
    <x v="0"/>
    <x v="11"/>
    <x v="3"/>
    <x v="1"/>
    <x v="3"/>
    <x v="1"/>
  </r>
  <r>
    <x v="757"/>
    <d v="2025-04-10T00:00:00"/>
    <s v="C0038"/>
    <x v="3"/>
    <s v="P012"/>
    <n v="4"/>
    <n v="0.05"/>
    <x v="1"/>
    <x v="1"/>
    <x v="1"/>
    <n v="320"/>
    <n v="220"/>
    <n v="1216"/>
    <n v="880"/>
    <x v="401"/>
    <n v="64"/>
    <x v="5"/>
    <x v="3"/>
    <x v="1"/>
    <x v="1"/>
    <x v="1"/>
    <x v="3"/>
    <x v="1"/>
  </r>
  <r>
    <x v="758"/>
    <d v="2025-04-10T00:00:00"/>
    <s v="C0007"/>
    <x v="3"/>
    <s v="P004"/>
    <n v="5"/>
    <n v="0.15"/>
    <x v="0"/>
    <x v="1"/>
    <x v="0"/>
    <n v="1599"/>
    <n v="900"/>
    <n v="6795.75"/>
    <n v="4500"/>
    <x v="402"/>
    <n v="1199.25"/>
    <x v="21"/>
    <x v="1"/>
    <x v="7"/>
    <x v="4"/>
    <x v="0"/>
    <x v="3"/>
    <x v="1"/>
  </r>
  <r>
    <x v="759"/>
    <d v="2025-04-10T00:00:00"/>
    <s v="C0002"/>
    <x v="3"/>
    <s v="P005"/>
    <n v="10"/>
    <n v="0.2"/>
    <x v="1"/>
    <x v="1"/>
    <x v="0"/>
    <n v="1299"/>
    <n v="800"/>
    <n v="10392"/>
    <n v="8000"/>
    <x v="362"/>
    <n v="2598"/>
    <x v="12"/>
    <x v="1"/>
    <x v="6"/>
    <x v="4"/>
    <x v="1"/>
    <x v="3"/>
    <x v="1"/>
  </r>
  <r>
    <x v="760"/>
    <d v="2025-04-11T00:00:00"/>
    <s v="C0075"/>
    <x v="3"/>
    <s v="P016"/>
    <n v="2"/>
    <n v="0.1"/>
    <x v="0"/>
    <x v="1"/>
    <x v="0"/>
    <n v="240"/>
    <n v="140"/>
    <n v="432"/>
    <n v="280"/>
    <x v="55"/>
    <n v="48"/>
    <x v="16"/>
    <x v="3"/>
    <x v="2"/>
    <x v="0"/>
    <x v="0"/>
    <x v="3"/>
    <x v="1"/>
  </r>
  <r>
    <x v="761"/>
    <d v="2025-04-12T00:00:00"/>
    <s v="C0188"/>
    <x v="3"/>
    <s v="P004"/>
    <n v="6"/>
    <n v="0.15"/>
    <x v="1"/>
    <x v="3"/>
    <x v="0"/>
    <n v="1599"/>
    <n v="900"/>
    <n v="8154.9"/>
    <n v="5400"/>
    <x v="403"/>
    <n v="1439.1"/>
    <x v="21"/>
    <x v="1"/>
    <x v="7"/>
    <x v="4"/>
    <x v="2"/>
    <x v="3"/>
    <x v="1"/>
  </r>
  <r>
    <x v="762"/>
    <d v="2025-04-12T00:00:00"/>
    <s v="C0007"/>
    <x v="3"/>
    <s v="P010"/>
    <n v="5"/>
    <n v="0.05"/>
    <x v="0"/>
    <x v="3"/>
    <x v="0"/>
    <n v="4599"/>
    <n v="3000"/>
    <n v="21845.25"/>
    <n v="15000"/>
    <x v="301"/>
    <n v="1149.75"/>
    <x v="3"/>
    <x v="0"/>
    <x v="7"/>
    <x v="4"/>
    <x v="0"/>
    <x v="3"/>
    <x v="1"/>
  </r>
  <r>
    <x v="763"/>
    <d v="2025-04-12T00:00:00"/>
    <s v="C0015"/>
    <x v="3"/>
    <s v="P011"/>
    <n v="2"/>
    <n v="0.05"/>
    <x v="0"/>
    <x v="4"/>
    <x v="0"/>
    <n v="899"/>
    <n v="500"/>
    <n v="1708.1"/>
    <n v="1000"/>
    <x v="294"/>
    <n v="89.9"/>
    <x v="1"/>
    <x v="0"/>
    <x v="9"/>
    <x v="4"/>
    <x v="1"/>
    <x v="3"/>
    <x v="1"/>
  </r>
  <r>
    <x v="764"/>
    <d v="2025-04-13T00:00:00"/>
    <s v="C0022"/>
    <x v="3"/>
    <s v="P001"/>
    <n v="10"/>
    <n v="0.1"/>
    <x v="2"/>
    <x v="2"/>
    <x v="0"/>
    <n v="700"/>
    <n v="450"/>
    <n v="6300"/>
    <n v="4500"/>
    <x v="206"/>
    <n v="700"/>
    <x v="7"/>
    <x v="1"/>
    <x v="13"/>
    <x v="3"/>
    <x v="1"/>
    <x v="3"/>
    <x v="1"/>
  </r>
  <r>
    <x v="765"/>
    <d v="2025-04-13T00:00:00"/>
    <s v="C0050"/>
    <x v="3"/>
    <s v="P013"/>
    <n v="6"/>
    <n v="0"/>
    <x v="2"/>
    <x v="1"/>
    <x v="0"/>
    <n v="150"/>
    <n v="90"/>
    <n v="900"/>
    <n v="540"/>
    <x v="101"/>
    <n v="0"/>
    <x v="17"/>
    <x v="3"/>
    <x v="1"/>
    <x v="1"/>
    <x v="2"/>
    <x v="3"/>
    <x v="1"/>
  </r>
  <r>
    <x v="766"/>
    <d v="2025-04-14T00:00:00"/>
    <s v="C0038"/>
    <x v="3"/>
    <s v="P013"/>
    <n v="5"/>
    <n v="0"/>
    <x v="0"/>
    <x v="1"/>
    <x v="0"/>
    <n v="150"/>
    <n v="90"/>
    <n v="750"/>
    <n v="450"/>
    <x v="258"/>
    <n v="0"/>
    <x v="17"/>
    <x v="3"/>
    <x v="1"/>
    <x v="1"/>
    <x v="1"/>
    <x v="3"/>
    <x v="1"/>
  </r>
  <r>
    <x v="767"/>
    <d v="2025-04-15T00:00:00"/>
    <s v="C0079"/>
    <x v="3"/>
    <s v="P012"/>
    <n v="6"/>
    <n v="0.15"/>
    <x v="1"/>
    <x v="0"/>
    <x v="0"/>
    <n v="320"/>
    <n v="220"/>
    <n v="1632"/>
    <n v="1320"/>
    <x v="78"/>
    <n v="288"/>
    <x v="5"/>
    <x v="3"/>
    <x v="1"/>
    <x v="1"/>
    <x v="0"/>
    <x v="3"/>
    <x v="1"/>
  </r>
  <r>
    <x v="768"/>
    <d v="2025-04-15T00:00:00"/>
    <s v="C0114"/>
    <x v="3"/>
    <s v="P014"/>
    <n v="3"/>
    <n v="0"/>
    <x v="0"/>
    <x v="0"/>
    <x v="0"/>
    <n v="220"/>
    <n v="120"/>
    <n v="660"/>
    <n v="360"/>
    <x v="258"/>
    <n v="0"/>
    <x v="20"/>
    <x v="3"/>
    <x v="12"/>
    <x v="2"/>
    <x v="2"/>
    <x v="3"/>
    <x v="1"/>
  </r>
  <r>
    <x v="769"/>
    <d v="2025-04-16T00:00:00"/>
    <s v="C0151"/>
    <x v="3"/>
    <s v="P005"/>
    <n v="1"/>
    <n v="0"/>
    <x v="1"/>
    <x v="1"/>
    <x v="0"/>
    <n v="1299"/>
    <n v="800"/>
    <n v="1299"/>
    <n v="800"/>
    <x v="17"/>
    <n v="0"/>
    <x v="12"/>
    <x v="1"/>
    <x v="0"/>
    <x v="0"/>
    <x v="1"/>
    <x v="3"/>
    <x v="1"/>
  </r>
  <r>
    <x v="770"/>
    <d v="2025-04-17T00:00:00"/>
    <s v="C0152"/>
    <x v="3"/>
    <s v="P003"/>
    <n v="5"/>
    <n v="0"/>
    <x v="0"/>
    <x v="0"/>
    <x v="0"/>
    <n v="599"/>
    <n v="350"/>
    <n v="2995"/>
    <n v="1750"/>
    <x v="2"/>
    <n v="0"/>
    <x v="2"/>
    <x v="1"/>
    <x v="11"/>
    <x v="3"/>
    <x v="1"/>
    <x v="3"/>
    <x v="1"/>
  </r>
  <r>
    <x v="771"/>
    <d v="2025-04-17T00:00:00"/>
    <s v="C0143"/>
    <x v="3"/>
    <s v="P006"/>
    <n v="6"/>
    <n v="0.1"/>
    <x v="2"/>
    <x v="4"/>
    <x v="0"/>
    <n v="1799"/>
    <n v="1100"/>
    <n v="9714.6"/>
    <n v="6600"/>
    <x v="106"/>
    <n v="1079.4000000000001"/>
    <x v="14"/>
    <x v="1"/>
    <x v="7"/>
    <x v="4"/>
    <x v="0"/>
    <x v="3"/>
    <x v="1"/>
  </r>
  <r>
    <x v="772"/>
    <d v="2025-04-17T00:00:00"/>
    <s v="C0098"/>
    <x v="3"/>
    <s v="P006"/>
    <n v="3"/>
    <n v="0.05"/>
    <x v="0"/>
    <x v="2"/>
    <x v="0"/>
    <n v="1799"/>
    <n v="1100"/>
    <n v="5127.1499999999996"/>
    <n v="3300"/>
    <x v="343"/>
    <n v="269.85000000000002"/>
    <x v="14"/>
    <x v="1"/>
    <x v="1"/>
    <x v="1"/>
    <x v="0"/>
    <x v="3"/>
    <x v="1"/>
  </r>
  <r>
    <x v="773"/>
    <d v="2025-04-17T00:00:00"/>
    <s v="C0127"/>
    <x v="3"/>
    <s v="P010"/>
    <n v="10"/>
    <n v="0.1"/>
    <x v="2"/>
    <x v="4"/>
    <x v="0"/>
    <n v="4599"/>
    <n v="3000"/>
    <n v="41391"/>
    <n v="30000"/>
    <x v="287"/>
    <n v="4599"/>
    <x v="3"/>
    <x v="0"/>
    <x v="2"/>
    <x v="1"/>
    <x v="1"/>
    <x v="3"/>
    <x v="1"/>
  </r>
  <r>
    <x v="774"/>
    <d v="2025-04-18T00:00:00"/>
    <s v="C0077"/>
    <x v="3"/>
    <s v="P009"/>
    <n v="6"/>
    <n v="0"/>
    <x v="0"/>
    <x v="0"/>
    <x v="0"/>
    <n v="4299"/>
    <n v="2800"/>
    <n v="25794"/>
    <n v="16800"/>
    <x v="216"/>
    <n v="0"/>
    <x v="0"/>
    <x v="0"/>
    <x v="8"/>
    <x v="4"/>
    <x v="1"/>
    <x v="3"/>
    <x v="1"/>
  </r>
  <r>
    <x v="775"/>
    <d v="2025-04-18T00:00:00"/>
    <s v="C0126"/>
    <x v="3"/>
    <s v="P006"/>
    <n v="2"/>
    <n v="0"/>
    <x v="0"/>
    <x v="3"/>
    <x v="0"/>
    <n v="1799"/>
    <n v="1100"/>
    <n v="3598"/>
    <n v="2200"/>
    <x v="138"/>
    <n v="0"/>
    <x v="14"/>
    <x v="1"/>
    <x v="8"/>
    <x v="4"/>
    <x v="0"/>
    <x v="3"/>
    <x v="1"/>
  </r>
  <r>
    <x v="776"/>
    <d v="2025-04-20T00:00:00"/>
    <s v="C0191"/>
    <x v="3"/>
    <s v="P020"/>
    <n v="4"/>
    <n v="0.05"/>
    <x v="0"/>
    <x v="0"/>
    <x v="0"/>
    <n v="1799"/>
    <n v="900"/>
    <n v="6836.2"/>
    <n v="3600"/>
    <x v="321"/>
    <n v="359.8"/>
    <x v="4"/>
    <x v="2"/>
    <x v="10"/>
    <x v="2"/>
    <x v="1"/>
    <x v="3"/>
    <x v="1"/>
  </r>
  <r>
    <x v="777"/>
    <d v="2025-04-20T00:00:00"/>
    <s v="C0096"/>
    <x v="3"/>
    <s v="P004"/>
    <n v="10"/>
    <n v="0.1"/>
    <x v="0"/>
    <x v="4"/>
    <x v="0"/>
    <n v="1599"/>
    <n v="900"/>
    <n v="14391"/>
    <n v="9000"/>
    <x v="262"/>
    <n v="1599"/>
    <x v="21"/>
    <x v="1"/>
    <x v="2"/>
    <x v="1"/>
    <x v="1"/>
    <x v="3"/>
    <x v="1"/>
  </r>
  <r>
    <x v="778"/>
    <d v="2025-04-20T00:00:00"/>
    <s v="C0015"/>
    <x v="3"/>
    <s v="P019"/>
    <n v="2"/>
    <n v="0"/>
    <x v="2"/>
    <x v="1"/>
    <x v="2"/>
    <n v="1199"/>
    <n v="600"/>
    <n v="2398"/>
    <n v="1200"/>
    <x v="24"/>
    <n v="0"/>
    <x v="15"/>
    <x v="2"/>
    <x v="9"/>
    <x v="4"/>
    <x v="1"/>
    <x v="3"/>
    <x v="1"/>
  </r>
  <r>
    <x v="779"/>
    <d v="2025-04-21T00:00:00"/>
    <s v="C0014"/>
    <x v="3"/>
    <s v="P006"/>
    <n v="3"/>
    <n v="0"/>
    <x v="0"/>
    <x v="3"/>
    <x v="0"/>
    <n v="1799"/>
    <n v="1100"/>
    <n v="5397"/>
    <n v="3300"/>
    <x v="70"/>
    <n v="0"/>
    <x v="14"/>
    <x v="1"/>
    <x v="1"/>
    <x v="1"/>
    <x v="1"/>
    <x v="3"/>
    <x v="1"/>
  </r>
  <r>
    <x v="780"/>
    <d v="2025-04-24T00:00:00"/>
    <s v="C0075"/>
    <x v="3"/>
    <s v="P010"/>
    <n v="10"/>
    <n v="0.05"/>
    <x v="2"/>
    <x v="4"/>
    <x v="0"/>
    <n v="4599"/>
    <n v="3000"/>
    <n v="43690.5"/>
    <n v="30000"/>
    <x v="81"/>
    <n v="2299.5"/>
    <x v="3"/>
    <x v="0"/>
    <x v="2"/>
    <x v="0"/>
    <x v="0"/>
    <x v="3"/>
    <x v="1"/>
  </r>
  <r>
    <x v="781"/>
    <d v="2025-04-24T00:00:00"/>
    <s v="C0154"/>
    <x v="3"/>
    <s v="P004"/>
    <n v="2"/>
    <n v="0.05"/>
    <x v="1"/>
    <x v="1"/>
    <x v="2"/>
    <n v="1599"/>
    <n v="900"/>
    <n v="3038.1"/>
    <n v="1800"/>
    <x v="121"/>
    <n v="159.9"/>
    <x v="21"/>
    <x v="1"/>
    <x v="2"/>
    <x v="0"/>
    <x v="1"/>
    <x v="3"/>
    <x v="1"/>
  </r>
  <r>
    <x v="782"/>
    <d v="2025-04-25T00:00:00"/>
    <s v="C0176"/>
    <x v="3"/>
    <s v="P009"/>
    <n v="4"/>
    <n v="0"/>
    <x v="2"/>
    <x v="3"/>
    <x v="0"/>
    <n v="4299"/>
    <n v="2800"/>
    <n v="17196"/>
    <n v="11200"/>
    <x v="167"/>
    <n v="0"/>
    <x v="0"/>
    <x v="0"/>
    <x v="0"/>
    <x v="0"/>
    <x v="1"/>
    <x v="3"/>
    <x v="1"/>
  </r>
  <r>
    <x v="783"/>
    <d v="2025-04-25T00:00:00"/>
    <s v="C0133"/>
    <x v="3"/>
    <s v="P005"/>
    <n v="3"/>
    <n v="0"/>
    <x v="0"/>
    <x v="4"/>
    <x v="0"/>
    <n v="1299"/>
    <n v="800"/>
    <n v="3897"/>
    <n v="2400"/>
    <x v="85"/>
    <n v="0"/>
    <x v="12"/>
    <x v="1"/>
    <x v="8"/>
    <x v="4"/>
    <x v="1"/>
    <x v="3"/>
    <x v="1"/>
  </r>
  <r>
    <x v="784"/>
    <d v="2025-04-25T00:00:00"/>
    <s v="C0056"/>
    <x v="3"/>
    <s v="P004"/>
    <n v="2"/>
    <n v="0.05"/>
    <x v="1"/>
    <x v="2"/>
    <x v="0"/>
    <n v="1599"/>
    <n v="900"/>
    <n v="3038.1"/>
    <n v="1800"/>
    <x v="121"/>
    <n v="159.9"/>
    <x v="21"/>
    <x v="1"/>
    <x v="1"/>
    <x v="1"/>
    <x v="1"/>
    <x v="3"/>
    <x v="1"/>
  </r>
  <r>
    <x v="785"/>
    <d v="2025-04-25T00:00:00"/>
    <s v="C0137"/>
    <x v="3"/>
    <s v="P017"/>
    <n v="10"/>
    <n v="0.1"/>
    <x v="0"/>
    <x v="0"/>
    <x v="0"/>
    <n v="449"/>
    <n v="260"/>
    <n v="4041"/>
    <n v="2600"/>
    <x v="160"/>
    <n v="449"/>
    <x v="10"/>
    <x v="3"/>
    <x v="1"/>
    <x v="1"/>
    <x v="0"/>
    <x v="3"/>
    <x v="1"/>
  </r>
  <r>
    <x v="786"/>
    <d v="2025-04-25T00:00:00"/>
    <s v="C0030"/>
    <x v="3"/>
    <s v="P003"/>
    <n v="2"/>
    <n v="0.15"/>
    <x v="0"/>
    <x v="1"/>
    <x v="0"/>
    <n v="599"/>
    <n v="350"/>
    <n v="1018.3"/>
    <n v="700"/>
    <x v="270"/>
    <n v="179.7"/>
    <x v="2"/>
    <x v="1"/>
    <x v="4"/>
    <x v="3"/>
    <x v="1"/>
    <x v="3"/>
    <x v="1"/>
  </r>
  <r>
    <x v="787"/>
    <d v="2025-04-26T00:00:00"/>
    <s v="C0114"/>
    <x v="3"/>
    <s v="P005"/>
    <n v="10"/>
    <n v="0.1"/>
    <x v="1"/>
    <x v="1"/>
    <x v="0"/>
    <n v="1299"/>
    <n v="800"/>
    <n v="11691"/>
    <n v="8000"/>
    <x v="404"/>
    <n v="1299"/>
    <x v="12"/>
    <x v="1"/>
    <x v="12"/>
    <x v="2"/>
    <x v="2"/>
    <x v="3"/>
    <x v="1"/>
  </r>
  <r>
    <x v="788"/>
    <d v="2025-04-26T00:00:00"/>
    <s v="C0191"/>
    <x v="3"/>
    <s v="P001"/>
    <n v="1"/>
    <n v="0"/>
    <x v="2"/>
    <x v="4"/>
    <x v="0"/>
    <n v="700"/>
    <n v="450"/>
    <n v="700"/>
    <n v="450"/>
    <x v="261"/>
    <n v="0"/>
    <x v="7"/>
    <x v="1"/>
    <x v="10"/>
    <x v="2"/>
    <x v="1"/>
    <x v="3"/>
    <x v="1"/>
  </r>
  <r>
    <x v="789"/>
    <d v="2025-04-26T00:00:00"/>
    <s v="C0033"/>
    <x v="3"/>
    <s v="P010"/>
    <n v="2"/>
    <n v="0"/>
    <x v="1"/>
    <x v="3"/>
    <x v="0"/>
    <n v="4599"/>
    <n v="3000"/>
    <n v="9198"/>
    <n v="6000"/>
    <x v="66"/>
    <n v="0"/>
    <x v="3"/>
    <x v="0"/>
    <x v="1"/>
    <x v="1"/>
    <x v="1"/>
    <x v="3"/>
    <x v="1"/>
  </r>
  <r>
    <x v="790"/>
    <d v="2025-04-26T00:00:00"/>
    <s v="C0005"/>
    <x v="3"/>
    <s v="P003"/>
    <n v="6"/>
    <n v="0.1"/>
    <x v="2"/>
    <x v="3"/>
    <x v="0"/>
    <n v="599"/>
    <n v="350"/>
    <n v="3234.6"/>
    <n v="2100"/>
    <x v="281"/>
    <n v="359.40000000000003"/>
    <x v="2"/>
    <x v="1"/>
    <x v="2"/>
    <x v="0"/>
    <x v="1"/>
    <x v="3"/>
    <x v="1"/>
  </r>
  <r>
    <x v="791"/>
    <d v="2025-04-27T00:00:00"/>
    <s v="C0132"/>
    <x v="3"/>
    <s v="P022"/>
    <n v="1"/>
    <n v="0.05"/>
    <x v="2"/>
    <x v="3"/>
    <x v="2"/>
    <n v="899"/>
    <n v="450"/>
    <n v="854.05"/>
    <n v="450"/>
    <x v="14"/>
    <n v="44.95"/>
    <x v="6"/>
    <x v="2"/>
    <x v="3"/>
    <x v="2"/>
    <x v="0"/>
    <x v="3"/>
    <x v="1"/>
  </r>
  <r>
    <x v="792"/>
    <d v="2025-04-28T00:00:00"/>
    <s v="C0171"/>
    <x v="3"/>
    <s v="P010"/>
    <n v="1"/>
    <n v="0.1"/>
    <x v="1"/>
    <x v="4"/>
    <x v="0"/>
    <n v="4599"/>
    <n v="3000"/>
    <n v="4139.1000000000004"/>
    <n v="3000"/>
    <x v="28"/>
    <n v="459.90000000000003"/>
    <x v="3"/>
    <x v="0"/>
    <x v="2"/>
    <x v="1"/>
    <x v="0"/>
    <x v="3"/>
    <x v="1"/>
  </r>
  <r>
    <x v="793"/>
    <d v="2025-04-28T00:00:00"/>
    <s v="C0052"/>
    <x v="3"/>
    <s v="P019"/>
    <n v="2"/>
    <n v="0.1"/>
    <x v="2"/>
    <x v="1"/>
    <x v="0"/>
    <n v="1199"/>
    <n v="600"/>
    <n v="2158.1999999999998"/>
    <n v="1200"/>
    <x v="257"/>
    <n v="239.8"/>
    <x v="15"/>
    <x v="2"/>
    <x v="10"/>
    <x v="2"/>
    <x v="1"/>
    <x v="3"/>
    <x v="1"/>
  </r>
  <r>
    <x v="794"/>
    <d v="2025-04-29T00:00:00"/>
    <s v="C0090"/>
    <x v="3"/>
    <s v="P019"/>
    <n v="4"/>
    <n v="0"/>
    <x v="1"/>
    <x v="2"/>
    <x v="0"/>
    <n v="1199"/>
    <n v="600"/>
    <n v="4796"/>
    <n v="2400"/>
    <x v="32"/>
    <n v="0"/>
    <x v="15"/>
    <x v="2"/>
    <x v="1"/>
    <x v="1"/>
    <x v="1"/>
    <x v="3"/>
    <x v="1"/>
  </r>
  <r>
    <x v="795"/>
    <d v="2025-04-29T00:00:00"/>
    <s v="C0130"/>
    <x v="3"/>
    <s v="P008"/>
    <n v="1"/>
    <n v="0"/>
    <x v="2"/>
    <x v="2"/>
    <x v="0"/>
    <n v="6499"/>
    <n v="4200"/>
    <n v="6499"/>
    <n v="4200"/>
    <x v="16"/>
    <n v="0"/>
    <x v="13"/>
    <x v="0"/>
    <x v="2"/>
    <x v="1"/>
    <x v="1"/>
    <x v="3"/>
    <x v="1"/>
  </r>
  <r>
    <x v="796"/>
    <d v="2025-04-30T00:00:00"/>
    <s v="C0184"/>
    <x v="3"/>
    <s v="P007"/>
    <n v="2"/>
    <n v="0.2"/>
    <x v="1"/>
    <x v="3"/>
    <x v="0"/>
    <n v="5499"/>
    <n v="3500"/>
    <n v="8798.4"/>
    <n v="7000"/>
    <x v="251"/>
    <n v="2199.6"/>
    <x v="11"/>
    <x v="0"/>
    <x v="1"/>
    <x v="1"/>
    <x v="1"/>
    <x v="3"/>
    <x v="1"/>
  </r>
  <r>
    <x v="797"/>
    <d v="2025-05-02T00:00:00"/>
    <s v="C0055"/>
    <x v="4"/>
    <s v="P004"/>
    <n v="10"/>
    <n v="0.15"/>
    <x v="1"/>
    <x v="2"/>
    <x v="0"/>
    <n v="1599"/>
    <n v="900"/>
    <n v="13591.5"/>
    <n v="9000"/>
    <x v="377"/>
    <n v="2398.5"/>
    <x v="21"/>
    <x v="1"/>
    <x v="5"/>
    <x v="3"/>
    <x v="1"/>
    <x v="4"/>
    <x v="1"/>
  </r>
  <r>
    <x v="798"/>
    <d v="2025-05-02T00:00:00"/>
    <s v="C0113"/>
    <x v="4"/>
    <s v="P006"/>
    <n v="1"/>
    <n v="0"/>
    <x v="0"/>
    <x v="0"/>
    <x v="0"/>
    <n v="1799"/>
    <n v="1100"/>
    <n v="1799"/>
    <n v="1100"/>
    <x v="107"/>
    <n v="0"/>
    <x v="14"/>
    <x v="1"/>
    <x v="11"/>
    <x v="3"/>
    <x v="0"/>
    <x v="4"/>
    <x v="1"/>
  </r>
  <r>
    <x v="799"/>
    <d v="2025-05-04T00:00:00"/>
    <s v="C0132"/>
    <x v="4"/>
    <s v="P007"/>
    <n v="2"/>
    <n v="0.05"/>
    <x v="0"/>
    <x v="3"/>
    <x v="0"/>
    <n v="5499"/>
    <n v="3500"/>
    <n v="10448.1"/>
    <n v="7000"/>
    <x v="225"/>
    <n v="549.9"/>
    <x v="11"/>
    <x v="0"/>
    <x v="3"/>
    <x v="2"/>
    <x v="0"/>
    <x v="4"/>
    <x v="1"/>
  </r>
  <r>
    <x v="800"/>
    <d v="2025-05-05T00:00:00"/>
    <s v="C0029"/>
    <x v="4"/>
    <s v="P015"/>
    <n v="10"/>
    <n v="0"/>
    <x v="1"/>
    <x v="1"/>
    <x v="0"/>
    <n v="299"/>
    <n v="180"/>
    <n v="2990"/>
    <n v="1800"/>
    <x v="19"/>
    <n v="0"/>
    <x v="8"/>
    <x v="3"/>
    <x v="2"/>
    <x v="1"/>
    <x v="1"/>
    <x v="4"/>
    <x v="1"/>
  </r>
  <r>
    <x v="801"/>
    <d v="2025-05-05T00:00:00"/>
    <s v="C0185"/>
    <x v="4"/>
    <s v="P018"/>
    <n v="1"/>
    <n v="0"/>
    <x v="0"/>
    <x v="1"/>
    <x v="0"/>
    <n v="499"/>
    <n v="250"/>
    <n v="499"/>
    <n v="250"/>
    <x v="36"/>
    <n v="0"/>
    <x v="18"/>
    <x v="2"/>
    <x v="3"/>
    <x v="2"/>
    <x v="0"/>
    <x v="4"/>
    <x v="1"/>
  </r>
  <r>
    <x v="802"/>
    <d v="2025-05-05T00:00:00"/>
    <s v="C0154"/>
    <x v="4"/>
    <s v="P015"/>
    <n v="3"/>
    <n v="0.1"/>
    <x v="2"/>
    <x v="2"/>
    <x v="0"/>
    <n v="299"/>
    <n v="180"/>
    <n v="807.3"/>
    <n v="540"/>
    <x v="76"/>
    <n v="89.7"/>
    <x v="8"/>
    <x v="3"/>
    <x v="2"/>
    <x v="0"/>
    <x v="1"/>
    <x v="4"/>
    <x v="1"/>
  </r>
  <r>
    <x v="803"/>
    <d v="2025-05-07T00:00:00"/>
    <s v="C0075"/>
    <x v="4"/>
    <s v="P014"/>
    <n v="5"/>
    <n v="0"/>
    <x v="0"/>
    <x v="1"/>
    <x v="0"/>
    <n v="220"/>
    <n v="120"/>
    <n v="1100"/>
    <n v="600"/>
    <x v="5"/>
    <n v="0"/>
    <x v="20"/>
    <x v="3"/>
    <x v="2"/>
    <x v="0"/>
    <x v="0"/>
    <x v="4"/>
    <x v="1"/>
  </r>
  <r>
    <x v="804"/>
    <d v="2025-05-08T00:00:00"/>
    <s v="C0004"/>
    <x v="4"/>
    <s v="P006"/>
    <n v="6"/>
    <n v="0.1"/>
    <x v="1"/>
    <x v="3"/>
    <x v="0"/>
    <n v="1799"/>
    <n v="1100"/>
    <n v="9714.6"/>
    <n v="6600"/>
    <x v="106"/>
    <n v="1079.4000000000001"/>
    <x v="14"/>
    <x v="1"/>
    <x v="1"/>
    <x v="1"/>
    <x v="1"/>
    <x v="4"/>
    <x v="1"/>
  </r>
  <r>
    <x v="805"/>
    <d v="2025-05-08T00:00:00"/>
    <s v="C0037"/>
    <x v="4"/>
    <s v="P004"/>
    <n v="5"/>
    <n v="0.05"/>
    <x v="2"/>
    <x v="4"/>
    <x v="0"/>
    <n v="1599"/>
    <n v="900"/>
    <n v="7595.25"/>
    <n v="4500"/>
    <x v="199"/>
    <n v="399.75"/>
    <x v="21"/>
    <x v="1"/>
    <x v="2"/>
    <x v="1"/>
    <x v="2"/>
    <x v="4"/>
    <x v="1"/>
  </r>
  <r>
    <x v="806"/>
    <d v="2025-05-09T00:00:00"/>
    <s v="C0094"/>
    <x v="4"/>
    <s v="P003"/>
    <n v="2"/>
    <n v="0"/>
    <x v="0"/>
    <x v="3"/>
    <x v="0"/>
    <n v="599"/>
    <n v="350"/>
    <n v="1198"/>
    <n v="700"/>
    <x v="38"/>
    <n v="0"/>
    <x v="2"/>
    <x v="1"/>
    <x v="1"/>
    <x v="1"/>
    <x v="1"/>
    <x v="4"/>
    <x v="1"/>
  </r>
  <r>
    <x v="807"/>
    <d v="2025-05-09T00:00:00"/>
    <s v="C0109"/>
    <x v="4"/>
    <s v="P008"/>
    <n v="6"/>
    <n v="0"/>
    <x v="1"/>
    <x v="2"/>
    <x v="0"/>
    <n v="6499"/>
    <n v="4200"/>
    <n v="38994"/>
    <n v="25200"/>
    <x v="273"/>
    <n v="0"/>
    <x v="13"/>
    <x v="0"/>
    <x v="7"/>
    <x v="4"/>
    <x v="1"/>
    <x v="4"/>
    <x v="1"/>
  </r>
  <r>
    <x v="808"/>
    <d v="2025-05-10T00:00:00"/>
    <s v="C0194"/>
    <x v="4"/>
    <s v="P009"/>
    <n v="5"/>
    <n v="0"/>
    <x v="0"/>
    <x v="0"/>
    <x v="0"/>
    <n v="4299"/>
    <n v="2800"/>
    <n v="21495"/>
    <n v="14000"/>
    <x v="395"/>
    <n v="0"/>
    <x v="0"/>
    <x v="0"/>
    <x v="6"/>
    <x v="4"/>
    <x v="0"/>
    <x v="4"/>
    <x v="1"/>
  </r>
  <r>
    <x v="809"/>
    <d v="2025-05-11T00:00:00"/>
    <s v="C0072"/>
    <x v="4"/>
    <s v="P017"/>
    <n v="2"/>
    <n v="0.1"/>
    <x v="0"/>
    <x v="0"/>
    <x v="0"/>
    <n v="449"/>
    <n v="260"/>
    <n v="808.2"/>
    <n v="520"/>
    <x v="221"/>
    <n v="89.800000000000011"/>
    <x v="10"/>
    <x v="3"/>
    <x v="2"/>
    <x v="1"/>
    <x v="1"/>
    <x v="4"/>
    <x v="1"/>
  </r>
  <r>
    <x v="810"/>
    <d v="2025-05-12T00:00:00"/>
    <s v="C0060"/>
    <x v="4"/>
    <s v="P016"/>
    <n v="2"/>
    <n v="0"/>
    <x v="2"/>
    <x v="0"/>
    <x v="0"/>
    <n v="240"/>
    <n v="140"/>
    <n v="480"/>
    <n v="280"/>
    <x v="88"/>
    <n v="0"/>
    <x v="16"/>
    <x v="3"/>
    <x v="1"/>
    <x v="1"/>
    <x v="2"/>
    <x v="4"/>
    <x v="1"/>
  </r>
  <r>
    <x v="811"/>
    <d v="2025-05-12T00:00:00"/>
    <s v="C0007"/>
    <x v="4"/>
    <s v="P022"/>
    <n v="2"/>
    <n v="0"/>
    <x v="2"/>
    <x v="1"/>
    <x v="0"/>
    <n v="899"/>
    <n v="450"/>
    <n v="1798"/>
    <n v="900"/>
    <x v="58"/>
    <n v="0"/>
    <x v="6"/>
    <x v="2"/>
    <x v="7"/>
    <x v="4"/>
    <x v="0"/>
    <x v="4"/>
    <x v="1"/>
  </r>
  <r>
    <x v="812"/>
    <d v="2025-05-13T00:00:00"/>
    <s v="C0160"/>
    <x v="4"/>
    <s v="P020"/>
    <n v="1"/>
    <n v="0.1"/>
    <x v="1"/>
    <x v="0"/>
    <x v="0"/>
    <n v="1799"/>
    <n v="900"/>
    <n v="1619.1"/>
    <n v="900"/>
    <x v="259"/>
    <n v="179.9"/>
    <x v="4"/>
    <x v="2"/>
    <x v="2"/>
    <x v="1"/>
    <x v="1"/>
    <x v="4"/>
    <x v="1"/>
  </r>
  <r>
    <x v="813"/>
    <d v="2025-05-14T00:00:00"/>
    <s v="C0052"/>
    <x v="4"/>
    <s v="P015"/>
    <n v="3"/>
    <n v="0.1"/>
    <x v="0"/>
    <x v="2"/>
    <x v="0"/>
    <n v="299"/>
    <n v="180"/>
    <n v="807.3"/>
    <n v="540"/>
    <x v="76"/>
    <n v="89.7"/>
    <x v="8"/>
    <x v="3"/>
    <x v="10"/>
    <x v="2"/>
    <x v="1"/>
    <x v="4"/>
    <x v="1"/>
  </r>
  <r>
    <x v="814"/>
    <d v="2025-05-16T00:00:00"/>
    <s v="C0139"/>
    <x v="4"/>
    <s v="P011"/>
    <n v="10"/>
    <n v="0"/>
    <x v="0"/>
    <x v="3"/>
    <x v="0"/>
    <n v="899"/>
    <n v="500"/>
    <n v="8990"/>
    <n v="5000"/>
    <x v="337"/>
    <n v="0"/>
    <x v="1"/>
    <x v="0"/>
    <x v="3"/>
    <x v="2"/>
    <x v="0"/>
    <x v="4"/>
    <x v="1"/>
  </r>
  <r>
    <x v="815"/>
    <d v="2025-05-16T00:00:00"/>
    <s v="C0116"/>
    <x v="4"/>
    <s v="P013"/>
    <n v="4"/>
    <n v="0.15"/>
    <x v="2"/>
    <x v="3"/>
    <x v="0"/>
    <n v="150"/>
    <n v="90"/>
    <n v="510"/>
    <n v="360"/>
    <x v="405"/>
    <n v="90"/>
    <x v="17"/>
    <x v="3"/>
    <x v="1"/>
    <x v="1"/>
    <x v="0"/>
    <x v="4"/>
    <x v="1"/>
  </r>
  <r>
    <x v="816"/>
    <d v="2025-05-17T00:00:00"/>
    <s v="C0143"/>
    <x v="4"/>
    <s v="P006"/>
    <n v="3"/>
    <n v="0.15"/>
    <x v="0"/>
    <x v="4"/>
    <x v="0"/>
    <n v="1799"/>
    <n v="1100"/>
    <n v="4587.45"/>
    <n v="3300"/>
    <x v="406"/>
    <n v="809.55"/>
    <x v="14"/>
    <x v="1"/>
    <x v="7"/>
    <x v="4"/>
    <x v="0"/>
    <x v="4"/>
    <x v="1"/>
  </r>
  <r>
    <x v="817"/>
    <d v="2025-05-17T00:00:00"/>
    <s v="C0184"/>
    <x v="4"/>
    <s v="P010"/>
    <n v="5"/>
    <n v="0.05"/>
    <x v="1"/>
    <x v="0"/>
    <x v="0"/>
    <n v="4599"/>
    <n v="3000"/>
    <n v="21845.25"/>
    <n v="15000"/>
    <x v="301"/>
    <n v="1149.75"/>
    <x v="3"/>
    <x v="0"/>
    <x v="1"/>
    <x v="1"/>
    <x v="1"/>
    <x v="4"/>
    <x v="1"/>
  </r>
  <r>
    <x v="818"/>
    <d v="2025-05-18T00:00:00"/>
    <s v="C0142"/>
    <x v="4"/>
    <s v="P022"/>
    <n v="10"/>
    <n v="0.05"/>
    <x v="2"/>
    <x v="2"/>
    <x v="0"/>
    <n v="899"/>
    <n v="450"/>
    <n v="8540.5"/>
    <n v="4500"/>
    <x v="407"/>
    <n v="449.5"/>
    <x v="6"/>
    <x v="2"/>
    <x v="3"/>
    <x v="2"/>
    <x v="1"/>
    <x v="4"/>
    <x v="1"/>
  </r>
  <r>
    <x v="819"/>
    <d v="2025-05-18T00:00:00"/>
    <s v="C0101"/>
    <x v="4"/>
    <s v="P002"/>
    <n v="3"/>
    <n v="0.05"/>
    <x v="1"/>
    <x v="1"/>
    <x v="1"/>
    <n v="1999"/>
    <n v="1200"/>
    <n v="5697.15"/>
    <n v="3600"/>
    <x v="227"/>
    <n v="299.85000000000002"/>
    <x v="19"/>
    <x v="1"/>
    <x v="5"/>
    <x v="3"/>
    <x v="0"/>
    <x v="4"/>
    <x v="1"/>
  </r>
  <r>
    <x v="820"/>
    <d v="2025-05-19T00:00:00"/>
    <s v="C0083"/>
    <x v="4"/>
    <s v="P010"/>
    <n v="1"/>
    <n v="0"/>
    <x v="0"/>
    <x v="1"/>
    <x v="0"/>
    <n v="4599"/>
    <n v="3000"/>
    <n v="4599"/>
    <n v="3000"/>
    <x v="3"/>
    <n v="0"/>
    <x v="3"/>
    <x v="0"/>
    <x v="3"/>
    <x v="2"/>
    <x v="1"/>
    <x v="4"/>
    <x v="1"/>
  </r>
  <r>
    <x v="821"/>
    <d v="2025-05-20T00:00:00"/>
    <s v="C0007"/>
    <x v="4"/>
    <s v="P019"/>
    <n v="4"/>
    <n v="0"/>
    <x v="0"/>
    <x v="0"/>
    <x v="0"/>
    <n v="1199"/>
    <n v="600"/>
    <n v="4796"/>
    <n v="2400"/>
    <x v="32"/>
    <n v="0"/>
    <x v="15"/>
    <x v="2"/>
    <x v="7"/>
    <x v="4"/>
    <x v="0"/>
    <x v="4"/>
    <x v="1"/>
  </r>
  <r>
    <x v="822"/>
    <d v="2025-05-20T00:00:00"/>
    <s v="C0015"/>
    <x v="4"/>
    <s v="P012"/>
    <n v="2"/>
    <n v="0"/>
    <x v="1"/>
    <x v="3"/>
    <x v="0"/>
    <n v="320"/>
    <n v="220"/>
    <n v="640"/>
    <n v="440"/>
    <x v="88"/>
    <n v="0"/>
    <x v="5"/>
    <x v="3"/>
    <x v="9"/>
    <x v="4"/>
    <x v="1"/>
    <x v="4"/>
    <x v="1"/>
  </r>
  <r>
    <x v="823"/>
    <d v="2025-05-22T00:00:00"/>
    <s v="C0079"/>
    <x v="4"/>
    <s v="P003"/>
    <n v="1"/>
    <n v="0"/>
    <x v="0"/>
    <x v="3"/>
    <x v="0"/>
    <n v="599"/>
    <n v="350"/>
    <n v="599"/>
    <n v="350"/>
    <x v="36"/>
    <n v="0"/>
    <x v="2"/>
    <x v="1"/>
    <x v="1"/>
    <x v="1"/>
    <x v="0"/>
    <x v="4"/>
    <x v="1"/>
  </r>
  <r>
    <x v="824"/>
    <d v="2025-05-22T00:00:00"/>
    <s v="C0169"/>
    <x v="4"/>
    <s v="P015"/>
    <n v="5"/>
    <n v="0.05"/>
    <x v="0"/>
    <x v="3"/>
    <x v="2"/>
    <n v="299"/>
    <n v="180"/>
    <n v="1420.25"/>
    <n v="900"/>
    <x v="214"/>
    <n v="74.75"/>
    <x v="8"/>
    <x v="3"/>
    <x v="3"/>
    <x v="2"/>
    <x v="1"/>
    <x v="4"/>
    <x v="1"/>
  </r>
  <r>
    <x v="825"/>
    <d v="2025-05-23T00:00:00"/>
    <s v="C0151"/>
    <x v="4"/>
    <s v="P016"/>
    <n v="1"/>
    <n v="0.2"/>
    <x v="0"/>
    <x v="1"/>
    <x v="0"/>
    <n v="240"/>
    <n v="140"/>
    <n v="192"/>
    <n v="140"/>
    <x v="408"/>
    <n v="48"/>
    <x v="16"/>
    <x v="3"/>
    <x v="0"/>
    <x v="0"/>
    <x v="1"/>
    <x v="4"/>
    <x v="1"/>
  </r>
  <r>
    <x v="826"/>
    <d v="2025-05-24T00:00:00"/>
    <s v="C0026"/>
    <x v="4"/>
    <s v="P019"/>
    <n v="6"/>
    <n v="0"/>
    <x v="0"/>
    <x v="0"/>
    <x v="0"/>
    <n v="1199"/>
    <n v="600"/>
    <n v="7194"/>
    <n v="3600"/>
    <x v="237"/>
    <n v="0"/>
    <x v="15"/>
    <x v="2"/>
    <x v="0"/>
    <x v="0"/>
    <x v="0"/>
    <x v="4"/>
    <x v="1"/>
  </r>
  <r>
    <x v="827"/>
    <d v="2025-05-24T00:00:00"/>
    <s v="C0196"/>
    <x v="4"/>
    <s v="P017"/>
    <n v="4"/>
    <n v="0"/>
    <x v="0"/>
    <x v="4"/>
    <x v="0"/>
    <n v="449"/>
    <n v="260"/>
    <n v="1796"/>
    <n v="1040"/>
    <x v="111"/>
    <n v="0"/>
    <x v="10"/>
    <x v="3"/>
    <x v="0"/>
    <x v="0"/>
    <x v="0"/>
    <x v="4"/>
    <x v="1"/>
  </r>
  <r>
    <x v="828"/>
    <d v="2025-05-25T00:00:00"/>
    <s v="C0163"/>
    <x v="4"/>
    <s v="P016"/>
    <n v="1"/>
    <n v="0.1"/>
    <x v="0"/>
    <x v="1"/>
    <x v="0"/>
    <n v="240"/>
    <n v="140"/>
    <n v="216"/>
    <n v="140"/>
    <x v="96"/>
    <n v="24"/>
    <x v="16"/>
    <x v="3"/>
    <x v="5"/>
    <x v="3"/>
    <x v="1"/>
    <x v="4"/>
    <x v="1"/>
  </r>
  <r>
    <x v="829"/>
    <d v="2025-05-25T00:00:00"/>
    <s v="C0077"/>
    <x v="4"/>
    <s v="P002"/>
    <n v="5"/>
    <n v="0.1"/>
    <x v="2"/>
    <x v="2"/>
    <x v="0"/>
    <n v="1999"/>
    <n v="1200"/>
    <n v="8995.5"/>
    <n v="6000"/>
    <x v="409"/>
    <n v="999.5"/>
    <x v="19"/>
    <x v="1"/>
    <x v="8"/>
    <x v="4"/>
    <x v="1"/>
    <x v="4"/>
    <x v="1"/>
  </r>
  <r>
    <x v="830"/>
    <d v="2025-05-26T00:00:00"/>
    <s v="C0152"/>
    <x v="4"/>
    <s v="P004"/>
    <n v="4"/>
    <n v="0"/>
    <x v="1"/>
    <x v="0"/>
    <x v="0"/>
    <n v="1599"/>
    <n v="900"/>
    <n v="6396"/>
    <n v="3600"/>
    <x v="353"/>
    <n v="0"/>
    <x v="21"/>
    <x v="1"/>
    <x v="11"/>
    <x v="3"/>
    <x v="1"/>
    <x v="4"/>
    <x v="1"/>
  </r>
  <r>
    <x v="831"/>
    <d v="2025-05-27T00:00:00"/>
    <s v="C0054"/>
    <x v="4"/>
    <s v="P014"/>
    <n v="4"/>
    <n v="0.1"/>
    <x v="0"/>
    <x v="2"/>
    <x v="0"/>
    <n v="220"/>
    <n v="120"/>
    <n v="792"/>
    <n v="480"/>
    <x v="78"/>
    <n v="88"/>
    <x v="20"/>
    <x v="3"/>
    <x v="10"/>
    <x v="2"/>
    <x v="1"/>
    <x v="4"/>
    <x v="1"/>
  </r>
  <r>
    <x v="832"/>
    <d v="2025-05-27T00:00:00"/>
    <s v="C0111"/>
    <x v="4"/>
    <s v="P010"/>
    <n v="10"/>
    <n v="0"/>
    <x v="0"/>
    <x v="2"/>
    <x v="0"/>
    <n v="4599"/>
    <n v="3000"/>
    <n v="45990"/>
    <n v="30000"/>
    <x v="252"/>
    <n v="0"/>
    <x v="3"/>
    <x v="0"/>
    <x v="7"/>
    <x v="4"/>
    <x v="2"/>
    <x v="4"/>
    <x v="1"/>
  </r>
  <r>
    <x v="833"/>
    <d v="2025-05-28T00:00:00"/>
    <s v="C0117"/>
    <x v="4"/>
    <s v="P017"/>
    <n v="10"/>
    <n v="0"/>
    <x v="1"/>
    <x v="2"/>
    <x v="0"/>
    <n v="449"/>
    <n v="260"/>
    <n v="4490"/>
    <n v="2600"/>
    <x v="11"/>
    <n v="0"/>
    <x v="10"/>
    <x v="3"/>
    <x v="8"/>
    <x v="4"/>
    <x v="1"/>
    <x v="4"/>
    <x v="1"/>
  </r>
  <r>
    <x v="834"/>
    <d v="2025-05-28T00:00:00"/>
    <s v="C0148"/>
    <x v="4"/>
    <s v="P006"/>
    <n v="6"/>
    <n v="0"/>
    <x v="1"/>
    <x v="0"/>
    <x v="3"/>
    <n v="1799"/>
    <n v="1100"/>
    <n v="10794"/>
    <n v="6600"/>
    <x v="148"/>
    <n v="0"/>
    <x v="14"/>
    <x v="1"/>
    <x v="5"/>
    <x v="3"/>
    <x v="1"/>
    <x v="4"/>
    <x v="1"/>
  </r>
  <r>
    <x v="835"/>
    <d v="2025-05-29T00:00:00"/>
    <s v="C0164"/>
    <x v="4"/>
    <s v="P009"/>
    <n v="10"/>
    <n v="0.1"/>
    <x v="0"/>
    <x v="2"/>
    <x v="0"/>
    <n v="4299"/>
    <n v="2800"/>
    <n v="38691"/>
    <n v="28000"/>
    <x v="410"/>
    <n v="4299"/>
    <x v="0"/>
    <x v="0"/>
    <x v="1"/>
    <x v="1"/>
    <x v="2"/>
    <x v="4"/>
    <x v="1"/>
  </r>
  <r>
    <x v="836"/>
    <d v="2025-05-29T00:00:00"/>
    <s v="C0016"/>
    <x v="4"/>
    <s v="P021"/>
    <n v="10"/>
    <n v="0"/>
    <x v="2"/>
    <x v="4"/>
    <x v="0"/>
    <n v="1599"/>
    <n v="800"/>
    <n v="15990"/>
    <n v="8000"/>
    <x v="389"/>
    <n v="0"/>
    <x v="9"/>
    <x v="2"/>
    <x v="1"/>
    <x v="1"/>
    <x v="1"/>
    <x v="4"/>
    <x v="1"/>
  </r>
  <r>
    <x v="837"/>
    <d v="2025-05-29T00:00:00"/>
    <s v="C0196"/>
    <x v="4"/>
    <s v="P022"/>
    <n v="3"/>
    <n v="0.1"/>
    <x v="2"/>
    <x v="4"/>
    <x v="0"/>
    <n v="899"/>
    <n v="450"/>
    <n v="2427.3000000000002"/>
    <n v="1350"/>
    <x v="379"/>
    <n v="269.7"/>
    <x v="6"/>
    <x v="2"/>
    <x v="0"/>
    <x v="0"/>
    <x v="0"/>
    <x v="4"/>
    <x v="1"/>
  </r>
  <r>
    <x v="838"/>
    <d v="2025-05-30T00:00:00"/>
    <s v="C0069"/>
    <x v="4"/>
    <s v="P014"/>
    <n v="3"/>
    <n v="0.05"/>
    <x v="1"/>
    <x v="4"/>
    <x v="0"/>
    <n v="220"/>
    <n v="120"/>
    <n v="627"/>
    <n v="360"/>
    <x v="411"/>
    <n v="33"/>
    <x v="20"/>
    <x v="3"/>
    <x v="1"/>
    <x v="1"/>
    <x v="1"/>
    <x v="4"/>
    <x v="1"/>
  </r>
  <r>
    <x v="839"/>
    <d v="2025-05-31T00:00:00"/>
    <s v="C0062"/>
    <x v="4"/>
    <s v="P013"/>
    <n v="1"/>
    <n v="0"/>
    <x v="0"/>
    <x v="0"/>
    <x v="0"/>
    <n v="150"/>
    <n v="90"/>
    <n v="150"/>
    <n v="90"/>
    <x v="378"/>
    <n v="0"/>
    <x v="17"/>
    <x v="3"/>
    <x v="0"/>
    <x v="0"/>
    <x v="2"/>
    <x v="4"/>
    <x v="1"/>
  </r>
  <r>
    <x v="840"/>
    <d v="2025-06-01T00:00:00"/>
    <s v="C0144"/>
    <x v="5"/>
    <s v="P016"/>
    <n v="5"/>
    <n v="0.05"/>
    <x v="2"/>
    <x v="4"/>
    <x v="2"/>
    <n v="240"/>
    <n v="140"/>
    <n v="1140"/>
    <n v="700"/>
    <x v="412"/>
    <n v="60"/>
    <x v="16"/>
    <x v="3"/>
    <x v="7"/>
    <x v="4"/>
    <x v="0"/>
    <x v="5"/>
    <x v="1"/>
  </r>
  <r>
    <x v="841"/>
    <d v="2025-06-03T00:00:00"/>
    <s v="C0035"/>
    <x v="5"/>
    <s v="P009"/>
    <n v="1"/>
    <n v="0"/>
    <x v="1"/>
    <x v="2"/>
    <x v="0"/>
    <n v="4299"/>
    <n v="2800"/>
    <n v="4299"/>
    <n v="2800"/>
    <x v="413"/>
    <n v="0"/>
    <x v="0"/>
    <x v="0"/>
    <x v="12"/>
    <x v="2"/>
    <x v="0"/>
    <x v="5"/>
    <x v="1"/>
  </r>
  <r>
    <x v="842"/>
    <d v="2025-06-03T00:00:00"/>
    <s v="C0165"/>
    <x v="5"/>
    <s v="P006"/>
    <n v="1"/>
    <n v="0.2"/>
    <x v="2"/>
    <x v="3"/>
    <x v="0"/>
    <n v="1799"/>
    <n v="1100"/>
    <n v="1439.2"/>
    <n v="1100"/>
    <x v="414"/>
    <n v="359.8"/>
    <x v="14"/>
    <x v="1"/>
    <x v="11"/>
    <x v="3"/>
    <x v="1"/>
    <x v="5"/>
    <x v="1"/>
  </r>
  <r>
    <x v="843"/>
    <d v="2025-06-03T00:00:00"/>
    <s v="C0081"/>
    <x v="5"/>
    <s v="P003"/>
    <n v="3"/>
    <n v="0.15"/>
    <x v="0"/>
    <x v="1"/>
    <x v="2"/>
    <n v="599"/>
    <n v="350"/>
    <n v="1527.45"/>
    <n v="1050"/>
    <x v="415"/>
    <n v="269.55"/>
    <x v="2"/>
    <x v="1"/>
    <x v="12"/>
    <x v="2"/>
    <x v="2"/>
    <x v="5"/>
    <x v="1"/>
  </r>
  <r>
    <x v="844"/>
    <d v="2025-06-03T00:00:00"/>
    <s v="C0169"/>
    <x v="5"/>
    <s v="P022"/>
    <n v="1"/>
    <n v="0"/>
    <x v="2"/>
    <x v="4"/>
    <x v="0"/>
    <n v="899"/>
    <n v="450"/>
    <n v="899"/>
    <n v="450"/>
    <x v="152"/>
    <n v="0"/>
    <x v="6"/>
    <x v="2"/>
    <x v="3"/>
    <x v="2"/>
    <x v="1"/>
    <x v="5"/>
    <x v="1"/>
  </r>
  <r>
    <x v="845"/>
    <d v="2025-06-03T00:00:00"/>
    <s v="C0147"/>
    <x v="5"/>
    <s v="P004"/>
    <n v="10"/>
    <n v="0.15"/>
    <x v="1"/>
    <x v="2"/>
    <x v="0"/>
    <n v="1599"/>
    <n v="900"/>
    <n v="13591.5"/>
    <n v="9000"/>
    <x v="377"/>
    <n v="2398.5"/>
    <x v="21"/>
    <x v="1"/>
    <x v="4"/>
    <x v="3"/>
    <x v="1"/>
    <x v="5"/>
    <x v="1"/>
  </r>
  <r>
    <x v="846"/>
    <d v="2025-06-03T00:00:00"/>
    <s v="C0128"/>
    <x v="5"/>
    <s v="P009"/>
    <n v="1"/>
    <n v="0"/>
    <x v="0"/>
    <x v="1"/>
    <x v="0"/>
    <n v="4299"/>
    <n v="2800"/>
    <n v="4299"/>
    <n v="2800"/>
    <x v="413"/>
    <n v="0"/>
    <x v="0"/>
    <x v="0"/>
    <x v="2"/>
    <x v="0"/>
    <x v="0"/>
    <x v="5"/>
    <x v="1"/>
  </r>
  <r>
    <x v="847"/>
    <d v="2025-06-03T00:00:00"/>
    <s v="C0189"/>
    <x v="5"/>
    <s v="P019"/>
    <n v="5"/>
    <n v="0.1"/>
    <x v="0"/>
    <x v="4"/>
    <x v="0"/>
    <n v="1199"/>
    <n v="600"/>
    <n v="5395.5"/>
    <n v="3000"/>
    <x v="250"/>
    <n v="599.5"/>
    <x v="15"/>
    <x v="2"/>
    <x v="7"/>
    <x v="4"/>
    <x v="1"/>
    <x v="5"/>
    <x v="1"/>
  </r>
  <r>
    <x v="848"/>
    <d v="2025-06-04T00:00:00"/>
    <s v="C0028"/>
    <x v="5"/>
    <s v="P005"/>
    <n v="2"/>
    <n v="0"/>
    <x v="0"/>
    <x v="1"/>
    <x v="0"/>
    <n v="1299"/>
    <n v="800"/>
    <n v="2598"/>
    <n v="1600"/>
    <x v="56"/>
    <n v="0"/>
    <x v="12"/>
    <x v="1"/>
    <x v="1"/>
    <x v="1"/>
    <x v="1"/>
    <x v="5"/>
    <x v="1"/>
  </r>
  <r>
    <x v="849"/>
    <d v="2025-06-04T00:00:00"/>
    <s v="C0015"/>
    <x v="5"/>
    <s v="P019"/>
    <n v="6"/>
    <n v="0.05"/>
    <x v="2"/>
    <x v="1"/>
    <x v="0"/>
    <n v="1199"/>
    <n v="600"/>
    <n v="6834.3"/>
    <n v="3600"/>
    <x v="416"/>
    <n v="359.70000000000005"/>
    <x v="15"/>
    <x v="2"/>
    <x v="9"/>
    <x v="4"/>
    <x v="1"/>
    <x v="5"/>
    <x v="1"/>
  </r>
  <r>
    <x v="850"/>
    <d v="2025-06-05T00:00:00"/>
    <s v="C0109"/>
    <x v="5"/>
    <s v="P018"/>
    <n v="6"/>
    <n v="0.1"/>
    <x v="2"/>
    <x v="1"/>
    <x v="3"/>
    <n v="499"/>
    <n v="250"/>
    <n v="2694.6"/>
    <n v="1500"/>
    <x v="329"/>
    <n v="299.40000000000003"/>
    <x v="18"/>
    <x v="2"/>
    <x v="7"/>
    <x v="4"/>
    <x v="1"/>
    <x v="5"/>
    <x v="1"/>
  </r>
  <r>
    <x v="851"/>
    <d v="2025-06-06T00:00:00"/>
    <s v="C0184"/>
    <x v="5"/>
    <s v="P016"/>
    <n v="4"/>
    <n v="0.1"/>
    <x v="1"/>
    <x v="3"/>
    <x v="0"/>
    <n v="240"/>
    <n v="140"/>
    <n v="864"/>
    <n v="560"/>
    <x v="186"/>
    <n v="96"/>
    <x v="16"/>
    <x v="3"/>
    <x v="1"/>
    <x v="1"/>
    <x v="1"/>
    <x v="5"/>
    <x v="1"/>
  </r>
  <r>
    <x v="852"/>
    <d v="2025-06-06T00:00:00"/>
    <s v="C0014"/>
    <x v="5"/>
    <s v="P022"/>
    <n v="2"/>
    <n v="0"/>
    <x v="1"/>
    <x v="1"/>
    <x v="0"/>
    <n v="899"/>
    <n v="450"/>
    <n v="1798"/>
    <n v="900"/>
    <x v="58"/>
    <n v="0"/>
    <x v="6"/>
    <x v="2"/>
    <x v="1"/>
    <x v="1"/>
    <x v="1"/>
    <x v="5"/>
    <x v="1"/>
  </r>
  <r>
    <x v="853"/>
    <d v="2025-06-08T00:00:00"/>
    <s v="C0032"/>
    <x v="5"/>
    <s v="P022"/>
    <n v="10"/>
    <n v="0.15"/>
    <x v="0"/>
    <x v="3"/>
    <x v="0"/>
    <n v="899"/>
    <n v="450"/>
    <n v="7641.5"/>
    <n v="4500"/>
    <x v="253"/>
    <n v="1348.5"/>
    <x v="6"/>
    <x v="2"/>
    <x v="0"/>
    <x v="0"/>
    <x v="0"/>
    <x v="5"/>
    <x v="1"/>
  </r>
  <r>
    <x v="854"/>
    <d v="2025-06-09T00:00:00"/>
    <s v="C0066"/>
    <x v="5"/>
    <s v="P013"/>
    <n v="3"/>
    <n v="0"/>
    <x v="2"/>
    <x v="1"/>
    <x v="0"/>
    <n v="150"/>
    <n v="90"/>
    <n v="450"/>
    <n v="270"/>
    <x v="359"/>
    <n v="0"/>
    <x v="17"/>
    <x v="3"/>
    <x v="3"/>
    <x v="2"/>
    <x v="0"/>
    <x v="5"/>
    <x v="1"/>
  </r>
  <r>
    <x v="855"/>
    <d v="2025-06-09T00:00:00"/>
    <s v="C0042"/>
    <x v="5"/>
    <s v="P007"/>
    <n v="6"/>
    <n v="0.05"/>
    <x v="1"/>
    <x v="0"/>
    <x v="2"/>
    <n v="5499"/>
    <n v="3500"/>
    <n v="31344.3"/>
    <n v="21000"/>
    <x v="417"/>
    <n v="1649.7"/>
    <x v="11"/>
    <x v="0"/>
    <x v="1"/>
    <x v="1"/>
    <x v="1"/>
    <x v="5"/>
    <x v="1"/>
  </r>
  <r>
    <x v="856"/>
    <d v="2025-06-10T00:00:00"/>
    <s v="C0071"/>
    <x v="5"/>
    <s v="P002"/>
    <n v="1"/>
    <n v="0.1"/>
    <x v="0"/>
    <x v="0"/>
    <x v="3"/>
    <n v="1999"/>
    <n v="1200"/>
    <n v="1799.1"/>
    <n v="1200"/>
    <x v="418"/>
    <n v="199.9"/>
    <x v="19"/>
    <x v="1"/>
    <x v="2"/>
    <x v="1"/>
    <x v="1"/>
    <x v="5"/>
    <x v="1"/>
  </r>
  <r>
    <x v="857"/>
    <d v="2025-06-11T00:00:00"/>
    <s v="C0184"/>
    <x v="5"/>
    <s v="P011"/>
    <n v="5"/>
    <n v="0.15"/>
    <x v="2"/>
    <x v="1"/>
    <x v="0"/>
    <n v="899"/>
    <n v="500"/>
    <n v="3820.75"/>
    <n v="2500"/>
    <x v="326"/>
    <n v="674.25"/>
    <x v="1"/>
    <x v="0"/>
    <x v="1"/>
    <x v="1"/>
    <x v="1"/>
    <x v="5"/>
    <x v="1"/>
  </r>
  <r>
    <x v="858"/>
    <d v="2025-06-11T00:00:00"/>
    <s v="C0017"/>
    <x v="5"/>
    <s v="P017"/>
    <n v="4"/>
    <n v="0.05"/>
    <x v="1"/>
    <x v="1"/>
    <x v="0"/>
    <n v="449"/>
    <n v="260"/>
    <n v="1706.2"/>
    <n v="1040"/>
    <x v="318"/>
    <n v="89.800000000000011"/>
    <x v="10"/>
    <x v="3"/>
    <x v="11"/>
    <x v="3"/>
    <x v="1"/>
    <x v="5"/>
    <x v="1"/>
  </r>
  <r>
    <x v="859"/>
    <d v="2025-06-12T00:00:00"/>
    <s v="C0178"/>
    <x v="5"/>
    <s v="P015"/>
    <n v="1"/>
    <n v="0.1"/>
    <x v="2"/>
    <x v="0"/>
    <x v="0"/>
    <n v="299"/>
    <n v="180"/>
    <n v="269.10000000000002"/>
    <n v="180"/>
    <x v="292"/>
    <n v="29.900000000000002"/>
    <x v="8"/>
    <x v="3"/>
    <x v="1"/>
    <x v="1"/>
    <x v="1"/>
    <x v="5"/>
    <x v="1"/>
  </r>
  <r>
    <x v="860"/>
    <d v="2025-06-14T00:00:00"/>
    <s v="C0035"/>
    <x v="5"/>
    <s v="P021"/>
    <n v="1"/>
    <n v="0.05"/>
    <x v="0"/>
    <x v="2"/>
    <x v="0"/>
    <n v="1599"/>
    <n v="800"/>
    <n v="1519.05"/>
    <n v="800"/>
    <x v="307"/>
    <n v="79.95"/>
    <x v="9"/>
    <x v="2"/>
    <x v="12"/>
    <x v="2"/>
    <x v="0"/>
    <x v="5"/>
    <x v="1"/>
  </r>
  <r>
    <x v="861"/>
    <d v="2025-06-15T00:00:00"/>
    <s v="C0029"/>
    <x v="5"/>
    <s v="P003"/>
    <n v="2"/>
    <n v="0"/>
    <x v="1"/>
    <x v="4"/>
    <x v="0"/>
    <n v="599"/>
    <n v="350"/>
    <n v="1198"/>
    <n v="700"/>
    <x v="38"/>
    <n v="0"/>
    <x v="2"/>
    <x v="1"/>
    <x v="2"/>
    <x v="1"/>
    <x v="1"/>
    <x v="5"/>
    <x v="1"/>
  </r>
  <r>
    <x v="862"/>
    <d v="2025-06-17T00:00:00"/>
    <s v="C0176"/>
    <x v="5"/>
    <s v="P020"/>
    <n v="5"/>
    <n v="0.1"/>
    <x v="0"/>
    <x v="4"/>
    <x v="0"/>
    <n v="1799"/>
    <n v="900"/>
    <n v="8095.5"/>
    <n v="4500"/>
    <x v="419"/>
    <n v="899.5"/>
    <x v="4"/>
    <x v="2"/>
    <x v="0"/>
    <x v="0"/>
    <x v="1"/>
    <x v="5"/>
    <x v="1"/>
  </r>
  <r>
    <x v="863"/>
    <d v="2025-06-19T00:00:00"/>
    <s v="C0045"/>
    <x v="5"/>
    <s v="P009"/>
    <n v="4"/>
    <n v="0.1"/>
    <x v="0"/>
    <x v="1"/>
    <x v="0"/>
    <n v="4299"/>
    <n v="2800"/>
    <n v="15476.4"/>
    <n v="11200"/>
    <x v="420"/>
    <n v="1719.6000000000001"/>
    <x v="0"/>
    <x v="0"/>
    <x v="8"/>
    <x v="4"/>
    <x v="2"/>
    <x v="5"/>
    <x v="1"/>
  </r>
  <r>
    <x v="864"/>
    <d v="2025-06-19T00:00:00"/>
    <s v="C0101"/>
    <x v="5"/>
    <s v="P006"/>
    <n v="5"/>
    <n v="0.15"/>
    <x v="2"/>
    <x v="3"/>
    <x v="2"/>
    <n v="1799"/>
    <n v="1100"/>
    <n v="7645.75"/>
    <n v="5500"/>
    <x v="421"/>
    <n v="1349.25"/>
    <x v="14"/>
    <x v="1"/>
    <x v="5"/>
    <x v="3"/>
    <x v="0"/>
    <x v="5"/>
    <x v="1"/>
  </r>
  <r>
    <x v="865"/>
    <d v="2025-06-20T00:00:00"/>
    <s v="C0143"/>
    <x v="5"/>
    <s v="P001"/>
    <n v="2"/>
    <n v="0.15"/>
    <x v="2"/>
    <x v="1"/>
    <x v="1"/>
    <n v="700"/>
    <n v="450"/>
    <n v="1190"/>
    <n v="900"/>
    <x v="212"/>
    <n v="210"/>
    <x v="7"/>
    <x v="1"/>
    <x v="7"/>
    <x v="4"/>
    <x v="0"/>
    <x v="5"/>
    <x v="1"/>
  </r>
  <r>
    <x v="866"/>
    <d v="2025-06-20T00:00:00"/>
    <s v="C0013"/>
    <x v="5"/>
    <s v="P006"/>
    <n v="5"/>
    <n v="0.05"/>
    <x v="2"/>
    <x v="3"/>
    <x v="0"/>
    <n v="1799"/>
    <n v="1100"/>
    <n v="8545.25"/>
    <n v="5500"/>
    <x v="422"/>
    <n v="449.75"/>
    <x v="14"/>
    <x v="1"/>
    <x v="2"/>
    <x v="0"/>
    <x v="1"/>
    <x v="5"/>
    <x v="1"/>
  </r>
  <r>
    <x v="867"/>
    <d v="2025-06-20T00:00:00"/>
    <s v="C0044"/>
    <x v="5"/>
    <s v="P012"/>
    <n v="1"/>
    <n v="0"/>
    <x v="0"/>
    <x v="0"/>
    <x v="0"/>
    <n v="320"/>
    <n v="220"/>
    <n v="320"/>
    <n v="220"/>
    <x v="234"/>
    <n v="0"/>
    <x v="5"/>
    <x v="3"/>
    <x v="2"/>
    <x v="0"/>
    <x v="2"/>
    <x v="5"/>
    <x v="1"/>
  </r>
  <r>
    <x v="868"/>
    <d v="2025-06-22T00:00:00"/>
    <s v="C0058"/>
    <x v="5"/>
    <s v="P004"/>
    <n v="2"/>
    <n v="0"/>
    <x v="0"/>
    <x v="1"/>
    <x v="2"/>
    <n v="1599"/>
    <n v="900"/>
    <n v="3198"/>
    <n v="1800"/>
    <x v="138"/>
    <n v="0"/>
    <x v="21"/>
    <x v="1"/>
    <x v="0"/>
    <x v="0"/>
    <x v="1"/>
    <x v="5"/>
    <x v="1"/>
  </r>
  <r>
    <x v="869"/>
    <d v="2025-06-22T00:00:00"/>
    <s v="C0098"/>
    <x v="5"/>
    <s v="P016"/>
    <n v="2"/>
    <n v="0.05"/>
    <x v="2"/>
    <x v="1"/>
    <x v="0"/>
    <n v="240"/>
    <n v="140"/>
    <n v="456"/>
    <n v="280"/>
    <x v="215"/>
    <n v="24"/>
    <x v="16"/>
    <x v="3"/>
    <x v="1"/>
    <x v="1"/>
    <x v="0"/>
    <x v="5"/>
    <x v="1"/>
  </r>
  <r>
    <x v="870"/>
    <d v="2025-06-22T00:00:00"/>
    <s v="C0049"/>
    <x v="5"/>
    <s v="P022"/>
    <n v="5"/>
    <n v="0"/>
    <x v="2"/>
    <x v="1"/>
    <x v="0"/>
    <n v="899"/>
    <n v="450"/>
    <n v="4495"/>
    <n v="2250"/>
    <x v="6"/>
    <n v="0"/>
    <x v="6"/>
    <x v="2"/>
    <x v="6"/>
    <x v="4"/>
    <x v="0"/>
    <x v="5"/>
    <x v="1"/>
  </r>
  <r>
    <x v="871"/>
    <d v="2025-06-23T00:00:00"/>
    <s v="C0061"/>
    <x v="5"/>
    <s v="P009"/>
    <n v="6"/>
    <n v="0.15"/>
    <x v="1"/>
    <x v="0"/>
    <x v="0"/>
    <n v="4299"/>
    <n v="2800"/>
    <n v="21924.9"/>
    <n v="16800"/>
    <x v="181"/>
    <n v="3869.1"/>
    <x v="0"/>
    <x v="0"/>
    <x v="0"/>
    <x v="0"/>
    <x v="0"/>
    <x v="5"/>
    <x v="1"/>
  </r>
  <r>
    <x v="872"/>
    <d v="2025-06-23T00:00:00"/>
    <s v="C0003"/>
    <x v="5"/>
    <s v="P003"/>
    <n v="6"/>
    <n v="0"/>
    <x v="1"/>
    <x v="0"/>
    <x v="0"/>
    <n v="599"/>
    <n v="350"/>
    <n v="3594"/>
    <n v="2100"/>
    <x v="132"/>
    <n v="0"/>
    <x v="2"/>
    <x v="1"/>
    <x v="0"/>
    <x v="0"/>
    <x v="1"/>
    <x v="5"/>
    <x v="1"/>
  </r>
  <r>
    <x v="873"/>
    <d v="2025-06-23T00:00:00"/>
    <s v="C0055"/>
    <x v="5"/>
    <s v="P022"/>
    <n v="5"/>
    <n v="0.1"/>
    <x v="0"/>
    <x v="3"/>
    <x v="0"/>
    <n v="899"/>
    <n v="450"/>
    <n v="4045.5"/>
    <n v="2250"/>
    <x v="275"/>
    <n v="449.5"/>
    <x v="6"/>
    <x v="2"/>
    <x v="5"/>
    <x v="3"/>
    <x v="1"/>
    <x v="5"/>
    <x v="1"/>
  </r>
  <r>
    <x v="874"/>
    <d v="2025-06-24T00:00:00"/>
    <s v="C0143"/>
    <x v="5"/>
    <s v="P004"/>
    <n v="1"/>
    <n v="0"/>
    <x v="0"/>
    <x v="1"/>
    <x v="3"/>
    <n v="1599"/>
    <n v="900"/>
    <n v="1599"/>
    <n v="900"/>
    <x v="107"/>
    <n v="0"/>
    <x v="21"/>
    <x v="1"/>
    <x v="7"/>
    <x v="4"/>
    <x v="0"/>
    <x v="5"/>
    <x v="1"/>
  </r>
  <r>
    <x v="875"/>
    <d v="2025-06-24T00:00:00"/>
    <s v="C0172"/>
    <x v="5"/>
    <s v="P020"/>
    <n v="1"/>
    <n v="0"/>
    <x v="0"/>
    <x v="1"/>
    <x v="0"/>
    <n v="1799"/>
    <n v="900"/>
    <n v="1799"/>
    <n v="900"/>
    <x v="37"/>
    <n v="0"/>
    <x v="4"/>
    <x v="2"/>
    <x v="9"/>
    <x v="4"/>
    <x v="2"/>
    <x v="5"/>
    <x v="1"/>
  </r>
  <r>
    <x v="876"/>
    <d v="2025-06-27T00:00:00"/>
    <s v="C0172"/>
    <x v="5"/>
    <s v="P013"/>
    <n v="4"/>
    <n v="0"/>
    <x v="2"/>
    <x v="2"/>
    <x v="2"/>
    <n v="150"/>
    <n v="90"/>
    <n v="600"/>
    <n v="360"/>
    <x v="423"/>
    <n v="0"/>
    <x v="17"/>
    <x v="3"/>
    <x v="9"/>
    <x v="4"/>
    <x v="2"/>
    <x v="5"/>
    <x v="1"/>
  </r>
  <r>
    <x v="877"/>
    <d v="2025-06-27T00:00:00"/>
    <s v="C0067"/>
    <x v="5"/>
    <s v="P006"/>
    <n v="2"/>
    <n v="0.05"/>
    <x v="0"/>
    <x v="4"/>
    <x v="3"/>
    <n v="1799"/>
    <n v="1100"/>
    <n v="3418.1"/>
    <n v="2200"/>
    <x v="20"/>
    <n v="179.9"/>
    <x v="14"/>
    <x v="1"/>
    <x v="0"/>
    <x v="0"/>
    <x v="1"/>
    <x v="5"/>
    <x v="1"/>
  </r>
  <r>
    <x v="878"/>
    <d v="2025-06-27T00:00:00"/>
    <s v="C0082"/>
    <x v="5"/>
    <s v="P003"/>
    <n v="10"/>
    <n v="0.05"/>
    <x v="0"/>
    <x v="3"/>
    <x v="0"/>
    <n v="599"/>
    <n v="350"/>
    <n v="5690.5"/>
    <n v="3500"/>
    <x v="271"/>
    <n v="299.5"/>
    <x v="2"/>
    <x v="1"/>
    <x v="1"/>
    <x v="1"/>
    <x v="1"/>
    <x v="5"/>
    <x v="1"/>
  </r>
  <r>
    <x v="879"/>
    <d v="2025-06-27T00:00:00"/>
    <s v="C0128"/>
    <x v="5"/>
    <s v="P005"/>
    <n v="3"/>
    <n v="0.1"/>
    <x v="0"/>
    <x v="1"/>
    <x v="3"/>
    <n v="1299"/>
    <n v="800"/>
    <n v="3507.3"/>
    <n v="2400"/>
    <x v="424"/>
    <n v="389.70000000000005"/>
    <x v="12"/>
    <x v="1"/>
    <x v="2"/>
    <x v="0"/>
    <x v="0"/>
    <x v="5"/>
    <x v="1"/>
  </r>
  <r>
    <x v="880"/>
    <d v="2025-06-27T00:00:00"/>
    <s v="C0195"/>
    <x v="5"/>
    <s v="P020"/>
    <n v="3"/>
    <n v="0.05"/>
    <x v="2"/>
    <x v="1"/>
    <x v="0"/>
    <n v="1799"/>
    <n v="900"/>
    <n v="5127.1499999999996"/>
    <n v="2700"/>
    <x v="425"/>
    <n v="269.85000000000002"/>
    <x v="4"/>
    <x v="2"/>
    <x v="10"/>
    <x v="2"/>
    <x v="1"/>
    <x v="5"/>
    <x v="1"/>
  </r>
  <r>
    <x v="881"/>
    <d v="2025-06-29T00:00:00"/>
    <s v="C0196"/>
    <x v="5"/>
    <s v="P016"/>
    <n v="2"/>
    <n v="0.05"/>
    <x v="1"/>
    <x v="0"/>
    <x v="3"/>
    <n v="240"/>
    <n v="140"/>
    <n v="456"/>
    <n v="280"/>
    <x v="215"/>
    <n v="24"/>
    <x v="16"/>
    <x v="3"/>
    <x v="0"/>
    <x v="0"/>
    <x v="0"/>
    <x v="5"/>
    <x v="1"/>
  </r>
  <r>
    <x v="882"/>
    <d v="2025-06-30T00:00:00"/>
    <s v="C0049"/>
    <x v="5"/>
    <s v="P002"/>
    <n v="2"/>
    <n v="0"/>
    <x v="0"/>
    <x v="1"/>
    <x v="0"/>
    <n v="1999"/>
    <n v="1200"/>
    <n v="3998"/>
    <n v="2400"/>
    <x v="119"/>
    <n v="0"/>
    <x v="19"/>
    <x v="1"/>
    <x v="6"/>
    <x v="4"/>
    <x v="0"/>
    <x v="5"/>
    <x v="1"/>
  </r>
  <r>
    <x v="883"/>
    <d v="2025-06-30T00:00:00"/>
    <s v="C0181"/>
    <x v="5"/>
    <s v="P006"/>
    <n v="6"/>
    <n v="0.05"/>
    <x v="0"/>
    <x v="3"/>
    <x v="1"/>
    <n v="1799"/>
    <n v="1100"/>
    <n v="10254.299999999999"/>
    <n v="6600"/>
    <x v="383"/>
    <n v="539.70000000000005"/>
    <x v="14"/>
    <x v="1"/>
    <x v="12"/>
    <x v="2"/>
    <x v="0"/>
    <x v="5"/>
    <x v="1"/>
  </r>
  <r>
    <x v="884"/>
    <d v="2025-06-30T00:00:00"/>
    <s v="C0092"/>
    <x v="5"/>
    <s v="P015"/>
    <n v="10"/>
    <n v="0.05"/>
    <x v="1"/>
    <x v="4"/>
    <x v="0"/>
    <n v="299"/>
    <n v="180"/>
    <n v="2840.5"/>
    <n v="1800"/>
    <x v="426"/>
    <n v="149.5"/>
    <x v="8"/>
    <x v="3"/>
    <x v="2"/>
    <x v="1"/>
    <x v="0"/>
    <x v="5"/>
    <x v="1"/>
  </r>
  <r>
    <x v="885"/>
    <d v="2025-07-02T00:00:00"/>
    <s v="C0090"/>
    <x v="6"/>
    <s v="P004"/>
    <n v="1"/>
    <n v="0"/>
    <x v="2"/>
    <x v="2"/>
    <x v="0"/>
    <n v="1599"/>
    <n v="900"/>
    <n v="1599"/>
    <n v="900"/>
    <x v="107"/>
    <n v="0"/>
    <x v="21"/>
    <x v="1"/>
    <x v="1"/>
    <x v="1"/>
    <x v="1"/>
    <x v="6"/>
    <x v="1"/>
  </r>
  <r>
    <x v="886"/>
    <d v="2025-07-03T00:00:00"/>
    <s v="C0145"/>
    <x v="6"/>
    <s v="P009"/>
    <n v="2"/>
    <n v="0.05"/>
    <x v="1"/>
    <x v="2"/>
    <x v="1"/>
    <n v="4299"/>
    <n v="2800"/>
    <n v="8168.1"/>
    <n v="5600"/>
    <x v="232"/>
    <n v="429.90000000000003"/>
    <x v="0"/>
    <x v="0"/>
    <x v="6"/>
    <x v="4"/>
    <x v="1"/>
    <x v="6"/>
    <x v="1"/>
  </r>
  <r>
    <x v="887"/>
    <d v="2025-07-04T00:00:00"/>
    <s v="C0107"/>
    <x v="6"/>
    <s v="P006"/>
    <n v="1"/>
    <n v="0"/>
    <x v="2"/>
    <x v="1"/>
    <x v="0"/>
    <n v="1799"/>
    <n v="1100"/>
    <n v="1799"/>
    <n v="1100"/>
    <x v="107"/>
    <n v="0"/>
    <x v="14"/>
    <x v="1"/>
    <x v="6"/>
    <x v="4"/>
    <x v="0"/>
    <x v="6"/>
    <x v="1"/>
  </r>
  <r>
    <x v="888"/>
    <d v="2025-07-05T00:00:00"/>
    <s v="C0073"/>
    <x v="6"/>
    <s v="P001"/>
    <n v="1"/>
    <n v="0"/>
    <x v="2"/>
    <x v="1"/>
    <x v="0"/>
    <n v="700"/>
    <n v="450"/>
    <n v="700"/>
    <n v="450"/>
    <x v="261"/>
    <n v="0"/>
    <x v="7"/>
    <x v="1"/>
    <x v="6"/>
    <x v="4"/>
    <x v="2"/>
    <x v="6"/>
    <x v="1"/>
  </r>
  <r>
    <x v="889"/>
    <d v="2025-07-06T00:00:00"/>
    <s v="C0008"/>
    <x v="6"/>
    <s v="P005"/>
    <n v="1"/>
    <n v="0.05"/>
    <x v="0"/>
    <x v="0"/>
    <x v="0"/>
    <n v="1299"/>
    <n v="800"/>
    <n v="1234.05"/>
    <n v="800"/>
    <x v="277"/>
    <n v="64.95"/>
    <x v="12"/>
    <x v="1"/>
    <x v="5"/>
    <x v="3"/>
    <x v="1"/>
    <x v="6"/>
    <x v="1"/>
  </r>
  <r>
    <x v="890"/>
    <d v="2025-07-06T00:00:00"/>
    <s v="C0069"/>
    <x v="6"/>
    <s v="P021"/>
    <n v="1"/>
    <n v="0"/>
    <x v="1"/>
    <x v="0"/>
    <x v="0"/>
    <n v="1599"/>
    <n v="800"/>
    <n v="1599"/>
    <n v="800"/>
    <x v="57"/>
    <n v="0"/>
    <x v="9"/>
    <x v="2"/>
    <x v="1"/>
    <x v="1"/>
    <x v="1"/>
    <x v="6"/>
    <x v="1"/>
  </r>
  <r>
    <x v="891"/>
    <d v="2025-07-06T00:00:00"/>
    <s v="C0188"/>
    <x v="6"/>
    <s v="P011"/>
    <n v="2"/>
    <n v="0"/>
    <x v="1"/>
    <x v="1"/>
    <x v="0"/>
    <n v="899"/>
    <n v="500"/>
    <n v="1798"/>
    <n v="1000"/>
    <x v="268"/>
    <n v="0"/>
    <x v="1"/>
    <x v="0"/>
    <x v="7"/>
    <x v="4"/>
    <x v="2"/>
    <x v="6"/>
    <x v="1"/>
  </r>
  <r>
    <x v="892"/>
    <d v="2025-07-07T00:00:00"/>
    <s v="C0015"/>
    <x v="6"/>
    <s v="P011"/>
    <n v="1"/>
    <n v="0.05"/>
    <x v="2"/>
    <x v="0"/>
    <x v="0"/>
    <n v="899"/>
    <n v="500"/>
    <n v="854.05"/>
    <n v="500"/>
    <x v="333"/>
    <n v="44.95"/>
    <x v="1"/>
    <x v="0"/>
    <x v="9"/>
    <x v="4"/>
    <x v="1"/>
    <x v="6"/>
    <x v="1"/>
  </r>
  <r>
    <x v="893"/>
    <d v="2025-07-07T00:00:00"/>
    <s v="C0046"/>
    <x v="6"/>
    <s v="P009"/>
    <n v="2"/>
    <n v="0.2"/>
    <x v="2"/>
    <x v="3"/>
    <x v="2"/>
    <n v="4299"/>
    <n v="2800"/>
    <n v="6878.4"/>
    <n v="5600"/>
    <x v="427"/>
    <n v="1719.6000000000001"/>
    <x v="0"/>
    <x v="0"/>
    <x v="11"/>
    <x v="3"/>
    <x v="1"/>
    <x v="6"/>
    <x v="1"/>
  </r>
  <r>
    <x v="894"/>
    <d v="2025-07-08T00:00:00"/>
    <s v="C0042"/>
    <x v="6"/>
    <s v="P007"/>
    <n v="5"/>
    <n v="0.1"/>
    <x v="1"/>
    <x v="4"/>
    <x v="0"/>
    <n v="5499"/>
    <n v="3500"/>
    <n v="24745.5"/>
    <n v="17500"/>
    <x v="305"/>
    <n v="2749.5"/>
    <x v="11"/>
    <x v="0"/>
    <x v="1"/>
    <x v="1"/>
    <x v="1"/>
    <x v="6"/>
    <x v="1"/>
  </r>
  <r>
    <x v="895"/>
    <d v="2025-07-09T00:00:00"/>
    <s v="C0077"/>
    <x v="6"/>
    <s v="P004"/>
    <n v="6"/>
    <n v="0.1"/>
    <x v="0"/>
    <x v="2"/>
    <x v="0"/>
    <n v="1599"/>
    <n v="900"/>
    <n v="8634.6"/>
    <n v="5400"/>
    <x v="428"/>
    <n v="959.40000000000009"/>
    <x v="21"/>
    <x v="1"/>
    <x v="8"/>
    <x v="4"/>
    <x v="1"/>
    <x v="6"/>
    <x v="1"/>
  </r>
  <r>
    <x v="896"/>
    <d v="2025-07-10T00:00:00"/>
    <s v="C0092"/>
    <x v="6"/>
    <s v="P005"/>
    <n v="1"/>
    <n v="0.1"/>
    <x v="0"/>
    <x v="0"/>
    <x v="0"/>
    <n v="1299"/>
    <n v="800"/>
    <n v="1169.0999999999999"/>
    <n v="800"/>
    <x v="429"/>
    <n v="129.9"/>
    <x v="12"/>
    <x v="1"/>
    <x v="2"/>
    <x v="1"/>
    <x v="0"/>
    <x v="6"/>
    <x v="1"/>
  </r>
  <r>
    <x v="897"/>
    <d v="2025-07-10T00:00:00"/>
    <s v="C0122"/>
    <x v="6"/>
    <s v="P013"/>
    <n v="3"/>
    <n v="0.05"/>
    <x v="0"/>
    <x v="1"/>
    <x v="0"/>
    <n v="150"/>
    <n v="90"/>
    <n v="427.5"/>
    <n v="270"/>
    <x v="41"/>
    <n v="22.5"/>
    <x v="17"/>
    <x v="3"/>
    <x v="4"/>
    <x v="3"/>
    <x v="0"/>
    <x v="6"/>
    <x v="1"/>
  </r>
  <r>
    <x v="898"/>
    <d v="2025-07-11T00:00:00"/>
    <s v="C0048"/>
    <x v="6"/>
    <s v="P020"/>
    <n v="5"/>
    <n v="0.05"/>
    <x v="1"/>
    <x v="1"/>
    <x v="0"/>
    <n v="1799"/>
    <n v="900"/>
    <n v="8545.25"/>
    <n v="4500"/>
    <x v="226"/>
    <n v="449.75"/>
    <x v="4"/>
    <x v="2"/>
    <x v="1"/>
    <x v="1"/>
    <x v="1"/>
    <x v="6"/>
    <x v="1"/>
  </r>
  <r>
    <x v="899"/>
    <d v="2025-07-11T00:00:00"/>
    <s v="C0174"/>
    <x v="6"/>
    <s v="P015"/>
    <n v="2"/>
    <n v="0.05"/>
    <x v="0"/>
    <x v="2"/>
    <x v="0"/>
    <n v="299"/>
    <n v="180"/>
    <n v="568.1"/>
    <n v="360"/>
    <x v="430"/>
    <n v="29.900000000000002"/>
    <x v="8"/>
    <x v="3"/>
    <x v="0"/>
    <x v="0"/>
    <x v="0"/>
    <x v="6"/>
    <x v="1"/>
  </r>
  <r>
    <x v="900"/>
    <d v="2025-07-11T00:00:00"/>
    <s v="C0166"/>
    <x v="6"/>
    <s v="P021"/>
    <n v="10"/>
    <n v="0"/>
    <x v="2"/>
    <x v="0"/>
    <x v="0"/>
    <n v="1599"/>
    <n v="800"/>
    <n v="15990"/>
    <n v="8000"/>
    <x v="389"/>
    <n v="0"/>
    <x v="9"/>
    <x v="2"/>
    <x v="1"/>
    <x v="1"/>
    <x v="1"/>
    <x v="6"/>
    <x v="1"/>
  </r>
  <r>
    <x v="901"/>
    <d v="2025-07-13T00:00:00"/>
    <s v="C0039"/>
    <x v="6"/>
    <s v="P010"/>
    <n v="2"/>
    <n v="0.1"/>
    <x v="2"/>
    <x v="2"/>
    <x v="0"/>
    <n v="4599"/>
    <n v="3000"/>
    <n v="8278.2000000000007"/>
    <n v="6000"/>
    <x v="431"/>
    <n v="919.80000000000007"/>
    <x v="3"/>
    <x v="0"/>
    <x v="1"/>
    <x v="1"/>
    <x v="2"/>
    <x v="6"/>
    <x v="1"/>
  </r>
  <r>
    <x v="902"/>
    <d v="2025-07-13T00:00:00"/>
    <s v="C0076"/>
    <x v="6"/>
    <s v="P014"/>
    <n v="1"/>
    <n v="0.05"/>
    <x v="1"/>
    <x v="3"/>
    <x v="2"/>
    <n v="220"/>
    <n v="120"/>
    <n v="209"/>
    <n v="120"/>
    <x v="123"/>
    <n v="11"/>
    <x v="20"/>
    <x v="3"/>
    <x v="0"/>
    <x v="0"/>
    <x v="2"/>
    <x v="6"/>
    <x v="1"/>
  </r>
  <r>
    <x v="903"/>
    <d v="2025-07-15T00:00:00"/>
    <s v="C0109"/>
    <x v="6"/>
    <s v="P017"/>
    <n v="5"/>
    <n v="0"/>
    <x v="1"/>
    <x v="1"/>
    <x v="0"/>
    <n v="449"/>
    <n v="260"/>
    <n v="2245"/>
    <n v="1300"/>
    <x v="223"/>
    <n v="0"/>
    <x v="10"/>
    <x v="3"/>
    <x v="7"/>
    <x v="4"/>
    <x v="1"/>
    <x v="6"/>
    <x v="1"/>
  </r>
  <r>
    <x v="904"/>
    <d v="2025-07-15T00:00:00"/>
    <s v="C0066"/>
    <x v="6"/>
    <s v="P012"/>
    <n v="1"/>
    <n v="0.1"/>
    <x v="1"/>
    <x v="0"/>
    <x v="0"/>
    <n v="320"/>
    <n v="220"/>
    <n v="288"/>
    <n v="220"/>
    <x v="432"/>
    <n v="32"/>
    <x v="5"/>
    <x v="3"/>
    <x v="3"/>
    <x v="2"/>
    <x v="0"/>
    <x v="6"/>
    <x v="1"/>
  </r>
  <r>
    <x v="905"/>
    <d v="2025-07-16T00:00:00"/>
    <s v="C0047"/>
    <x v="6"/>
    <s v="P006"/>
    <n v="5"/>
    <n v="0"/>
    <x v="1"/>
    <x v="1"/>
    <x v="0"/>
    <n v="1799"/>
    <n v="1100"/>
    <n v="8995"/>
    <n v="5500"/>
    <x v="331"/>
    <n v="0"/>
    <x v="14"/>
    <x v="1"/>
    <x v="1"/>
    <x v="1"/>
    <x v="1"/>
    <x v="6"/>
    <x v="1"/>
  </r>
  <r>
    <x v="906"/>
    <d v="2025-07-17T00:00:00"/>
    <s v="C0151"/>
    <x v="6"/>
    <s v="P011"/>
    <n v="6"/>
    <n v="0.1"/>
    <x v="0"/>
    <x v="1"/>
    <x v="0"/>
    <n v="899"/>
    <n v="500"/>
    <n v="4854.6000000000004"/>
    <n v="3000"/>
    <x v="1"/>
    <n v="539.4"/>
    <x v="1"/>
    <x v="0"/>
    <x v="0"/>
    <x v="0"/>
    <x v="1"/>
    <x v="6"/>
    <x v="1"/>
  </r>
  <r>
    <x v="907"/>
    <d v="2025-07-18T00:00:00"/>
    <s v="C0055"/>
    <x v="6"/>
    <s v="P006"/>
    <n v="2"/>
    <n v="0"/>
    <x v="0"/>
    <x v="3"/>
    <x v="1"/>
    <n v="1799"/>
    <n v="1100"/>
    <n v="3598"/>
    <n v="2200"/>
    <x v="138"/>
    <n v="0"/>
    <x v="14"/>
    <x v="1"/>
    <x v="5"/>
    <x v="3"/>
    <x v="1"/>
    <x v="6"/>
    <x v="1"/>
  </r>
  <r>
    <x v="908"/>
    <d v="2025-07-18T00:00:00"/>
    <s v="C0137"/>
    <x v="6"/>
    <s v="P014"/>
    <n v="1"/>
    <n v="0"/>
    <x v="2"/>
    <x v="0"/>
    <x v="0"/>
    <n v="220"/>
    <n v="120"/>
    <n v="220"/>
    <n v="120"/>
    <x v="234"/>
    <n v="0"/>
    <x v="20"/>
    <x v="3"/>
    <x v="1"/>
    <x v="1"/>
    <x v="0"/>
    <x v="6"/>
    <x v="1"/>
  </r>
  <r>
    <x v="909"/>
    <d v="2025-07-18T00:00:00"/>
    <s v="C0178"/>
    <x v="6"/>
    <s v="P015"/>
    <n v="5"/>
    <n v="0.15"/>
    <x v="1"/>
    <x v="0"/>
    <x v="3"/>
    <n v="299"/>
    <n v="180"/>
    <n v="1270.75"/>
    <n v="900"/>
    <x v="433"/>
    <n v="224.25"/>
    <x v="8"/>
    <x v="3"/>
    <x v="1"/>
    <x v="1"/>
    <x v="1"/>
    <x v="6"/>
    <x v="1"/>
  </r>
  <r>
    <x v="910"/>
    <d v="2025-07-19T00:00:00"/>
    <s v="C0159"/>
    <x v="6"/>
    <s v="P010"/>
    <n v="4"/>
    <n v="0.1"/>
    <x v="1"/>
    <x v="0"/>
    <x v="3"/>
    <n v="4599"/>
    <n v="3000"/>
    <n v="16556.400000000001"/>
    <n v="12000"/>
    <x v="397"/>
    <n v="1839.6000000000001"/>
    <x v="3"/>
    <x v="0"/>
    <x v="1"/>
    <x v="1"/>
    <x v="2"/>
    <x v="6"/>
    <x v="1"/>
  </r>
  <r>
    <x v="911"/>
    <d v="2025-07-19T00:00:00"/>
    <s v="C0023"/>
    <x v="6"/>
    <s v="P010"/>
    <n v="2"/>
    <n v="0"/>
    <x v="2"/>
    <x v="4"/>
    <x v="0"/>
    <n v="4599"/>
    <n v="3000"/>
    <n v="9198"/>
    <n v="6000"/>
    <x v="66"/>
    <n v="0"/>
    <x v="3"/>
    <x v="0"/>
    <x v="0"/>
    <x v="0"/>
    <x v="0"/>
    <x v="6"/>
    <x v="1"/>
  </r>
  <r>
    <x v="912"/>
    <d v="2025-07-19T00:00:00"/>
    <s v="C0054"/>
    <x v="6"/>
    <s v="P001"/>
    <n v="6"/>
    <n v="0.05"/>
    <x v="0"/>
    <x v="2"/>
    <x v="0"/>
    <n v="700"/>
    <n v="450"/>
    <n v="3990"/>
    <n v="2700"/>
    <x v="434"/>
    <n v="210"/>
    <x v="7"/>
    <x v="1"/>
    <x v="10"/>
    <x v="2"/>
    <x v="1"/>
    <x v="6"/>
    <x v="1"/>
  </r>
  <r>
    <x v="913"/>
    <d v="2025-07-20T00:00:00"/>
    <s v="C0023"/>
    <x v="6"/>
    <s v="P007"/>
    <n v="3"/>
    <n v="0.1"/>
    <x v="0"/>
    <x v="3"/>
    <x v="0"/>
    <n v="5499"/>
    <n v="3500"/>
    <n v="14847.3"/>
    <n v="10500"/>
    <x v="12"/>
    <n v="1649.7"/>
    <x v="11"/>
    <x v="0"/>
    <x v="0"/>
    <x v="0"/>
    <x v="0"/>
    <x v="6"/>
    <x v="1"/>
  </r>
  <r>
    <x v="914"/>
    <d v="2025-07-21T00:00:00"/>
    <s v="C0043"/>
    <x v="6"/>
    <s v="P004"/>
    <n v="2"/>
    <n v="0.1"/>
    <x v="0"/>
    <x v="0"/>
    <x v="0"/>
    <n v="1599"/>
    <n v="900"/>
    <n v="2878.2"/>
    <n v="1800"/>
    <x v="74"/>
    <n v="319.8"/>
    <x v="21"/>
    <x v="1"/>
    <x v="10"/>
    <x v="2"/>
    <x v="1"/>
    <x v="6"/>
    <x v="1"/>
  </r>
  <r>
    <x v="915"/>
    <d v="2025-07-21T00:00:00"/>
    <s v="C0116"/>
    <x v="6"/>
    <s v="P001"/>
    <n v="2"/>
    <n v="0"/>
    <x v="0"/>
    <x v="3"/>
    <x v="0"/>
    <n v="700"/>
    <n v="450"/>
    <n v="1400"/>
    <n v="900"/>
    <x v="5"/>
    <n v="0"/>
    <x v="7"/>
    <x v="1"/>
    <x v="1"/>
    <x v="1"/>
    <x v="0"/>
    <x v="6"/>
    <x v="1"/>
  </r>
  <r>
    <x v="916"/>
    <d v="2025-07-21T00:00:00"/>
    <s v="C0003"/>
    <x v="6"/>
    <s v="P011"/>
    <n v="1"/>
    <n v="0.05"/>
    <x v="0"/>
    <x v="0"/>
    <x v="0"/>
    <n v="899"/>
    <n v="500"/>
    <n v="854.05"/>
    <n v="500"/>
    <x v="333"/>
    <n v="44.95"/>
    <x v="1"/>
    <x v="0"/>
    <x v="0"/>
    <x v="0"/>
    <x v="1"/>
    <x v="6"/>
    <x v="1"/>
  </r>
  <r>
    <x v="917"/>
    <d v="2025-07-21T00:00:00"/>
    <s v="C0153"/>
    <x v="6"/>
    <s v="P019"/>
    <n v="10"/>
    <n v="0.2"/>
    <x v="0"/>
    <x v="0"/>
    <x v="0"/>
    <n v="1199"/>
    <n v="600"/>
    <n v="9592"/>
    <n v="6000"/>
    <x v="141"/>
    <n v="2398"/>
    <x v="15"/>
    <x v="2"/>
    <x v="5"/>
    <x v="3"/>
    <x v="0"/>
    <x v="6"/>
    <x v="1"/>
  </r>
  <r>
    <x v="918"/>
    <d v="2025-07-23T00:00:00"/>
    <s v="C0152"/>
    <x v="6"/>
    <s v="P017"/>
    <n v="6"/>
    <n v="0"/>
    <x v="2"/>
    <x v="0"/>
    <x v="0"/>
    <n v="449"/>
    <n v="260"/>
    <n v="2694"/>
    <n v="1560"/>
    <x v="245"/>
    <n v="0"/>
    <x v="10"/>
    <x v="3"/>
    <x v="11"/>
    <x v="3"/>
    <x v="1"/>
    <x v="6"/>
    <x v="1"/>
  </r>
  <r>
    <x v="919"/>
    <d v="2025-07-23T00:00:00"/>
    <s v="C0081"/>
    <x v="6"/>
    <s v="P019"/>
    <n v="10"/>
    <n v="0"/>
    <x v="0"/>
    <x v="0"/>
    <x v="2"/>
    <n v="1199"/>
    <n v="600"/>
    <n v="11990"/>
    <n v="6000"/>
    <x v="110"/>
    <n v="0"/>
    <x v="15"/>
    <x v="2"/>
    <x v="12"/>
    <x v="2"/>
    <x v="2"/>
    <x v="6"/>
    <x v="1"/>
  </r>
  <r>
    <x v="920"/>
    <d v="2025-07-24T00:00:00"/>
    <s v="C0127"/>
    <x v="6"/>
    <s v="P004"/>
    <n v="4"/>
    <n v="0.05"/>
    <x v="2"/>
    <x v="1"/>
    <x v="0"/>
    <n v="1599"/>
    <n v="900"/>
    <n v="6076.2"/>
    <n v="3600"/>
    <x v="320"/>
    <n v="319.8"/>
    <x v="21"/>
    <x v="1"/>
    <x v="2"/>
    <x v="1"/>
    <x v="1"/>
    <x v="6"/>
    <x v="1"/>
  </r>
  <r>
    <x v="921"/>
    <d v="2025-07-24T00:00:00"/>
    <s v="C0121"/>
    <x v="6"/>
    <s v="P007"/>
    <n v="4"/>
    <n v="0.05"/>
    <x v="1"/>
    <x v="1"/>
    <x v="0"/>
    <n v="5499"/>
    <n v="3500"/>
    <n v="20896.2"/>
    <n v="14000"/>
    <x v="435"/>
    <n v="1099.8"/>
    <x v="11"/>
    <x v="0"/>
    <x v="0"/>
    <x v="0"/>
    <x v="1"/>
    <x v="6"/>
    <x v="1"/>
  </r>
  <r>
    <x v="922"/>
    <d v="2025-07-25T00:00:00"/>
    <s v="C0184"/>
    <x v="6"/>
    <s v="P020"/>
    <n v="6"/>
    <n v="0"/>
    <x v="1"/>
    <x v="0"/>
    <x v="0"/>
    <n v="1799"/>
    <n v="900"/>
    <n v="10794"/>
    <n v="5400"/>
    <x v="436"/>
    <n v="0"/>
    <x v="4"/>
    <x v="2"/>
    <x v="1"/>
    <x v="1"/>
    <x v="1"/>
    <x v="6"/>
    <x v="1"/>
  </r>
  <r>
    <x v="923"/>
    <d v="2025-07-25T00:00:00"/>
    <s v="C0173"/>
    <x v="6"/>
    <s v="P014"/>
    <n v="4"/>
    <n v="0.1"/>
    <x v="2"/>
    <x v="2"/>
    <x v="0"/>
    <n v="220"/>
    <n v="120"/>
    <n v="792"/>
    <n v="480"/>
    <x v="78"/>
    <n v="88"/>
    <x v="20"/>
    <x v="3"/>
    <x v="4"/>
    <x v="3"/>
    <x v="1"/>
    <x v="6"/>
    <x v="1"/>
  </r>
  <r>
    <x v="924"/>
    <d v="2025-07-26T00:00:00"/>
    <s v="C0073"/>
    <x v="6"/>
    <s v="P007"/>
    <n v="1"/>
    <n v="0.1"/>
    <x v="2"/>
    <x v="4"/>
    <x v="0"/>
    <n v="5499"/>
    <n v="3500"/>
    <n v="4949.1000000000004"/>
    <n v="3500"/>
    <x v="317"/>
    <n v="549.9"/>
    <x v="11"/>
    <x v="0"/>
    <x v="6"/>
    <x v="4"/>
    <x v="2"/>
    <x v="6"/>
    <x v="1"/>
  </r>
  <r>
    <x v="925"/>
    <d v="2025-07-26T00:00:00"/>
    <s v="C0126"/>
    <x v="6"/>
    <s v="P020"/>
    <n v="1"/>
    <n v="0.1"/>
    <x v="0"/>
    <x v="1"/>
    <x v="3"/>
    <n v="1799"/>
    <n v="900"/>
    <n v="1619.1"/>
    <n v="900"/>
    <x v="259"/>
    <n v="179.9"/>
    <x v="4"/>
    <x v="2"/>
    <x v="8"/>
    <x v="4"/>
    <x v="0"/>
    <x v="6"/>
    <x v="1"/>
  </r>
  <r>
    <x v="926"/>
    <d v="2025-07-28T00:00:00"/>
    <s v="C0054"/>
    <x v="6"/>
    <s v="P008"/>
    <n v="10"/>
    <n v="0"/>
    <x v="0"/>
    <x v="1"/>
    <x v="0"/>
    <n v="6499"/>
    <n v="4200"/>
    <n v="64990"/>
    <n v="42000"/>
    <x v="115"/>
    <n v="0"/>
    <x v="13"/>
    <x v="0"/>
    <x v="10"/>
    <x v="2"/>
    <x v="1"/>
    <x v="6"/>
    <x v="1"/>
  </r>
  <r>
    <x v="927"/>
    <d v="2025-07-28T00:00:00"/>
    <s v="C0041"/>
    <x v="6"/>
    <s v="P022"/>
    <n v="2"/>
    <n v="0.1"/>
    <x v="2"/>
    <x v="3"/>
    <x v="2"/>
    <n v="899"/>
    <n v="450"/>
    <n v="1618.2"/>
    <n v="900"/>
    <x v="72"/>
    <n v="179.8"/>
    <x v="6"/>
    <x v="2"/>
    <x v="0"/>
    <x v="0"/>
    <x v="0"/>
    <x v="6"/>
    <x v="1"/>
  </r>
  <r>
    <x v="928"/>
    <d v="2025-07-29T00:00:00"/>
    <s v="C0111"/>
    <x v="6"/>
    <s v="P011"/>
    <n v="1"/>
    <n v="0.05"/>
    <x v="2"/>
    <x v="0"/>
    <x v="0"/>
    <n v="899"/>
    <n v="500"/>
    <n v="854.05"/>
    <n v="500"/>
    <x v="333"/>
    <n v="44.95"/>
    <x v="1"/>
    <x v="0"/>
    <x v="7"/>
    <x v="4"/>
    <x v="2"/>
    <x v="6"/>
    <x v="1"/>
  </r>
  <r>
    <x v="929"/>
    <d v="2025-07-29T00:00:00"/>
    <s v="C0088"/>
    <x v="6"/>
    <s v="P009"/>
    <n v="4"/>
    <n v="0.1"/>
    <x v="1"/>
    <x v="1"/>
    <x v="0"/>
    <n v="4299"/>
    <n v="2800"/>
    <n v="15476.4"/>
    <n v="11200"/>
    <x v="420"/>
    <n v="1719.6000000000001"/>
    <x v="0"/>
    <x v="0"/>
    <x v="13"/>
    <x v="3"/>
    <x v="0"/>
    <x v="6"/>
    <x v="1"/>
  </r>
  <r>
    <x v="930"/>
    <d v="2025-07-30T00:00:00"/>
    <s v="C0177"/>
    <x v="6"/>
    <s v="P005"/>
    <n v="10"/>
    <n v="0.05"/>
    <x v="2"/>
    <x v="0"/>
    <x v="0"/>
    <n v="1299"/>
    <n v="800"/>
    <n v="12340.5"/>
    <n v="8000"/>
    <x v="272"/>
    <n v="649.5"/>
    <x v="12"/>
    <x v="1"/>
    <x v="11"/>
    <x v="3"/>
    <x v="0"/>
    <x v="6"/>
    <x v="1"/>
  </r>
  <r>
    <x v="931"/>
    <d v="2025-07-31T00:00:00"/>
    <s v="C0194"/>
    <x v="6"/>
    <s v="P015"/>
    <n v="1"/>
    <n v="0.2"/>
    <x v="1"/>
    <x v="3"/>
    <x v="0"/>
    <n v="299"/>
    <n v="180"/>
    <n v="239.2"/>
    <n v="180"/>
    <x v="437"/>
    <n v="59.800000000000004"/>
    <x v="8"/>
    <x v="3"/>
    <x v="6"/>
    <x v="4"/>
    <x v="0"/>
    <x v="6"/>
    <x v="1"/>
  </r>
  <r>
    <x v="932"/>
    <d v="2025-08-01T00:00:00"/>
    <s v="C0011"/>
    <x v="7"/>
    <s v="P018"/>
    <n v="10"/>
    <n v="0"/>
    <x v="2"/>
    <x v="1"/>
    <x v="0"/>
    <n v="499"/>
    <n v="250"/>
    <n v="4990"/>
    <n v="2500"/>
    <x v="80"/>
    <n v="0"/>
    <x v="18"/>
    <x v="2"/>
    <x v="1"/>
    <x v="1"/>
    <x v="1"/>
    <x v="7"/>
    <x v="1"/>
  </r>
  <r>
    <x v="933"/>
    <d v="2025-08-01T00:00:00"/>
    <s v="C0187"/>
    <x v="7"/>
    <s v="P006"/>
    <n v="3"/>
    <n v="0.1"/>
    <x v="0"/>
    <x v="3"/>
    <x v="0"/>
    <n v="1799"/>
    <n v="1100"/>
    <n v="4857.3"/>
    <n v="3300"/>
    <x v="176"/>
    <n v="539.70000000000005"/>
    <x v="14"/>
    <x v="1"/>
    <x v="2"/>
    <x v="1"/>
    <x v="1"/>
    <x v="7"/>
    <x v="1"/>
  </r>
  <r>
    <x v="934"/>
    <d v="2025-08-02T00:00:00"/>
    <s v="C0166"/>
    <x v="7"/>
    <s v="P005"/>
    <n v="4"/>
    <n v="0"/>
    <x v="2"/>
    <x v="0"/>
    <x v="0"/>
    <n v="1299"/>
    <n v="800"/>
    <n v="5196"/>
    <n v="3200"/>
    <x v="98"/>
    <n v="0"/>
    <x v="12"/>
    <x v="1"/>
    <x v="1"/>
    <x v="1"/>
    <x v="1"/>
    <x v="7"/>
    <x v="1"/>
  </r>
  <r>
    <x v="935"/>
    <d v="2025-08-02T00:00:00"/>
    <s v="C0197"/>
    <x v="7"/>
    <s v="P014"/>
    <n v="1"/>
    <n v="0"/>
    <x v="0"/>
    <x v="1"/>
    <x v="0"/>
    <n v="220"/>
    <n v="120"/>
    <n v="220"/>
    <n v="120"/>
    <x v="234"/>
    <n v="0"/>
    <x v="20"/>
    <x v="3"/>
    <x v="7"/>
    <x v="4"/>
    <x v="1"/>
    <x v="7"/>
    <x v="1"/>
  </r>
  <r>
    <x v="936"/>
    <d v="2025-08-02T00:00:00"/>
    <s v="C0044"/>
    <x v="7"/>
    <s v="P017"/>
    <n v="1"/>
    <n v="0"/>
    <x v="0"/>
    <x v="1"/>
    <x v="0"/>
    <n v="449"/>
    <n v="260"/>
    <n v="449"/>
    <n v="260"/>
    <x v="114"/>
    <n v="0"/>
    <x v="10"/>
    <x v="3"/>
    <x v="2"/>
    <x v="0"/>
    <x v="2"/>
    <x v="7"/>
    <x v="1"/>
  </r>
  <r>
    <x v="937"/>
    <d v="2025-08-04T00:00:00"/>
    <s v="C0171"/>
    <x v="7"/>
    <s v="P021"/>
    <n v="2"/>
    <n v="0"/>
    <x v="0"/>
    <x v="4"/>
    <x v="0"/>
    <n v="1599"/>
    <n v="800"/>
    <n v="3198"/>
    <n v="1600"/>
    <x v="119"/>
    <n v="0"/>
    <x v="9"/>
    <x v="2"/>
    <x v="2"/>
    <x v="1"/>
    <x v="0"/>
    <x v="7"/>
    <x v="1"/>
  </r>
  <r>
    <x v="938"/>
    <d v="2025-08-05T00:00:00"/>
    <s v="C0110"/>
    <x v="7"/>
    <s v="P005"/>
    <n v="5"/>
    <n v="0.15"/>
    <x v="1"/>
    <x v="1"/>
    <x v="2"/>
    <n v="1299"/>
    <n v="800"/>
    <n v="5520.75"/>
    <n v="4000"/>
    <x v="438"/>
    <n v="974.25"/>
    <x v="12"/>
    <x v="1"/>
    <x v="0"/>
    <x v="0"/>
    <x v="1"/>
    <x v="7"/>
    <x v="1"/>
  </r>
  <r>
    <x v="939"/>
    <d v="2025-08-05T00:00:00"/>
    <s v="C0114"/>
    <x v="7"/>
    <s v="P001"/>
    <n v="2"/>
    <n v="0.1"/>
    <x v="1"/>
    <x v="3"/>
    <x v="0"/>
    <n v="700"/>
    <n v="450"/>
    <n v="1260"/>
    <n v="900"/>
    <x v="101"/>
    <n v="140"/>
    <x v="7"/>
    <x v="1"/>
    <x v="12"/>
    <x v="2"/>
    <x v="2"/>
    <x v="7"/>
    <x v="1"/>
  </r>
  <r>
    <x v="940"/>
    <d v="2025-08-07T00:00:00"/>
    <s v="C0087"/>
    <x v="7"/>
    <s v="P003"/>
    <n v="4"/>
    <n v="0.05"/>
    <x v="0"/>
    <x v="3"/>
    <x v="0"/>
    <n v="599"/>
    <n v="350"/>
    <n v="2276.1999999999998"/>
    <n v="1400"/>
    <x v="439"/>
    <n v="119.80000000000001"/>
    <x v="2"/>
    <x v="1"/>
    <x v="7"/>
    <x v="4"/>
    <x v="1"/>
    <x v="7"/>
    <x v="1"/>
  </r>
  <r>
    <x v="941"/>
    <d v="2025-08-07T00:00:00"/>
    <s v="C0195"/>
    <x v="7"/>
    <s v="P013"/>
    <n v="1"/>
    <n v="0.1"/>
    <x v="1"/>
    <x v="3"/>
    <x v="0"/>
    <n v="150"/>
    <n v="90"/>
    <n v="135"/>
    <n v="90"/>
    <x v="440"/>
    <n v="15"/>
    <x v="17"/>
    <x v="3"/>
    <x v="10"/>
    <x v="2"/>
    <x v="1"/>
    <x v="7"/>
    <x v="1"/>
  </r>
  <r>
    <x v="942"/>
    <d v="2025-08-08T00:00:00"/>
    <s v="C0183"/>
    <x v="7"/>
    <s v="P021"/>
    <n v="10"/>
    <n v="0.2"/>
    <x v="1"/>
    <x v="2"/>
    <x v="0"/>
    <n v="1599"/>
    <n v="800"/>
    <n v="12792"/>
    <n v="8000"/>
    <x v="441"/>
    <n v="3198"/>
    <x v="9"/>
    <x v="2"/>
    <x v="0"/>
    <x v="0"/>
    <x v="2"/>
    <x v="7"/>
    <x v="1"/>
  </r>
  <r>
    <x v="943"/>
    <d v="2025-08-08T00:00:00"/>
    <s v="C0185"/>
    <x v="7"/>
    <s v="P010"/>
    <n v="4"/>
    <n v="0.15"/>
    <x v="0"/>
    <x v="2"/>
    <x v="0"/>
    <n v="4599"/>
    <n v="3000"/>
    <n v="15636.6"/>
    <n v="12000"/>
    <x v="348"/>
    <n v="2759.4"/>
    <x v="3"/>
    <x v="0"/>
    <x v="3"/>
    <x v="2"/>
    <x v="0"/>
    <x v="7"/>
    <x v="1"/>
  </r>
  <r>
    <x v="944"/>
    <d v="2025-08-08T00:00:00"/>
    <s v="C0038"/>
    <x v="7"/>
    <s v="P020"/>
    <n v="5"/>
    <n v="0.05"/>
    <x v="1"/>
    <x v="2"/>
    <x v="0"/>
    <n v="1799"/>
    <n v="900"/>
    <n v="8545.25"/>
    <n v="4500"/>
    <x v="226"/>
    <n v="449.75"/>
    <x v="4"/>
    <x v="2"/>
    <x v="1"/>
    <x v="1"/>
    <x v="1"/>
    <x v="7"/>
    <x v="1"/>
  </r>
  <r>
    <x v="945"/>
    <d v="2025-08-10T00:00:00"/>
    <s v="C0167"/>
    <x v="7"/>
    <s v="P020"/>
    <n v="6"/>
    <n v="0.1"/>
    <x v="1"/>
    <x v="0"/>
    <x v="2"/>
    <n v="1799"/>
    <n v="900"/>
    <n v="9714.6"/>
    <n v="5400"/>
    <x v="197"/>
    <n v="1079.4000000000001"/>
    <x v="4"/>
    <x v="2"/>
    <x v="1"/>
    <x v="1"/>
    <x v="1"/>
    <x v="7"/>
    <x v="1"/>
  </r>
  <r>
    <x v="946"/>
    <d v="2025-08-10T00:00:00"/>
    <s v="C0078"/>
    <x v="7"/>
    <s v="P007"/>
    <n v="1"/>
    <n v="0"/>
    <x v="1"/>
    <x v="4"/>
    <x v="0"/>
    <n v="5499"/>
    <n v="3500"/>
    <n v="5499"/>
    <n v="3500"/>
    <x v="442"/>
    <n v="0"/>
    <x v="11"/>
    <x v="0"/>
    <x v="2"/>
    <x v="1"/>
    <x v="1"/>
    <x v="7"/>
    <x v="1"/>
  </r>
  <r>
    <x v="947"/>
    <d v="2025-08-10T00:00:00"/>
    <s v="C0139"/>
    <x v="7"/>
    <s v="P017"/>
    <n v="3"/>
    <n v="0"/>
    <x v="0"/>
    <x v="2"/>
    <x v="0"/>
    <n v="449"/>
    <n v="260"/>
    <n v="1347"/>
    <n v="780"/>
    <x v="21"/>
    <n v="0"/>
    <x v="10"/>
    <x v="3"/>
    <x v="3"/>
    <x v="2"/>
    <x v="0"/>
    <x v="7"/>
    <x v="1"/>
  </r>
  <r>
    <x v="948"/>
    <d v="2025-08-11T00:00:00"/>
    <s v="C0194"/>
    <x v="7"/>
    <s v="P011"/>
    <n v="2"/>
    <n v="0"/>
    <x v="1"/>
    <x v="2"/>
    <x v="2"/>
    <n v="899"/>
    <n v="500"/>
    <n v="1798"/>
    <n v="1000"/>
    <x v="268"/>
    <n v="0"/>
    <x v="1"/>
    <x v="0"/>
    <x v="6"/>
    <x v="4"/>
    <x v="0"/>
    <x v="7"/>
    <x v="1"/>
  </r>
  <r>
    <x v="949"/>
    <d v="2025-08-11T00:00:00"/>
    <s v="C0062"/>
    <x v="7"/>
    <s v="P009"/>
    <n v="3"/>
    <n v="0.1"/>
    <x v="2"/>
    <x v="3"/>
    <x v="1"/>
    <n v="4299"/>
    <n v="2800"/>
    <n v="11607.3"/>
    <n v="8400"/>
    <x v="105"/>
    <n v="1289.7"/>
    <x v="0"/>
    <x v="0"/>
    <x v="0"/>
    <x v="0"/>
    <x v="2"/>
    <x v="7"/>
    <x v="1"/>
  </r>
  <r>
    <x v="950"/>
    <d v="2025-08-12T00:00:00"/>
    <s v="C0067"/>
    <x v="7"/>
    <s v="P012"/>
    <n v="10"/>
    <n v="0"/>
    <x v="1"/>
    <x v="3"/>
    <x v="0"/>
    <n v="320"/>
    <n v="220"/>
    <n v="3200"/>
    <n v="2200"/>
    <x v="136"/>
    <n v="0"/>
    <x v="5"/>
    <x v="3"/>
    <x v="0"/>
    <x v="0"/>
    <x v="1"/>
    <x v="7"/>
    <x v="1"/>
  </r>
  <r>
    <x v="951"/>
    <d v="2025-08-12T00:00:00"/>
    <s v="C0077"/>
    <x v="7"/>
    <s v="P015"/>
    <n v="1"/>
    <n v="0.05"/>
    <x v="1"/>
    <x v="2"/>
    <x v="1"/>
    <n v="299"/>
    <n v="180"/>
    <n v="284.05"/>
    <n v="180"/>
    <x v="9"/>
    <n v="14.950000000000001"/>
    <x v="8"/>
    <x v="3"/>
    <x v="8"/>
    <x v="4"/>
    <x v="1"/>
    <x v="7"/>
    <x v="1"/>
  </r>
  <r>
    <x v="952"/>
    <d v="2025-08-13T00:00:00"/>
    <s v="C0183"/>
    <x v="7"/>
    <s v="P019"/>
    <n v="10"/>
    <n v="0.1"/>
    <x v="0"/>
    <x v="1"/>
    <x v="0"/>
    <n v="1199"/>
    <n v="600"/>
    <n v="10791"/>
    <n v="6000"/>
    <x v="246"/>
    <n v="1199"/>
    <x v="15"/>
    <x v="2"/>
    <x v="0"/>
    <x v="0"/>
    <x v="2"/>
    <x v="7"/>
    <x v="1"/>
  </r>
  <r>
    <x v="953"/>
    <d v="2025-08-13T00:00:00"/>
    <s v="C0184"/>
    <x v="7"/>
    <s v="P022"/>
    <n v="2"/>
    <n v="0.1"/>
    <x v="2"/>
    <x v="3"/>
    <x v="0"/>
    <n v="899"/>
    <n v="450"/>
    <n v="1618.2"/>
    <n v="900"/>
    <x v="72"/>
    <n v="179.8"/>
    <x v="6"/>
    <x v="2"/>
    <x v="1"/>
    <x v="1"/>
    <x v="1"/>
    <x v="7"/>
    <x v="1"/>
  </r>
  <r>
    <x v="954"/>
    <d v="2025-08-14T00:00:00"/>
    <s v="C0133"/>
    <x v="7"/>
    <s v="P011"/>
    <n v="2"/>
    <n v="0.1"/>
    <x v="2"/>
    <x v="4"/>
    <x v="0"/>
    <n v="899"/>
    <n v="500"/>
    <n v="1618.2"/>
    <n v="1000"/>
    <x v="220"/>
    <n v="179.8"/>
    <x v="1"/>
    <x v="0"/>
    <x v="8"/>
    <x v="4"/>
    <x v="1"/>
    <x v="7"/>
    <x v="1"/>
  </r>
  <r>
    <x v="955"/>
    <d v="2025-08-16T00:00:00"/>
    <s v="C0106"/>
    <x v="7"/>
    <s v="P014"/>
    <n v="1"/>
    <n v="0"/>
    <x v="2"/>
    <x v="0"/>
    <x v="0"/>
    <n v="220"/>
    <n v="120"/>
    <n v="220"/>
    <n v="120"/>
    <x v="234"/>
    <n v="0"/>
    <x v="20"/>
    <x v="3"/>
    <x v="3"/>
    <x v="2"/>
    <x v="0"/>
    <x v="7"/>
    <x v="1"/>
  </r>
  <r>
    <x v="956"/>
    <d v="2025-08-16T00:00:00"/>
    <s v="C0115"/>
    <x v="7"/>
    <s v="P007"/>
    <n v="1"/>
    <n v="0"/>
    <x v="1"/>
    <x v="2"/>
    <x v="0"/>
    <n v="5499"/>
    <n v="3500"/>
    <n v="5499"/>
    <n v="3500"/>
    <x v="442"/>
    <n v="0"/>
    <x v="11"/>
    <x v="0"/>
    <x v="8"/>
    <x v="4"/>
    <x v="0"/>
    <x v="7"/>
    <x v="1"/>
  </r>
  <r>
    <x v="957"/>
    <d v="2025-08-16T00:00:00"/>
    <s v="C0200"/>
    <x v="7"/>
    <s v="P017"/>
    <n v="5"/>
    <n v="0.15"/>
    <x v="1"/>
    <x v="0"/>
    <x v="0"/>
    <n v="449"/>
    <n v="260"/>
    <n v="1908.25"/>
    <n v="1300"/>
    <x v="361"/>
    <n v="336.75"/>
    <x v="10"/>
    <x v="3"/>
    <x v="7"/>
    <x v="4"/>
    <x v="1"/>
    <x v="7"/>
    <x v="1"/>
  </r>
  <r>
    <x v="958"/>
    <d v="2025-08-17T00:00:00"/>
    <s v="C0177"/>
    <x v="7"/>
    <s v="P015"/>
    <n v="6"/>
    <n v="0.1"/>
    <x v="2"/>
    <x v="4"/>
    <x v="0"/>
    <n v="299"/>
    <n v="180"/>
    <n v="1614.6"/>
    <n v="1080"/>
    <x v="310"/>
    <n v="179.4"/>
    <x v="8"/>
    <x v="3"/>
    <x v="11"/>
    <x v="3"/>
    <x v="0"/>
    <x v="7"/>
    <x v="1"/>
  </r>
  <r>
    <x v="959"/>
    <d v="2025-08-18T00:00:00"/>
    <s v="C0033"/>
    <x v="7"/>
    <s v="P017"/>
    <n v="6"/>
    <n v="0.1"/>
    <x v="1"/>
    <x v="2"/>
    <x v="0"/>
    <n v="449"/>
    <n v="260"/>
    <n v="2424.6"/>
    <n v="1560"/>
    <x v="443"/>
    <n v="269.40000000000003"/>
    <x v="10"/>
    <x v="3"/>
    <x v="1"/>
    <x v="1"/>
    <x v="1"/>
    <x v="7"/>
    <x v="1"/>
  </r>
  <r>
    <x v="960"/>
    <d v="2025-08-19T00:00:00"/>
    <s v="C0031"/>
    <x v="7"/>
    <s v="P017"/>
    <n v="2"/>
    <n v="0.05"/>
    <x v="2"/>
    <x v="2"/>
    <x v="0"/>
    <n v="449"/>
    <n v="260"/>
    <n v="853.1"/>
    <n v="520"/>
    <x v="162"/>
    <n v="44.900000000000006"/>
    <x v="10"/>
    <x v="3"/>
    <x v="0"/>
    <x v="0"/>
    <x v="0"/>
    <x v="7"/>
    <x v="1"/>
  </r>
  <r>
    <x v="961"/>
    <d v="2025-08-20T00:00:00"/>
    <s v="C0031"/>
    <x v="7"/>
    <s v="P012"/>
    <n v="5"/>
    <n v="0"/>
    <x v="0"/>
    <x v="3"/>
    <x v="0"/>
    <n v="320"/>
    <n v="220"/>
    <n v="1600"/>
    <n v="1100"/>
    <x v="5"/>
    <n v="0"/>
    <x v="5"/>
    <x v="3"/>
    <x v="0"/>
    <x v="0"/>
    <x v="0"/>
    <x v="7"/>
    <x v="1"/>
  </r>
  <r>
    <x v="962"/>
    <d v="2025-08-21T00:00:00"/>
    <s v="C0040"/>
    <x v="7"/>
    <s v="P017"/>
    <n v="1"/>
    <n v="0"/>
    <x v="0"/>
    <x v="1"/>
    <x v="1"/>
    <n v="449"/>
    <n v="260"/>
    <n v="449"/>
    <n v="260"/>
    <x v="114"/>
    <n v="0"/>
    <x v="10"/>
    <x v="3"/>
    <x v="9"/>
    <x v="4"/>
    <x v="1"/>
    <x v="7"/>
    <x v="1"/>
  </r>
  <r>
    <x v="963"/>
    <d v="2025-08-22T00:00:00"/>
    <s v="C0008"/>
    <x v="7"/>
    <s v="P016"/>
    <n v="2"/>
    <n v="0"/>
    <x v="2"/>
    <x v="1"/>
    <x v="0"/>
    <n v="240"/>
    <n v="140"/>
    <n v="480"/>
    <n v="280"/>
    <x v="88"/>
    <n v="0"/>
    <x v="16"/>
    <x v="3"/>
    <x v="5"/>
    <x v="3"/>
    <x v="1"/>
    <x v="7"/>
    <x v="1"/>
  </r>
  <r>
    <x v="964"/>
    <d v="2025-08-22T00:00:00"/>
    <s v="C0056"/>
    <x v="7"/>
    <s v="P010"/>
    <n v="2"/>
    <n v="0.1"/>
    <x v="2"/>
    <x v="2"/>
    <x v="0"/>
    <n v="4599"/>
    <n v="3000"/>
    <n v="8278.2000000000007"/>
    <n v="6000"/>
    <x v="431"/>
    <n v="919.80000000000007"/>
    <x v="3"/>
    <x v="0"/>
    <x v="1"/>
    <x v="1"/>
    <x v="1"/>
    <x v="7"/>
    <x v="1"/>
  </r>
  <r>
    <x v="965"/>
    <d v="2025-08-23T00:00:00"/>
    <s v="C0018"/>
    <x v="7"/>
    <s v="P012"/>
    <n v="1"/>
    <n v="0.05"/>
    <x v="1"/>
    <x v="0"/>
    <x v="0"/>
    <n v="320"/>
    <n v="220"/>
    <n v="304"/>
    <n v="220"/>
    <x v="8"/>
    <n v="16"/>
    <x v="5"/>
    <x v="3"/>
    <x v="7"/>
    <x v="4"/>
    <x v="0"/>
    <x v="7"/>
    <x v="1"/>
  </r>
  <r>
    <x v="966"/>
    <d v="2025-08-23T00:00:00"/>
    <s v="C0097"/>
    <x v="7"/>
    <s v="P011"/>
    <n v="6"/>
    <n v="0.1"/>
    <x v="2"/>
    <x v="4"/>
    <x v="0"/>
    <n v="899"/>
    <n v="500"/>
    <n v="4854.6000000000004"/>
    <n v="3000"/>
    <x v="1"/>
    <n v="539.4"/>
    <x v="1"/>
    <x v="0"/>
    <x v="1"/>
    <x v="1"/>
    <x v="0"/>
    <x v="7"/>
    <x v="1"/>
  </r>
  <r>
    <x v="967"/>
    <d v="2025-08-24T00:00:00"/>
    <s v="C0163"/>
    <x v="7"/>
    <s v="P017"/>
    <n v="6"/>
    <n v="0.1"/>
    <x v="2"/>
    <x v="1"/>
    <x v="0"/>
    <n v="449"/>
    <n v="260"/>
    <n v="2424.6"/>
    <n v="1560"/>
    <x v="443"/>
    <n v="269.40000000000003"/>
    <x v="10"/>
    <x v="3"/>
    <x v="5"/>
    <x v="3"/>
    <x v="1"/>
    <x v="7"/>
    <x v="1"/>
  </r>
  <r>
    <x v="968"/>
    <d v="2025-08-24T00:00:00"/>
    <s v="C0160"/>
    <x v="7"/>
    <s v="P003"/>
    <n v="5"/>
    <n v="0"/>
    <x v="0"/>
    <x v="2"/>
    <x v="2"/>
    <n v="599"/>
    <n v="350"/>
    <n v="2995"/>
    <n v="1750"/>
    <x v="2"/>
    <n v="0"/>
    <x v="2"/>
    <x v="1"/>
    <x v="2"/>
    <x v="1"/>
    <x v="1"/>
    <x v="7"/>
    <x v="1"/>
  </r>
  <r>
    <x v="969"/>
    <d v="2025-08-24T00:00:00"/>
    <s v="C0172"/>
    <x v="7"/>
    <s v="P002"/>
    <n v="6"/>
    <n v="0.1"/>
    <x v="2"/>
    <x v="3"/>
    <x v="0"/>
    <n v="1999"/>
    <n v="1200"/>
    <n v="10794.6"/>
    <n v="7200"/>
    <x v="444"/>
    <n v="1199.4000000000001"/>
    <x v="19"/>
    <x v="1"/>
    <x v="9"/>
    <x v="4"/>
    <x v="2"/>
    <x v="7"/>
    <x v="1"/>
  </r>
  <r>
    <x v="970"/>
    <d v="2025-08-24T00:00:00"/>
    <s v="C0162"/>
    <x v="7"/>
    <s v="P019"/>
    <n v="3"/>
    <n v="0.05"/>
    <x v="1"/>
    <x v="3"/>
    <x v="0"/>
    <n v="1199"/>
    <n v="600"/>
    <n v="3417.15"/>
    <n v="1800"/>
    <x v="445"/>
    <n v="179.85000000000002"/>
    <x v="15"/>
    <x v="2"/>
    <x v="4"/>
    <x v="3"/>
    <x v="2"/>
    <x v="7"/>
    <x v="1"/>
  </r>
  <r>
    <x v="971"/>
    <d v="2025-08-25T00:00:00"/>
    <s v="C0159"/>
    <x v="7"/>
    <s v="P007"/>
    <n v="10"/>
    <n v="0.05"/>
    <x v="1"/>
    <x v="2"/>
    <x v="0"/>
    <n v="5499"/>
    <n v="3500"/>
    <n v="52240.5"/>
    <n v="35000"/>
    <x v="446"/>
    <n v="2749.5"/>
    <x v="11"/>
    <x v="0"/>
    <x v="1"/>
    <x v="1"/>
    <x v="2"/>
    <x v="7"/>
    <x v="1"/>
  </r>
  <r>
    <x v="972"/>
    <d v="2025-08-25T00:00:00"/>
    <s v="C0193"/>
    <x v="7"/>
    <s v="P007"/>
    <n v="6"/>
    <n v="0.05"/>
    <x v="1"/>
    <x v="2"/>
    <x v="0"/>
    <n v="5499"/>
    <n v="3500"/>
    <n v="31344.3"/>
    <n v="21000"/>
    <x v="417"/>
    <n v="1649.7"/>
    <x v="11"/>
    <x v="0"/>
    <x v="1"/>
    <x v="1"/>
    <x v="1"/>
    <x v="7"/>
    <x v="1"/>
  </r>
  <r>
    <x v="973"/>
    <d v="2025-08-26T00:00:00"/>
    <s v="C0005"/>
    <x v="7"/>
    <s v="P006"/>
    <n v="3"/>
    <n v="0.1"/>
    <x v="1"/>
    <x v="2"/>
    <x v="0"/>
    <n v="1799"/>
    <n v="1100"/>
    <n v="4857.3"/>
    <n v="3300"/>
    <x v="176"/>
    <n v="539.70000000000005"/>
    <x v="14"/>
    <x v="1"/>
    <x v="2"/>
    <x v="0"/>
    <x v="1"/>
    <x v="7"/>
    <x v="1"/>
  </r>
  <r>
    <x v="974"/>
    <d v="2025-08-26T00:00:00"/>
    <s v="C0022"/>
    <x v="7"/>
    <s v="P015"/>
    <n v="10"/>
    <n v="0.05"/>
    <x v="2"/>
    <x v="0"/>
    <x v="0"/>
    <n v="299"/>
    <n v="180"/>
    <n v="2840.5"/>
    <n v="1800"/>
    <x v="426"/>
    <n v="149.5"/>
    <x v="8"/>
    <x v="3"/>
    <x v="13"/>
    <x v="3"/>
    <x v="1"/>
    <x v="7"/>
    <x v="1"/>
  </r>
  <r>
    <x v="975"/>
    <d v="2025-08-27T00:00:00"/>
    <s v="C0088"/>
    <x v="7"/>
    <s v="P001"/>
    <n v="5"/>
    <n v="0"/>
    <x v="1"/>
    <x v="1"/>
    <x v="0"/>
    <n v="700"/>
    <n v="450"/>
    <n v="3500"/>
    <n v="2250"/>
    <x v="164"/>
    <n v="0"/>
    <x v="7"/>
    <x v="1"/>
    <x v="13"/>
    <x v="3"/>
    <x v="0"/>
    <x v="7"/>
    <x v="1"/>
  </r>
  <r>
    <x v="976"/>
    <d v="2025-08-28T00:00:00"/>
    <s v="C0066"/>
    <x v="7"/>
    <s v="P013"/>
    <n v="1"/>
    <n v="0"/>
    <x v="2"/>
    <x v="1"/>
    <x v="0"/>
    <n v="150"/>
    <n v="90"/>
    <n v="150"/>
    <n v="90"/>
    <x v="378"/>
    <n v="0"/>
    <x v="17"/>
    <x v="3"/>
    <x v="3"/>
    <x v="2"/>
    <x v="0"/>
    <x v="7"/>
    <x v="1"/>
  </r>
  <r>
    <x v="977"/>
    <d v="2025-08-30T00:00:00"/>
    <s v="C0047"/>
    <x v="7"/>
    <s v="P005"/>
    <n v="3"/>
    <n v="0.1"/>
    <x v="0"/>
    <x v="4"/>
    <x v="0"/>
    <n v="1299"/>
    <n v="800"/>
    <n v="3507.3"/>
    <n v="2400"/>
    <x v="424"/>
    <n v="389.70000000000005"/>
    <x v="12"/>
    <x v="1"/>
    <x v="1"/>
    <x v="1"/>
    <x v="1"/>
    <x v="7"/>
    <x v="1"/>
  </r>
  <r>
    <x v="978"/>
    <d v="2025-08-30T00:00:00"/>
    <s v="C0158"/>
    <x v="7"/>
    <s v="P002"/>
    <n v="4"/>
    <n v="0"/>
    <x v="0"/>
    <x v="0"/>
    <x v="0"/>
    <n v="1999"/>
    <n v="1200"/>
    <n v="7996"/>
    <n v="4800"/>
    <x v="166"/>
    <n v="0"/>
    <x v="19"/>
    <x v="1"/>
    <x v="4"/>
    <x v="3"/>
    <x v="0"/>
    <x v="7"/>
    <x v="1"/>
  </r>
  <r>
    <x v="979"/>
    <d v="2025-08-31T00:00:00"/>
    <s v="C0082"/>
    <x v="7"/>
    <s v="P004"/>
    <n v="2"/>
    <n v="0.05"/>
    <x v="0"/>
    <x v="3"/>
    <x v="0"/>
    <n v="1599"/>
    <n v="900"/>
    <n v="3038.1"/>
    <n v="1800"/>
    <x v="121"/>
    <n v="159.9"/>
    <x v="21"/>
    <x v="1"/>
    <x v="1"/>
    <x v="1"/>
    <x v="1"/>
    <x v="7"/>
    <x v="1"/>
  </r>
  <r>
    <x v="980"/>
    <d v="2025-08-31T00:00:00"/>
    <s v="C0052"/>
    <x v="7"/>
    <s v="P002"/>
    <n v="2"/>
    <n v="0.1"/>
    <x v="0"/>
    <x v="2"/>
    <x v="0"/>
    <n v="1999"/>
    <n v="1200"/>
    <n v="3598.2"/>
    <n v="2400"/>
    <x v="39"/>
    <n v="399.8"/>
    <x v="19"/>
    <x v="1"/>
    <x v="10"/>
    <x v="2"/>
    <x v="1"/>
    <x v="7"/>
    <x v="1"/>
  </r>
  <r>
    <x v="981"/>
    <d v="2025-09-01T00:00:00"/>
    <s v="C0099"/>
    <x v="8"/>
    <s v="P017"/>
    <n v="1"/>
    <n v="0"/>
    <x v="1"/>
    <x v="0"/>
    <x v="0"/>
    <n v="449"/>
    <n v="260"/>
    <n v="449"/>
    <n v="260"/>
    <x v="114"/>
    <n v="0"/>
    <x v="10"/>
    <x v="3"/>
    <x v="5"/>
    <x v="3"/>
    <x v="1"/>
    <x v="8"/>
    <x v="1"/>
  </r>
  <r>
    <x v="982"/>
    <d v="2025-09-01T00:00:00"/>
    <s v="C0124"/>
    <x v="8"/>
    <s v="P003"/>
    <n v="1"/>
    <n v="0.05"/>
    <x v="2"/>
    <x v="1"/>
    <x v="0"/>
    <n v="599"/>
    <n v="350"/>
    <n v="569.04999999999995"/>
    <n v="350"/>
    <x v="154"/>
    <n v="29.950000000000003"/>
    <x v="2"/>
    <x v="1"/>
    <x v="9"/>
    <x v="4"/>
    <x v="0"/>
    <x v="8"/>
    <x v="1"/>
  </r>
  <r>
    <x v="983"/>
    <d v="2025-09-02T00:00:00"/>
    <s v="C0151"/>
    <x v="8"/>
    <s v="P018"/>
    <n v="1"/>
    <n v="0"/>
    <x v="2"/>
    <x v="1"/>
    <x v="0"/>
    <n v="499"/>
    <n v="250"/>
    <n v="499"/>
    <n v="250"/>
    <x v="36"/>
    <n v="0"/>
    <x v="18"/>
    <x v="2"/>
    <x v="0"/>
    <x v="0"/>
    <x v="1"/>
    <x v="8"/>
    <x v="1"/>
  </r>
  <r>
    <x v="984"/>
    <d v="2025-09-02T00:00:00"/>
    <s v="C0105"/>
    <x v="8"/>
    <s v="P019"/>
    <n v="6"/>
    <n v="0"/>
    <x v="2"/>
    <x v="4"/>
    <x v="0"/>
    <n v="1199"/>
    <n v="600"/>
    <n v="7194"/>
    <n v="3600"/>
    <x v="237"/>
    <n v="0"/>
    <x v="15"/>
    <x v="2"/>
    <x v="10"/>
    <x v="2"/>
    <x v="0"/>
    <x v="8"/>
    <x v="1"/>
  </r>
  <r>
    <x v="985"/>
    <d v="2025-09-02T00:00:00"/>
    <s v="C0139"/>
    <x v="8"/>
    <s v="P012"/>
    <n v="2"/>
    <n v="0.1"/>
    <x v="0"/>
    <x v="2"/>
    <x v="0"/>
    <n v="320"/>
    <n v="220"/>
    <n v="576"/>
    <n v="440"/>
    <x v="30"/>
    <n v="64"/>
    <x v="5"/>
    <x v="3"/>
    <x v="3"/>
    <x v="2"/>
    <x v="0"/>
    <x v="8"/>
    <x v="1"/>
  </r>
  <r>
    <x v="986"/>
    <d v="2025-09-03T00:00:00"/>
    <s v="C0011"/>
    <x v="8"/>
    <s v="P015"/>
    <n v="1"/>
    <n v="0.1"/>
    <x v="1"/>
    <x v="1"/>
    <x v="3"/>
    <n v="299"/>
    <n v="180"/>
    <n v="269.10000000000002"/>
    <n v="180"/>
    <x v="292"/>
    <n v="29.900000000000002"/>
    <x v="8"/>
    <x v="3"/>
    <x v="1"/>
    <x v="1"/>
    <x v="1"/>
    <x v="8"/>
    <x v="1"/>
  </r>
  <r>
    <x v="987"/>
    <d v="2025-09-03T00:00:00"/>
    <s v="C0043"/>
    <x v="8"/>
    <s v="P021"/>
    <n v="1"/>
    <n v="0"/>
    <x v="0"/>
    <x v="2"/>
    <x v="3"/>
    <n v="1599"/>
    <n v="800"/>
    <n v="1599"/>
    <n v="800"/>
    <x v="57"/>
    <n v="0"/>
    <x v="9"/>
    <x v="2"/>
    <x v="10"/>
    <x v="2"/>
    <x v="1"/>
    <x v="8"/>
    <x v="1"/>
  </r>
  <r>
    <x v="988"/>
    <d v="2025-09-03T00:00:00"/>
    <s v="C0175"/>
    <x v="8"/>
    <s v="P009"/>
    <n v="5"/>
    <n v="0.2"/>
    <x v="2"/>
    <x v="2"/>
    <x v="0"/>
    <n v="4299"/>
    <n v="2800"/>
    <n v="17196"/>
    <n v="14000"/>
    <x v="166"/>
    <n v="4299"/>
    <x v="0"/>
    <x v="0"/>
    <x v="9"/>
    <x v="4"/>
    <x v="1"/>
    <x v="8"/>
    <x v="1"/>
  </r>
  <r>
    <x v="989"/>
    <d v="2025-09-03T00:00:00"/>
    <s v="C0073"/>
    <x v="8"/>
    <s v="P017"/>
    <n v="1"/>
    <n v="0"/>
    <x v="2"/>
    <x v="1"/>
    <x v="0"/>
    <n v="449"/>
    <n v="260"/>
    <n v="449"/>
    <n v="260"/>
    <x v="114"/>
    <n v="0"/>
    <x v="10"/>
    <x v="3"/>
    <x v="6"/>
    <x v="4"/>
    <x v="2"/>
    <x v="8"/>
    <x v="1"/>
  </r>
  <r>
    <x v="990"/>
    <d v="2025-09-04T00:00:00"/>
    <s v="C0102"/>
    <x v="8"/>
    <s v="P003"/>
    <n v="1"/>
    <n v="0.1"/>
    <x v="0"/>
    <x v="0"/>
    <x v="0"/>
    <n v="599"/>
    <n v="350"/>
    <n v="539.1"/>
    <n v="350"/>
    <x v="126"/>
    <n v="59.900000000000006"/>
    <x v="2"/>
    <x v="1"/>
    <x v="13"/>
    <x v="3"/>
    <x v="0"/>
    <x v="8"/>
    <x v="1"/>
  </r>
  <r>
    <x v="991"/>
    <d v="2025-09-04T00:00:00"/>
    <s v="C0157"/>
    <x v="8"/>
    <s v="P007"/>
    <n v="10"/>
    <n v="0.2"/>
    <x v="1"/>
    <x v="1"/>
    <x v="0"/>
    <n v="5499"/>
    <n v="3500"/>
    <n v="43992"/>
    <n v="35000"/>
    <x v="447"/>
    <n v="10998"/>
    <x v="11"/>
    <x v="0"/>
    <x v="2"/>
    <x v="1"/>
    <x v="1"/>
    <x v="8"/>
    <x v="1"/>
  </r>
  <r>
    <x v="992"/>
    <d v="2025-09-05T00:00:00"/>
    <s v="C0067"/>
    <x v="8"/>
    <s v="P021"/>
    <n v="6"/>
    <n v="0"/>
    <x v="0"/>
    <x v="1"/>
    <x v="0"/>
    <n v="1599"/>
    <n v="800"/>
    <n v="9594"/>
    <n v="4800"/>
    <x v="316"/>
    <n v="0"/>
    <x v="9"/>
    <x v="2"/>
    <x v="0"/>
    <x v="0"/>
    <x v="1"/>
    <x v="8"/>
    <x v="1"/>
  </r>
  <r>
    <x v="993"/>
    <d v="2025-09-05T00:00:00"/>
    <s v="C0118"/>
    <x v="8"/>
    <s v="P007"/>
    <n v="4"/>
    <n v="0"/>
    <x v="1"/>
    <x v="3"/>
    <x v="0"/>
    <n v="5499"/>
    <n v="3500"/>
    <n v="21996"/>
    <n v="14000"/>
    <x v="390"/>
    <n v="0"/>
    <x v="11"/>
    <x v="0"/>
    <x v="13"/>
    <x v="3"/>
    <x v="0"/>
    <x v="8"/>
    <x v="1"/>
  </r>
  <r>
    <x v="994"/>
    <d v="2025-09-06T00:00:00"/>
    <s v="C0122"/>
    <x v="8"/>
    <s v="P020"/>
    <n v="1"/>
    <n v="0.15"/>
    <x v="0"/>
    <x v="2"/>
    <x v="0"/>
    <n v="1799"/>
    <n v="900"/>
    <n v="1529.15"/>
    <n v="900"/>
    <x v="315"/>
    <n v="269.84999999999997"/>
    <x v="4"/>
    <x v="2"/>
    <x v="4"/>
    <x v="3"/>
    <x v="0"/>
    <x v="8"/>
    <x v="1"/>
  </r>
  <r>
    <x v="995"/>
    <d v="2025-09-08T00:00:00"/>
    <s v="C0196"/>
    <x v="8"/>
    <s v="P016"/>
    <n v="5"/>
    <n v="0.05"/>
    <x v="1"/>
    <x v="3"/>
    <x v="0"/>
    <n v="240"/>
    <n v="140"/>
    <n v="1140"/>
    <n v="700"/>
    <x v="412"/>
    <n v="60"/>
    <x v="16"/>
    <x v="3"/>
    <x v="0"/>
    <x v="0"/>
    <x v="0"/>
    <x v="8"/>
    <x v="1"/>
  </r>
  <r>
    <x v="996"/>
    <d v="2025-09-09T00:00:00"/>
    <s v="C0008"/>
    <x v="8"/>
    <s v="P018"/>
    <n v="6"/>
    <n v="0.1"/>
    <x v="0"/>
    <x v="2"/>
    <x v="0"/>
    <n v="499"/>
    <n v="250"/>
    <n v="2694.6"/>
    <n v="1500"/>
    <x v="329"/>
    <n v="299.40000000000003"/>
    <x v="18"/>
    <x v="2"/>
    <x v="5"/>
    <x v="3"/>
    <x v="1"/>
    <x v="8"/>
    <x v="1"/>
  </r>
  <r>
    <x v="997"/>
    <d v="2025-09-10T00:00:00"/>
    <s v="C0100"/>
    <x v="8"/>
    <s v="P012"/>
    <n v="2"/>
    <n v="0.1"/>
    <x v="2"/>
    <x v="3"/>
    <x v="0"/>
    <n v="320"/>
    <n v="220"/>
    <n v="576"/>
    <n v="440"/>
    <x v="30"/>
    <n v="64"/>
    <x v="5"/>
    <x v="3"/>
    <x v="6"/>
    <x v="4"/>
    <x v="0"/>
    <x v="8"/>
    <x v="1"/>
  </r>
  <r>
    <x v="998"/>
    <d v="2025-09-11T00:00:00"/>
    <s v="C0095"/>
    <x v="8"/>
    <s v="P015"/>
    <n v="2"/>
    <n v="0.05"/>
    <x v="2"/>
    <x v="1"/>
    <x v="0"/>
    <n v="299"/>
    <n v="180"/>
    <n v="568.1"/>
    <n v="360"/>
    <x v="430"/>
    <n v="29.900000000000002"/>
    <x v="8"/>
    <x v="3"/>
    <x v="11"/>
    <x v="3"/>
    <x v="1"/>
    <x v="8"/>
    <x v="1"/>
  </r>
  <r>
    <x v="999"/>
    <d v="2025-09-11T00:00:00"/>
    <s v="C0182"/>
    <x v="8"/>
    <s v="P022"/>
    <n v="4"/>
    <n v="0"/>
    <x v="1"/>
    <x v="1"/>
    <x v="0"/>
    <n v="899"/>
    <n v="450"/>
    <n v="3596"/>
    <n v="1800"/>
    <x v="373"/>
    <n v="0"/>
    <x v="6"/>
    <x v="2"/>
    <x v="0"/>
    <x v="0"/>
    <x v="1"/>
    <x v="8"/>
    <x v="1"/>
  </r>
  <r>
    <x v="1000"/>
    <d v="2025-09-11T00:00:00"/>
    <s v="C0060"/>
    <x v="8"/>
    <s v="P008"/>
    <n v="6"/>
    <n v="0.2"/>
    <x v="0"/>
    <x v="2"/>
    <x v="0"/>
    <n v="6499"/>
    <n v="4200"/>
    <n v="31195.200000000001"/>
    <n v="25200"/>
    <x v="448"/>
    <n v="7798.8"/>
    <x v="13"/>
    <x v="0"/>
    <x v="1"/>
    <x v="1"/>
    <x v="2"/>
    <x v="8"/>
    <x v="1"/>
  </r>
  <r>
    <x v="1001"/>
    <d v="2025-09-12T00:00:00"/>
    <s v="C0002"/>
    <x v="8"/>
    <s v="P007"/>
    <n v="2"/>
    <n v="0.2"/>
    <x v="2"/>
    <x v="1"/>
    <x v="0"/>
    <n v="5499"/>
    <n v="3500"/>
    <n v="8798.4"/>
    <n v="7000"/>
    <x v="251"/>
    <n v="2199.6"/>
    <x v="11"/>
    <x v="0"/>
    <x v="6"/>
    <x v="4"/>
    <x v="1"/>
    <x v="8"/>
    <x v="1"/>
  </r>
  <r>
    <x v="1002"/>
    <d v="2025-09-12T00:00:00"/>
    <s v="C0129"/>
    <x v="8"/>
    <s v="P019"/>
    <n v="6"/>
    <n v="0"/>
    <x v="1"/>
    <x v="2"/>
    <x v="0"/>
    <n v="1199"/>
    <n v="600"/>
    <n v="7194"/>
    <n v="3600"/>
    <x v="237"/>
    <n v="0"/>
    <x v="15"/>
    <x v="2"/>
    <x v="6"/>
    <x v="4"/>
    <x v="0"/>
    <x v="8"/>
    <x v="1"/>
  </r>
  <r>
    <x v="1003"/>
    <d v="2025-09-13T00:00:00"/>
    <s v="C0175"/>
    <x v="8"/>
    <s v="P022"/>
    <n v="2"/>
    <n v="0"/>
    <x v="2"/>
    <x v="4"/>
    <x v="0"/>
    <n v="899"/>
    <n v="450"/>
    <n v="1798"/>
    <n v="900"/>
    <x v="58"/>
    <n v="0"/>
    <x v="6"/>
    <x v="2"/>
    <x v="9"/>
    <x v="4"/>
    <x v="1"/>
    <x v="8"/>
    <x v="1"/>
  </r>
  <r>
    <x v="1004"/>
    <d v="2025-09-13T00:00:00"/>
    <s v="C0146"/>
    <x v="8"/>
    <s v="P009"/>
    <n v="2"/>
    <n v="0.15"/>
    <x v="0"/>
    <x v="4"/>
    <x v="0"/>
    <n v="4299"/>
    <n v="2800"/>
    <n v="7308.3"/>
    <n v="5600"/>
    <x v="282"/>
    <n v="1289.7"/>
    <x v="0"/>
    <x v="0"/>
    <x v="0"/>
    <x v="0"/>
    <x v="1"/>
    <x v="8"/>
    <x v="1"/>
  </r>
  <r>
    <x v="1005"/>
    <d v="2025-09-14T00:00:00"/>
    <s v="C0006"/>
    <x v="8"/>
    <s v="P022"/>
    <n v="10"/>
    <n v="0.05"/>
    <x v="0"/>
    <x v="3"/>
    <x v="0"/>
    <n v="899"/>
    <n v="450"/>
    <n v="8540.5"/>
    <n v="4500"/>
    <x v="407"/>
    <n v="449.5"/>
    <x v="6"/>
    <x v="2"/>
    <x v="0"/>
    <x v="0"/>
    <x v="1"/>
    <x v="8"/>
    <x v="1"/>
  </r>
  <r>
    <x v="1006"/>
    <d v="2025-09-15T00:00:00"/>
    <s v="C0165"/>
    <x v="8"/>
    <s v="P014"/>
    <n v="1"/>
    <n v="0.15"/>
    <x v="0"/>
    <x v="1"/>
    <x v="0"/>
    <n v="220"/>
    <n v="120"/>
    <n v="187"/>
    <n v="120"/>
    <x v="449"/>
    <n v="33"/>
    <x v="20"/>
    <x v="3"/>
    <x v="11"/>
    <x v="3"/>
    <x v="1"/>
    <x v="8"/>
    <x v="1"/>
  </r>
  <r>
    <x v="1007"/>
    <d v="2025-09-15T00:00:00"/>
    <s v="C0175"/>
    <x v="8"/>
    <s v="P004"/>
    <n v="10"/>
    <n v="0.05"/>
    <x v="2"/>
    <x v="4"/>
    <x v="0"/>
    <n v="1599"/>
    <n v="900"/>
    <n v="15190.5"/>
    <n v="9000"/>
    <x v="450"/>
    <n v="799.5"/>
    <x v="21"/>
    <x v="1"/>
    <x v="9"/>
    <x v="4"/>
    <x v="1"/>
    <x v="8"/>
    <x v="1"/>
  </r>
  <r>
    <x v="1008"/>
    <d v="2025-09-15T00:00:00"/>
    <s v="C0072"/>
    <x v="8"/>
    <s v="P002"/>
    <n v="5"/>
    <n v="0.05"/>
    <x v="0"/>
    <x v="4"/>
    <x v="0"/>
    <n v="1999"/>
    <n v="1200"/>
    <n v="9495.25"/>
    <n v="6000"/>
    <x v="83"/>
    <n v="499.75"/>
    <x v="19"/>
    <x v="1"/>
    <x v="2"/>
    <x v="1"/>
    <x v="1"/>
    <x v="8"/>
    <x v="1"/>
  </r>
  <r>
    <x v="1009"/>
    <d v="2025-09-16T00:00:00"/>
    <s v="C0021"/>
    <x v="8"/>
    <s v="P011"/>
    <n v="1"/>
    <n v="0.2"/>
    <x v="1"/>
    <x v="0"/>
    <x v="0"/>
    <n v="899"/>
    <n v="500"/>
    <n v="719.2"/>
    <n v="500"/>
    <x v="451"/>
    <n v="179.8"/>
    <x v="1"/>
    <x v="0"/>
    <x v="1"/>
    <x v="1"/>
    <x v="1"/>
    <x v="8"/>
    <x v="1"/>
  </r>
  <r>
    <x v="1010"/>
    <d v="2025-09-16T00:00:00"/>
    <s v="C0064"/>
    <x v="8"/>
    <s v="P003"/>
    <n v="2"/>
    <n v="0"/>
    <x v="1"/>
    <x v="3"/>
    <x v="0"/>
    <n v="599"/>
    <n v="350"/>
    <n v="1198"/>
    <n v="700"/>
    <x v="38"/>
    <n v="0"/>
    <x v="2"/>
    <x v="1"/>
    <x v="8"/>
    <x v="4"/>
    <x v="1"/>
    <x v="8"/>
    <x v="1"/>
  </r>
  <r>
    <x v="1011"/>
    <d v="2025-09-16T00:00:00"/>
    <s v="C0123"/>
    <x v="8"/>
    <s v="P001"/>
    <n v="5"/>
    <n v="0.1"/>
    <x v="1"/>
    <x v="1"/>
    <x v="0"/>
    <n v="700"/>
    <n v="450"/>
    <n v="3150"/>
    <n v="2250"/>
    <x v="309"/>
    <n v="350"/>
    <x v="7"/>
    <x v="1"/>
    <x v="4"/>
    <x v="3"/>
    <x v="1"/>
    <x v="8"/>
    <x v="1"/>
  </r>
  <r>
    <x v="1012"/>
    <d v="2025-09-16T00:00:00"/>
    <s v="C0064"/>
    <x v="8"/>
    <s v="P009"/>
    <n v="1"/>
    <n v="0.05"/>
    <x v="2"/>
    <x v="1"/>
    <x v="3"/>
    <n v="4299"/>
    <n v="2800"/>
    <n v="4084.05"/>
    <n v="2800"/>
    <x v="452"/>
    <n v="214.95000000000002"/>
    <x v="0"/>
    <x v="0"/>
    <x v="8"/>
    <x v="4"/>
    <x v="1"/>
    <x v="8"/>
    <x v="1"/>
  </r>
  <r>
    <x v="1013"/>
    <d v="2025-09-17T00:00:00"/>
    <s v="C0061"/>
    <x v="8"/>
    <s v="P017"/>
    <n v="1"/>
    <n v="0.1"/>
    <x v="2"/>
    <x v="0"/>
    <x v="0"/>
    <n v="449"/>
    <n v="260"/>
    <n v="404.1"/>
    <n v="260"/>
    <x v="453"/>
    <n v="44.900000000000006"/>
    <x v="10"/>
    <x v="3"/>
    <x v="0"/>
    <x v="0"/>
    <x v="0"/>
    <x v="8"/>
    <x v="1"/>
  </r>
  <r>
    <x v="1014"/>
    <d v="2025-09-20T00:00:00"/>
    <s v="C0032"/>
    <x v="8"/>
    <s v="P019"/>
    <n v="1"/>
    <n v="0.2"/>
    <x v="0"/>
    <x v="1"/>
    <x v="2"/>
    <n v="1199"/>
    <n v="600"/>
    <n v="959.2"/>
    <n v="600"/>
    <x v="454"/>
    <n v="239.8"/>
    <x v="15"/>
    <x v="2"/>
    <x v="0"/>
    <x v="0"/>
    <x v="0"/>
    <x v="8"/>
    <x v="1"/>
  </r>
  <r>
    <x v="1015"/>
    <d v="2025-09-21T00:00:00"/>
    <s v="C0033"/>
    <x v="8"/>
    <s v="P003"/>
    <n v="1"/>
    <n v="0.15"/>
    <x v="0"/>
    <x v="2"/>
    <x v="0"/>
    <n v="599"/>
    <n v="350"/>
    <n v="509.15"/>
    <n v="350"/>
    <x v="455"/>
    <n v="89.85"/>
    <x v="2"/>
    <x v="1"/>
    <x v="1"/>
    <x v="1"/>
    <x v="1"/>
    <x v="8"/>
    <x v="1"/>
  </r>
  <r>
    <x v="1016"/>
    <d v="2025-09-21T00:00:00"/>
    <s v="C0111"/>
    <x v="8"/>
    <s v="P021"/>
    <n v="1"/>
    <n v="0"/>
    <x v="2"/>
    <x v="1"/>
    <x v="0"/>
    <n v="1599"/>
    <n v="800"/>
    <n v="1599"/>
    <n v="800"/>
    <x v="57"/>
    <n v="0"/>
    <x v="9"/>
    <x v="2"/>
    <x v="7"/>
    <x v="4"/>
    <x v="2"/>
    <x v="8"/>
    <x v="1"/>
  </r>
  <r>
    <x v="1017"/>
    <d v="2025-09-21T00:00:00"/>
    <s v="C0103"/>
    <x v="8"/>
    <s v="P013"/>
    <n v="1"/>
    <n v="0.05"/>
    <x v="1"/>
    <x v="2"/>
    <x v="0"/>
    <n v="150"/>
    <n v="90"/>
    <n v="142.5"/>
    <n v="90"/>
    <x v="35"/>
    <n v="7.5"/>
    <x v="17"/>
    <x v="3"/>
    <x v="6"/>
    <x v="4"/>
    <x v="0"/>
    <x v="8"/>
    <x v="1"/>
  </r>
  <r>
    <x v="1018"/>
    <d v="2025-09-22T00:00:00"/>
    <s v="C0117"/>
    <x v="8"/>
    <s v="P001"/>
    <n v="5"/>
    <n v="0.05"/>
    <x v="1"/>
    <x v="2"/>
    <x v="0"/>
    <n v="700"/>
    <n v="450"/>
    <n v="3325"/>
    <n v="2250"/>
    <x v="456"/>
    <n v="175"/>
    <x v="7"/>
    <x v="1"/>
    <x v="8"/>
    <x v="4"/>
    <x v="1"/>
    <x v="8"/>
    <x v="1"/>
  </r>
  <r>
    <x v="1019"/>
    <d v="2025-09-22T00:00:00"/>
    <s v="C0087"/>
    <x v="8"/>
    <s v="P004"/>
    <n v="1"/>
    <n v="0.05"/>
    <x v="2"/>
    <x v="3"/>
    <x v="0"/>
    <n v="1599"/>
    <n v="900"/>
    <n v="1519.05"/>
    <n v="900"/>
    <x v="285"/>
    <n v="79.95"/>
    <x v="21"/>
    <x v="1"/>
    <x v="7"/>
    <x v="4"/>
    <x v="1"/>
    <x v="8"/>
    <x v="1"/>
  </r>
  <r>
    <x v="1020"/>
    <d v="2025-09-24T00:00:00"/>
    <s v="C0004"/>
    <x v="8"/>
    <s v="P004"/>
    <n v="1"/>
    <n v="0.05"/>
    <x v="1"/>
    <x v="4"/>
    <x v="0"/>
    <n v="1599"/>
    <n v="900"/>
    <n v="1519.05"/>
    <n v="900"/>
    <x v="285"/>
    <n v="79.95"/>
    <x v="21"/>
    <x v="1"/>
    <x v="1"/>
    <x v="1"/>
    <x v="1"/>
    <x v="8"/>
    <x v="1"/>
  </r>
  <r>
    <x v="1021"/>
    <d v="2025-09-24T00:00:00"/>
    <s v="C0131"/>
    <x v="8"/>
    <s v="P021"/>
    <n v="3"/>
    <n v="0"/>
    <x v="1"/>
    <x v="0"/>
    <x v="0"/>
    <n v="1599"/>
    <n v="800"/>
    <n v="4797"/>
    <n v="2400"/>
    <x v="178"/>
    <n v="0"/>
    <x v="9"/>
    <x v="2"/>
    <x v="10"/>
    <x v="2"/>
    <x v="0"/>
    <x v="8"/>
    <x v="1"/>
  </r>
  <r>
    <x v="1022"/>
    <d v="2025-09-24T00:00:00"/>
    <s v="C0063"/>
    <x v="8"/>
    <s v="P006"/>
    <n v="2"/>
    <n v="0.1"/>
    <x v="0"/>
    <x v="2"/>
    <x v="0"/>
    <n v="1799"/>
    <n v="1100"/>
    <n v="3238.2"/>
    <n v="2200"/>
    <x v="346"/>
    <n v="359.8"/>
    <x v="14"/>
    <x v="1"/>
    <x v="6"/>
    <x v="4"/>
    <x v="1"/>
    <x v="8"/>
    <x v="1"/>
  </r>
  <r>
    <x v="1023"/>
    <d v="2025-09-24T00:00:00"/>
    <s v="C0132"/>
    <x v="8"/>
    <s v="P014"/>
    <n v="4"/>
    <n v="0"/>
    <x v="2"/>
    <x v="4"/>
    <x v="2"/>
    <n v="220"/>
    <n v="120"/>
    <n v="880"/>
    <n v="480"/>
    <x v="457"/>
    <n v="0"/>
    <x v="20"/>
    <x v="3"/>
    <x v="3"/>
    <x v="2"/>
    <x v="0"/>
    <x v="8"/>
    <x v="1"/>
  </r>
  <r>
    <x v="1024"/>
    <d v="2025-09-25T00:00:00"/>
    <s v="C0080"/>
    <x v="8"/>
    <s v="P016"/>
    <n v="4"/>
    <n v="0"/>
    <x v="1"/>
    <x v="2"/>
    <x v="1"/>
    <n v="240"/>
    <n v="140"/>
    <n v="960"/>
    <n v="560"/>
    <x v="457"/>
    <n v="0"/>
    <x v="16"/>
    <x v="3"/>
    <x v="0"/>
    <x v="0"/>
    <x v="1"/>
    <x v="8"/>
    <x v="1"/>
  </r>
  <r>
    <x v="1025"/>
    <d v="2025-09-26T00:00:00"/>
    <s v="C0174"/>
    <x v="8"/>
    <s v="P022"/>
    <n v="2"/>
    <n v="0"/>
    <x v="1"/>
    <x v="3"/>
    <x v="0"/>
    <n v="899"/>
    <n v="450"/>
    <n v="1798"/>
    <n v="900"/>
    <x v="58"/>
    <n v="0"/>
    <x v="6"/>
    <x v="2"/>
    <x v="0"/>
    <x v="0"/>
    <x v="0"/>
    <x v="8"/>
    <x v="1"/>
  </r>
  <r>
    <x v="1026"/>
    <d v="2025-09-26T00:00:00"/>
    <s v="C0089"/>
    <x v="8"/>
    <s v="P014"/>
    <n v="2"/>
    <n v="0.2"/>
    <x v="2"/>
    <x v="3"/>
    <x v="0"/>
    <n v="220"/>
    <n v="120"/>
    <n v="352"/>
    <n v="240"/>
    <x v="458"/>
    <n v="88"/>
    <x v="20"/>
    <x v="3"/>
    <x v="7"/>
    <x v="4"/>
    <x v="1"/>
    <x v="8"/>
    <x v="1"/>
  </r>
  <r>
    <x v="1027"/>
    <d v="2025-09-27T00:00:00"/>
    <s v="C0049"/>
    <x v="8"/>
    <s v="P011"/>
    <n v="6"/>
    <n v="0.1"/>
    <x v="1"/>
    <x v="1"/>
    <x v="1"/>
    <n v="899"/>
    <n v="500"/>
    <n v="4854.6000000000004"/>
    <n v="3000"/>
    <x v="1"/>
    <n v="539.4"/>
    <x v="1"/>
    <x v="0"/>
    <x v="6"/>
    <x v="4"/>
    <x v="0"/>
    <x v="8"/>
    <x v="1"/>
  </r>
  <r>
    <x v="1028"/>
    <d v="2025-09-27T00:00:00"/>
    <s v="C0145"/>
    <x v="8"/>
    <s v="P019"/>
    <n v="4"/>
    <n v="0.05"/>
    <x v="2"/>
    <x v="3"/>
    <x v="0"/>
    <n v="1199"/>
    <n v="600"/>
    <n v="4556.2"/>
    <n v="2400"/>
    <x v="384"/>
    <n v="239.8"/>
    <x v="15"/>
    <x v="2"/>
    <x v="6"/>
    <x v="4"/>
    <x v="1"/>
    <x v="8"/>
    <x v="1"/>
  </r>
  <r>
    <x v="1029"/>
    <d v="2025-09-28T00:00:00"/>
    <s v="C0011"/>
    <x v="8"/>
    <s v="P015"/>
    <n v="6"/>
    <n v="0"/>
    <x v="2"/>
    <x v="4"/>
    <x v="0"/>
    <n v="299"/>
    <n v="180"/>
    <n v="1794"/>
    <n v="1080"/>
    <x v="241"/>
    <n v="0"/>
    <x v="8"/>
    <x v="3"/>
    <x v="1"/>
    <x v="1"/>
    <x v="1"/>
    <x v="8"/>
    <x v="1"/>
  </r>
  <r>
    <x v="1030"/>
    <d v="2025-09-29T00:00:00"/>
    <s v="C0160"/>
    <x v="8"/>
    <s v="P015"/>
    <n v="2"/>
    <n v="0"/>
    <x v="0"/>
    <x v="0"/>
    <x v="0"/>
    <n v="299"/>
    <n v="180"/>
    <n v="598"/>
    <n v="360"/>
    <x v="82"/>
    <n v="0"/>
    <x v="8"/>
    <x v="3"/>
    <x v="2"/>
    <x v="1"/>
    <x v="1"/>
    <x v="8"/>
    <x v="1"/>
  </r>
  <r>
    <x v="1031"/>
    <d v="2025-09-29T00:00:00"/>
    <s v="C0103"/>
    <x v="8"/>
    <s v="P007"/>
    <n v="2"/>
    <n v="0.1"/>
    <x v="2"/>
    <x v="3"/>
    <x v="0"/>
    <n v="5499"/>
    <n v="3500"/>
    <n v="9898.2000000000007"/>
    <n v="7000"/>
    <x v="265"/>
    <n v="1099.8"/>
    <x v="11"/>
    <x v="0"/>
    <x v="6"/>
    <x v="4"/>
    <x v="0"/>
    <x v="8"/>
    <x v="1"/>
  </r>
  <r>
    <x v="1032"/>
    <d v="2025-09-30T00:00:00"/>
    <s v="C0008"/>
    <x v="8"/>
    <s v="P012"/>
    <n v="10"/>
    <n v="0"/>
    <x v="2"/>
    <x v="2"/>
    <x v="0"/>
    <n v="320"/>
    <n v="220"/>
    <n v="3200"/>
    <n v="2200"/>
    <x v="136"/>
    <n v="0"/>
    <x v="5"/>
    <x v="3"/>
    <x v="5"/>
    <x v="3"/>
    <x v="1"/>
    <x v="8"/>
    <x v="1"/>
  </r>
  <r>
    <x v="1033"/>
    <d v="2025-10-01T00:00:00"/>
    <s v="C0012"/>
    <x v="9"/>
    <s v="P012"/>
    <n v="1"/>
    <n v="0"/>
    <x v="0"/>
    <x v="4"/>
    <x v="0"/>
    <n v="320"/>
    <n v="220"/>
    <n v="320"/>
    <n v="220"/>
    <x v="234"/>
    <n v="0"/>
    <x v="5"/>
    <x v="3"/>
    <x v="4"/>
    <x v="3"/>
    <x v="1"/>
    <x v="9"/>
    <x v="1"/>
  </r>
  <r>
    <x v="1034"/>
    <d v="2025-10-01T00:00:00"/>
    <s v="C0142"/>
    <x v="9"/>
    <s v="P011"/>
    <n v="2"/>
    <n v="0"/>
    <x v="0"/>
    <x v="3"/>
    <x v="0"/>
    <n v="899"/>
    <n v="500"/>
    <n v="1798"/>
    <n v="1000"/>
    <x v="268"/>
    <n v="0"/>
    <x v="1"/>
    <x v="0"/>
    <x v="3"/>
    <x v="2"/>
    <x v="1"/>
    <x v="9"/>
    <x v="1"/>
  </r>
  <r>
    <x v="1035"/>
    <d v="2025-10-01T00:00:00"/>
    <s v="C0174"/>
    <x v="9"/>
    <s v="P001"/>
    <n v="2"/>
    <n v="0.1"/>
    <x v="0"/>
    <x v="4"/>
    <x v="2"/>
    <n v="700"/>
    <n v="450"/>
    <n v="1260"/>
    <n v="900"/>
    <x v="101"/>
    <n v="140"/>
    <x v="7"/>
    <x v="1"/>
    <x v="0"/>
    <x v="0"/>
    <x v="0"/>
    <x v="9"/>
    <x v="1"/>
  </r>
  <r>
    <x v="1036"/>
    <d v="2025-10-02T00:00:00"/>
    <s v="C0117"/>
    <x v="9"/>
    <s v="P010"/>
    <n v="2"/>
    <n v="0.1"/>
    <x v="1"/>
    <x v="2"/>
    <x v="0"/>
    <n v="4599"/>
    <n v="3000"/>
    <n v="8278.2000000000007"/>
    <n v="6000"/>
    <x v="431"/>
    <n v="919.80000000000007"/>
    <x v="3"/>
    <x v="0"/>
    <x v="8"/>
    <x v="4"/>
    <x v="1"/>
    <x v="9"/>
    <x v="1"/>
  </r>
  <r>
    <x v="1037"/>
    <d v="2025-10-02T00:00:00"/>
    <s v="C0183"/>
    <x v="9"/>
    <s v="P014"/>
    <n v="1"/>
    <n v="0"/>
    <x v="2"/>
    <x v="4"/>
    <x v="3"/>
    <n v="220"/>
    <n v="120"/>
    <n v="220"/>
    <n v="120"/>
    <x v="234"/>
    <n v="0"/>
    <x v="20"/>
    <x v="3"/>
    <x v="0"/>
    <x v="0"/>
    <x v="2"/>
    <x v="9"/>
    <x v="1"/>
  </r>
  <r>
    <x v="1038"/>
    <d v="2025-10-02T00:00:00"/>
    <s v="C0097"/>
    <x v="9"/>
    <s v="P018"/>
    <n v="4"/>
    <n v="0.05"/>
    <x v="2"/>
    <x v="3"/>
    <x v="1"/>
    <n v="499"/>
    <n v="250"/>
    <n v="1896.2"/>
    <n v="1000"/>
    <x v="459"/>
    <n v="99.800000000000011"/>
    <x v="18"/>
    <x v="2"/>
    <x v="1"/>
    <x v="1"/>
    <x v="0"/>
    <x v="9"/>
    <x v="1"/>
  </r>
  <r>
    <x v="1039"/>
    <d v="2025-10-03T00:00:00"/>
    <s v="C0151"/>
    <x v="9"/>
    <s v="P020"/>
    <n v="4"/>
    <n v="0"/>
    <x v="2"/>
    <x v="3"/>
    <x v="0"/>
    <n v="1799"/>
    <n v="900"/>
    <n v="7196"/>
    <n v="3600"/>
    <x v="394"/>
    <n v="0"/>
    <x v="4"/>
    <x v="2"/>
    <x v="0"/>
    <x v="0"/>
    <x v="1"/>
    <x v="9"/>
    <x v="1"/>
  </r>
  <r>
    <x v="1040"/>
    <d v="2025-10-04T00:00:00"/>
    <s v="C0072"/>
    <x v="9"/>
    <s v="P021"/>
    <n v="4"/>
    <n v="0.2"/>
    <x v="2"/>
    <x v="3"/>
    <x v="2"/>
    <n v="1599"/>
    <n v="800"/>
    <n v="5116.8"/>
    <n v="3200"/>
    <x v="460"/>
    <n v="1279.2"/>
    <x v="9"/>
    <x v="2"/>
    <x v="2"/>
    <x v="1"/>
    <x v="1"/>
    <x v="9"/>
    <x v="1"/>
  </r>
  <r>
    <x v="1041"/>
    <d v="2025-10-04T00:00:00"/>
    <s v="C0170"/>
    <x v="9"/>
    <s v="P016"/>
    <n v="1"/>
    <n v="0.05"/>
    <x v="1"/>
    <x v="2"/>
    <x v="0"/>
    <n v="240"/>
    <n v="140"/>
    <n v="228"/>
    <n v="140"/>
    <x v="135"/>
    <n v="12"/>
    <x v="16"/>
    <x v="3"/>
    <x v="2"/>
    <x v="0"/>
    <x v="0"/>
    <x v="9"/>
    <x v="1"/>
  </r>
  <r>
    <x v="1042"/>
    <d v="2025-10-05T00:00:00"/>
    <s v="C0128"/>
    <x v="9"/>
    <s v="P012"/>
    <n v="10"/>
    <n v="0"/>
    <x v="1"/>
    <x v="0"/>
    <x v="0"/>
    <n v="320"/>
    <n v="220"/>
    <n v="3200"/>
    <n v="2200"/>
    <x v="136"/>
    <n v="0"/>
    <x v="5"/>
    <x v="3"/>
    <x v="2"/>
    <x v="0"/>
    <x v="0"/>
    <x v="9"/>
    <x v="1"/>
  </r>
  <r>
    <x v="1043"/>
    <d v="2025-10-05T00:00:00"/>
    <s v="C0122"/>
    <x v="9"/>
    <s v="P016"/>
    <n v="6"/>
    <n v="0.05"/>
    <x v="1"/>
    <x v="3"/>
    <x v="3"/>
    <n v="240"/>
    <n v="140"/>
    <n v="1368"/>
    <n v="840"/>
    <x v="461"/>
    <n v="72"/>
    <x v="16"/>
    <x v="3"/>
    <x v="4"/>
    <x v="3"/>
    <x v="0"/>
    <x v="9"/>
    <x v="1"/>
  </r>
  <r>
    <x v="1044"/>
    <d v="2025-10-05T00:00:00"/>
    <s v="C0057"/>
    <x v="9"/>
    <s v="P007"/>
    <n v="2"/>
    <n v="0.15"/>
    <x v="0"/>
    <x v="0"/>
    <x v="0"/>
    <n v="5499"/>
    <n v="3500"/>
    <n v="9348.2999999999993"/>
    <n v="7000"/>
    <x v="462"/>
    <n v="1649.7"/>
    <x v="11"/>
    <x v="0"/>
    <x v="13"/>
    <x v="3"/>
    <x v="1"/>
    <x v="9"/>
    <x v="1"/>
  </r>
  <r>
    <x v="1045"/>
    <d v="2025-10-06T00:00:00"/>
    <s v="C0147"/>
    <x v="9"/>
    <s v="P013"/>
    <n v="2"/>
    <n v="0"/>
    <x v="2"/>
    <x v="1"/>
    <x v="0"/>
    <n v="150"/>
    <n v="90"/>
    <n v="300"/>
    <n v="180"/>
    <x v="46"/>
    <n v="0"/>
    <x v="17"/>
    <x v="3"/>
    <x v="4"/>
    <x v="3"/>
    <x v="1"/>
    <x v="9"/>
    <x v="1"/>
  </r>
  <r>
    <x v="1046"/>
    <d v="2025-10-07T00:00:00"/>
    <s v="C0133"/>
    <x v="9"/>
    <s v="P015"/>
    <n v="4"/>
    <n v="0.05"/>
    <x v="1"/>
    <x v="1"/>
    <x v="0"/>
    <n v="299"/>
    <n v="180"/>
    <n v="1136.2"/>
    <n v="720"/>
    <x v="29"/>
    <n v="59.800000000000004"/>
    <x v="8"/>
    <x v="3"/>
    <x v="8"/>
    <x v="4"/>
    <x v="1"/>
    <x v="9"/>
    <x v="1"/>
  </r>
  <r>
    <x v="1047"/>
    <d v="2025-10-08T00:00:00"/>
    <s v="C0116"/>
    <x v="9"/>
    <s v="P014"/>
    <n v="6"/>
    <n v="0.05"/>
    <x v="0"/>
    <x v="1"/>
    <x v="0"/>
    <n v="220"/>
    <n v="120"/>
    <n v="1254"/>
    <n v="720"/>
    <x v="463"/>
    <n v="66"/>
    <x v="20"/>
    <x v="3"/>
    <x v="1"/>
    <x v="1"/>
    <x v="0"/>
    <x v="9"/>
    <x v="1"/>
  </r>
  <r>
    <x v="1048"/>
    <d v="2025-10-08T00:00:00"/>
    <s v="C0007"/>
    <x v="9"/>
    <s v="P013"/>
    <n v="2"/>
    <n v="0"/>
    <x v="0"/>
    <x v="3"/>
    <x v="0"/>
    <n v="150"/>
    <n v="90"/>
    <n v="300"/>
    <n v="180"/>
    <x v="46"/>
    <n v="0"/>
    <x v="17"/>
    <x v="3"/>
    <x v="7"/>
    <x v="4"/>
    <x v="0"/>
    <x v="9"/>
    <x v="1"/>
  </r>
  <r>
    <x v="1049"/>
    <d v="2025-10-08T00:00:00"/>
    <s v="C0129"/>
    <x v="9"/>
    <s v="P010"/>
    <n v="20"/>
    <n v="0.05"/>
    <x v="2"/>
    <x v="3"/>
    <x v="0"/>
    <n v="4599"/>
    <n v="3000"/>
    <n v="87381"/>
    <n v="60000"/>
    <x v="464"/>
    <n v="4599"/>
    <x v="3"/>
    <x v="0"/>
    <x v="6"/>
    <x v="4"/>
    <x v="0"/>
    <x v="9"/>
    <x v="1"/>
  </r>
  <r>
    <x v="1050"/>
    <d v="2025-10-08T00:00:00"/>
    <s v="C0019"/>
    <x v="9"/>
    <s v="P004"/>
    <n v="4"/>
    <n v="0.05"/>
    <x v="1"/>
    <x v="1"/>
    <x v="0"/>
    <n v="1599"/>
    <n v="900"/>
    <n v="6076.2"/>
    <n v="3600"/>
    <x v="320"/>
    <n v="319.8"/>
    <x v="21"/>
    <x v="1"/>
    <x v="0"/>
    <x v="0"/>
    <x v="1"/>
    <x v="9"/>
    <x v="1"/>
  </r>
  <r>
    <x v="1051"/>
    <d v="2025-10-09T00:00:00"/>
    <s v="C0078"/>
    <x v="9"/>
    <s v="P009"/>
    <n v="3"/>
    <n v="0.1"/>
    <x v="1"/>
    <x v="2"/>
    <x v="1"/>
    <n v="4299"/>
    <n v="2800"/>
    <n v="11607.3"/>
    <n v="8400"/>
    <x v="105"/>
    <n v="1289.7"/>
    <x v="0"/>
    <x v="0"/>
    <x v="2"/>
    <x v="1"/>
    <x v="1"/>
    <x v="9"/>
    <x v="1"/>
  </r>
  <r>
    <x v="1052"/>
    <d v="2025-10-10T00:00:00"/>
    <s v="C0003"/>
    <x v="9"/>
    <s v="P009"/>
    <n v="3"/>
    <n v="0.1"/>
    <x v="0"/>
    <x v="0"/>
    <x v="0"/>
    <n v="4299"/>
    <n v="2800"/>
    <n v="11607.3"/>
    <n v="8400"/>
    <x v="105"/>
    <n v="1289.7"/>
    <x v="0"/>
    <x v="0"/>
    <x v="0"/>
    <x v="0"/>
    <x v="1"/>
    <x v="9"/>
    <x v="1"/>
  </r>
  <r>
    <x v="1053"/>
    <d v="2025-10-10T00:00:00"/>
    <s v="C0194"/>
    <x v="9"/>
    <s v="P019"/>
    <n v="1"/>
    <n v="0.1"/>
    <x v="2"/>
    <x v="0"/>
    <x v="1"/>
    <n v="1199"/>
    <n v="600"/>
    <n v="1079.0999999999999"/>
    <n v="600"/>
    <x v="365"/>
    <n v="119.9"/>
    <x v="15"/>
    <x v="2"/>
    <x v="6"/>
    <x v="4"/>
    <x v="0"/>
    <x v="9"/>
    <x v="1"/>
  </r>
  <r>
    <x v="1054"/>
    <d v="2025-10-10T00:00:00"/>
    <s v="C0059"/>
    <x v="9"/>
    <s v="P008"/>
    <n v="2"/>
    <n v="0"/>
    <x v="1"/>
    <x v="0"/>
    <x v="0"/>
    <n v="6499"/>
    <n v="4200"/>
    <n v="12998"/>
    <n v="8400"/>
    <x v="187"/>
    <n v="0"/>
    <x v="13"/>
    <x v="0"/>
    <x v="7"/>
    <x v="4"/>
    <x v="2"/>
    <x v="9"/>
    <x v="1"/>
  </r>
  <r>
    <x v="1055"/>
    <d v="2025-10-10T00:00:00"/>
    <s v="C0088"/>
    <x v="9"/>
    <s v="P015"/>
    <n v="1"/>
    <n v="0.1"/>
    <x v="1"/>
    <x v="0"/>
    <x v="0"/>
    <n v="299"/>
    <n v="180"/>
    <n v="269.10000000000002"/>
    <n v="180"/>
    <x v="292"/>
    <n v="29.900000000000002"/>
    <x v="8"/>
    <x v="3"/>
    <x v="13"/>
    <x v="3"/>
    <x v="0"/>
    <x v="9"/>
    <x v="1"/>
  </r>
  <r>
    <x v="1056"/>
    <d v="2025-10-12T00:00:00"/>
    <s v="C0113"/>
    <x v="9"/>
    <s v="P007"/>
    <n v="12"/>
    <n v="0"/>
    <x v="2"/>
    <x v="1"/>
    <x v="0"/>
    <n v="5499"/>
    <n v="3500"/>
    <n v="65988"/>
    <n v="42000"/>
    <x v="465"/>
    <n v="0"/>
    <x v="11"/>
    <x v="0"/>
    <x v="11"/>
    <x v="3"/>
    <x v="0"/>
    <x v="9"/>
    <x v="1"/>
  </r>
  <r>
    <x v="1057"/>
    <d v="2025-10-12T00:00:00"/>
    <s v="C0128"/>
    <x v="9"/>
    <s v="P001"/>
    <n v="4"/>
    <n v="0"/>
    <x v="0"/>
    <x v="2"/>
    <x v="0"/>
    <n v="700"/>
    <n v="450"/>
    <n v="2800"/>
    <n v="1800"/>
    <x v="136"/>
    <n v="0"/>
    <x v="7"/>
    <x v="1"/>
    <x v="2"/>
    <x v="0"/>
    <x v="0"/>
    <x v="9"/>
    <x v="1"/>
  </r>
  <r>
    <x v="1058"/>
    <d v="2025-10-12T00:00:00"/>
    <s v="C0084"/>
    <x v="9"/>
    <s v="P010"/>
    <n v="2"/>
    <n v="0.1"/>
    <x v="2"/>
    <x v="1"/>
    <x v="3"/>
    <n v="4599"/>
    <n v="3000"/>
    <n v="8278.2000000000007"/>
    <n v="6000"/>
    <x v="431"/>
    <n v="919.80000000000007"/>
    <x v="3"/>
    <x v="0"/>
    <x v="12"/>
    <x v="2"/>
    <x v="0"/>
    <x v="9"/>
    <x v="1"/>
  </r>
  <r>
    <x v="1059"/>
    <d v="2025-10-12T00:00:00"/>
    <s v="C0162"/>
    <x v="9"/>
    <s v="P019"/>
    <n v="5"/>
    <n v="0"/>
    <x v="1"/>
    <x v="0"/>
    <x v="0"/>
    <n v="1199"/>
    <n v="600"/>
    <n v="5995"/>
    <n v="3000"/>
    <x v="355"/>
    <n v="0"/>
    <x v="15"/>
    <x v="2"/>
    <x v="4"/>
    <x v="3"/>
    <x v="2"/>
    <x v="9"/>
    <x v="1"/>
  </r>
  <r>
    <x v="1060"/>
    <d v="2025-10-13T00:00:00"/>
    <s v="C0122"/>
    <x v="9"/>
    <s v="P007"/>
    <n v="1"/>
    <n v="0.05"/>
    <x v="0"/>
    <x v="3"/>
    <x v="0"/>
    <n v="5499"/>
    <n v="3500"/>
    <n v="5224.05"/>
    <n v="3500"/>
    <x v="84"/>
    <n v="274.95"/>
    <x v="11"/>
    <x v="0"/>
    <x v="4"/>
    <x v="3"/>
    <x v="0"/>
    <x v="9"/>
    <x v="1"/>
  </r>
  <r>
    <x v="1061"/>
    <d v="2025-10-15T00:00:00"/>
    <s v="C0027"/>
    <x v="9"/>
    <s v="P006"/>
    <n v="10"/>
    <n v="0"/>
    <x v="0"/>
    <x v="3"/>
    <x v="0"/>
    <n v="1799"/>
    <n v="1100"/>
    <n v="17990"/>
    <n v="11000"/>
    <x v="53"/>
    <n v="0"/>
    <x v="14"/>
    <x v="1"/>
    <x v="11"/>
    <x v="3"/>
    <x v="1"/>
    <x v="9"/>
    <x v="1"/>
  </r>
  <r>
    <x v="1062"/>
    <d v="2025-10-15T00:00:00"/>
    <s v="C0051"/>
    <x v="9"/>
    <s v="P006"/>
    <n v="1"/>
    <n v="0"/>
    <x v="1"/>
    <x v="2"/>
    <x v="0"/>
    <n v="1799"/>
    <n v="1100"/>
    <n v="1799"/>
    <n v="1100"/>
    <x v="107"/>
    <n v="0"/>
    <x v="14"/>
    <x v="1"/>
    <x v="13"/>
    <x v="3"/>
    <x v="1"/>
    <x v="9"/>
    <x v="1"/>
  </r>
  <r>
    <x v="1063"/>
    <d v="2025-10-15T00:00:00"/>
    <s v="C0117"/>
    <x v="9"/>
    <s v="P003"/>
    <n v="1"/>
    <n v="0.05"/>
    <x v="0"/>
    <x v="0"/>
    <x v="0"/>
    <n v="599"/>
    <n v="350"/>
    <n v="569.04999999999995"/>
    <n v="350"/>
    <x v="154"/>
    <n v="29.950000000000003"/>
    <x v="2"/>
    <x v="1"/>
    <x v="8"/>
    <x v="4"/>
    <x v="1"/>
    <x v="9"/>
    <x v="1"/>
  </r>
  <r>
    <x v="1064"/>
    <d v="2025-10-16T00:00:00"/>
    <s v="C0029"/>
    <x v="9"/>
    <s v="P006"/>
    <n v="4"/>
    <n v="0.05"/>
    <x v="0"/>
    <x v="4"/>
    <x v="0"/>
    <n v="1799"/>
    <n v="1100"/>
    <n v="6836.2"/>
    <n v="4400"/>
    <x v="185"/>
    <n v="359.8"/>
    <x v="14"/>
    <x v="1"/>
    <x v="2"/>
    <x v="1"/>
    <x v="1"/>
    <x v="9"/>
    <x v="1"/>
  </r>
  <r>
    <x v="1065"/>
    <d v="2025-10-16T00:00:00"/>
    <s v="C0053"/>
    <x v="9"/>
    <s v="P005"/>
    <n v="3"/>
    <n v="0.1"/>
    <x v="2"/>
    <x v="2"/>
    <x v="0"/>
    <n v="1299"/>
    <n v="800"/>
    <n v="3507.3"/>
    <n v="2400"/>
    <x v="424"/>
    <n v="389.70000000000005"/>
    <x v="12"/>
    <x v="1"/>
    <x v="0"/>
    <x v="0"/>
    <x v="1"/>
    <x v="9"/>
    <x v="1"/>
  </r>
  <r>
    <x v="1066"/>
    <d v="2025-10-16T00:00:00"/>
    <s v="C0080"/>
    <x v="9"/>
    <s v="P019"/>
    <n v="4"/>
    <n v="0.1"/>
    <x v="2"/>
    <x v="3"/>
    <x v="0"/>
    <n v="1199"/>
    <n v="600"/>
    <n v="4316.3999999999996"/>
    <n v="2400"/>
    <x v="360"/>
    <n v="479.6"/>
    <x v="15"/>
    <x v="2"/>
    <x v="0"/>
    <x v="0"/>
    <x v="1"/>
    <x v="9"/>
    <x v="1"/>
  </r>
  <r>
    <x v="1067"/>
    <d v="2025-10-17T00:00:00"/>
    <s v="C0115"/>
    <x v="9"/>
    <s v="P005"/>
    <n v="1"/>
    <n v="0.05"/>
    <x v="0"/>
    <x v="2"/>
    <x v="0"/>
    <n v="1299"/>
    <n v="800"/>
    <n v="1234.05"/>
    <n v="800"/>
    <x v="277"/>
    <n v="64.95"/>
    <x v="12"/>
    <x v="1"/>
    <x v="8"/>
    <x v="4"/>
    <x v="0"/>
    <x v="9"/>
    <x v="1"/>
  </r>
  <r>
    <x v="1068"/>
    <d v="2025-10-18T00:00:00"/>
    <s v="C0118"/>
    <x v="9"/>
    <s v="P016"/>
    <n v="12"/>
    <n v="0"/>
    <x v="1"/>
    <x v="0"/>
    <x v="0"/>
    <n v="240"/>
    <n v="140"/>
    <n v="2880"/>
    <n v="1680"/>
    <x v="466"/>
    <n v="0"/>
    <x v="16"/>
    <x v="3"/>
    <x v="13"/>
    <x v="3"/>
    <x v="0"/>
    <x v="9"/>
    <x v="1"/>
  </r>
  <r>
    <x v="1069"/>
    <d v="2025-10-19T00:00:00"/>
    <s v="C0180"/>
    <x v="9"/>
    <s v="P012"/>
    <n v="3"/>
    <n v="0.05"/>
    <x v="2"/>
    <x v="0"/>
    <x v="0"/>
    <n v="320"/>
    <n v="220"/>
    <n v="912"/>
    <n v="660"/>
    <x v="293"/>
    <n v="48"/>
    <x v="5"/>
    <x v="3"/>
    <x v="3"/>
    <x v="2"/>
    <x v="1"/>
    <x v="9"/>
    <x v="1"/>
  </r>
  <r>
    <x v="1070"/>
    <d v="2025-10-20T00:00:00"/>
    <s v="C0046"/>
    <x v="9"/>
    <s v="P008"/>
    <n v="5"/>
    <n v="0"/>
    <x v="1"/>
    <x v="2"/>
    <x v="0"/>
    <n v="6499"/>
    <n v="4200"/>
    <n v="32495"/>
    <n v="21000"/>
    <x v="158"/>
    <n v="0"/>
    <x v="13"/>
    <x v="0"/>
    <x v="11"/>
    <x v="3"/>
    <x v="1"/>
    <x v="9"/>
    <x v="1"/>
  </r>
  <r>
    <x v="1071"/>
    <d v="2025-10-20T00:00:00"/>
    <s v="C0101"/>
    <x v="9"/>
    <s v="P004"/>
    <n v="1"/>
    <n v="0.15"/>
    <x v="1"/>
    <x v="2"/>
    <x v="0"/>
    <n v="1599"/>
    <n v="900"/>
    <n v="1359.15"/>
    <n v="900"/>
    <x v="267"/>
    <n v="239.85"/>
    <x v="21"/>
    <x v="1"/>
    <x v="5"/>
    <x v="3"/>
    <x v="0"/>
    <x v="9"/>
    <x v="1"/>
  </r>
  <r>
    <x v="1072"/>
    <d v="2025-10-20T00:00:00"/>
    <s v="C0171"/>
    <x v="9"/>
    <s v="P010"/>
    <n v="2"/>
    <n v="0.1"/>
    <x v="0"/>
    <x v="0"/>
    <x v="2"/>
    <n v="4599"/>
    <n v="3000"/>
    <n v="8278.2000000000007"/>
    <n v="6000"/>
    <x v="431"/>
    <n v="919.80000000000007"/>
    <x v="3"/>
    <x v="0"/>
    <x v="2"/>
    <x v="1"/>
    <x v="0"/>
    <x v="9"/>
    <x v="1"/>
  </r>
  <r>
    <x v="1073"/>
    <d v="2025-10-20T00:00:00"/>
    <s v="C0032"/>
    <x v="9"/>
    <s v="P018"/>
    <n v="4"/>
    <n v="0.1"/>
    <x v="0"/>
    <x v="0"/>
    <x v="0"/>
    <n v="499"/>
    <n v="250"/>
    <n v="1796.4"/>
    <n v="1000"/>
    <x v="243"/>
    <n v="199.60000000000002"/>
    <x v="18"/>
    <x v="2"/>
    <x v="0"/>
    <x v="0"/>
    <x v="0"/>
    <x v="9"/>
    <x v="1"/>
  </r>
  <r>
    <x v="1074"/>
    <d v="2025-10-20T00:00:00"/>
    <s v="C0043"/>
    <x v="9"/>
    <s v="P015"/>
    <n v="3"/>
    <n v="0.05"/>
    <x v="2"/>
    <x v="0"/>
    <x v="0"/>
    <n v="299"/>
    <n v="180"/>
    <n v="852.15"/>
    <n v="540"/>
    <x v="201"/>
    <n v="44.85"/>
    <x v="8"/>
    <x v="3"/>
    <x v="10"/>
    <x v="2"/>
    <x v="1"/>
    <x v="9"/>
    <x v="1"/>
  </r>
  <r>
    <x v="1075"/>
    <d v="2025-10-22T00:00:00"/>
    <s v="C0088"/>
    <x v="9"/>
    <s v="P013"/>
    <n v="5"/>
    <n v="0"/>
    <x v="2"/>
    <x v="4"/>
    <x v="0"/>
    <n v="150"/>
    <n v="90"/>
    <n v="750"/>
    <n v="450"/>
    <x v="258"/>
    <n v="0"/>
    <x v="17"/>
    <x v="3"/>
    <x v="13"/>
    <x v="3"/>
    <x v="0"/>
    <x v="9"/>
    <x v="1"/>
  </r>
  <r>
    <x v="1076"/>
    <d v="2025-10-22T00:00:00"/>
    <s v="C0172"/>
    <x v="9"/>
    <s v="P011"/>
    <n v="6"/>
    <n v="0.05"/>
    <x v="1"/>
    <x v="4"/>
    <x v="0"/>
    <n v="899"/>
    <n v="500"/>
    <n v="5124.3"/>
    <n v="3000"/>
    <x v="65"/>
    <n v="269.7"/>
    <x v="1"/>
    <x v="0"/>
    <x v="9"/>
    <x v="4"/>
    <x v="2"/>
    <x v="9"/>
    <x v="1"/>
  </r>
  <r>
    <x v="1077"/>
    <d v="2025-10-22T00:00:00"/>
    <s v="C0036"/>
    <x v="9"/>
    <s v="P015"/>
    <n v="6"/>
    <n v="0.1"/>
    <x v="2"/>
    <x v="2"/>
    <x v="0"/>
    <n v="299"/>
    <n v="180"/>
    <n v="1614.6"/>
    <n v="1080"/>
    <x v="310"/>
    <n v="179.4"/>
    <x v="8"/>
    <x v="3"/>
    <x v="12"/>
    <x v="2"/>
    <x v="1"/>
    <x v="9"/>
    <x v="1"/>
  </r>
  <r>
    <x v="1078"/>
    <d v="2025-10-23T00:00:00"/>
    <s v="C0046"/>
    <x v="9"/>
    <s v="P004"/>
    <n v="3"/>
    <n v="0.05"/>
    <x v="2"/>
    <x v="3"/>
    <x v="0"/>
    <n v="1599"/>
    <n v="900"/>
    <n v="4557.1499999999996"/>
    <n v="2700"/>
    <x v="229"/>
    <n v="239.85000000000002"/>
    <x v="21"/>
    <x v="1"/>
    <x v="11"/>
    <x v="3"/>
    <x v="1"/>
    <x v="9"/>
    <x v="1"/>
  </r>
  <r>
    <x v="1079"/>
    <d v="2025-10-23T00:00:00"/>
    <s v="C0070"/>
    <x v="9"/>
    <s v="P022"/>
    <n v="2"/>
    <n v="0"/>
    <x v="2"/>
    <x v="2"/>
    <x v="0"/>
    <n v="899"/>
    <n v="450"/>
    <n v="1798"/>
    <n v="900"/>
    <x v="58"/>
    <n v="0"/>
    <x v="6"/>
    <x v="2"/>
    <x v="10"/>
    <x v="2"/>
    <x v="2"/>
    <x v="9"/>
    <x v="1"/>
  </r>
  <r>
    <x v="1080"/>
    <d v="2025-10-23T00:00:00"/>
    <s v="C0114"/>
    <x v="9"/>
    <s v="P007"/>
    <n v="2"/>
    <n v="0.1"/>
    <x v="1"/>
    <x v="3"/>
    <x v="0"/>
    <n v="5499"/>
    <n v="3500"/>
    <n v="9898.2000000000007"/>
    <n v="7000"/>
    <x v="265"/>
    <n v="1099.8"/>
    <x v="11"/>
    <x v="0"/>
    <x v="12"/>
    <x v="2"/>
    <x v="2"/>
    <x v="9"/>
    <x v="1"/>
  </r>
  <r>
    <x v="1081"/>
    <d v="2025-10-24T00:00:00"/>
    <s v="C0177"/>
    <x v="9"/>
    <s v="P013"/>
    <n v="3"/>
    <n v="0"/>
    <x v="0"/>
    <x v="4"/>
    <x v="0"/>
    <n v="150"/>
    <n v="90"/>
    <n v="450"/>
    <n v="270"/>
    <x v="359"/>
    <n v="0"/>
    <x v="17"/>
    <x v="3"/>
    <x v="11"/>
    <x v="3"/>
    <x v="0"/>
    <x v="9"/>
    <x v="1"/>
  </r>
  <r>
    <x v="1082"/>
    <d v="2025-10-24T00:00:00"/>
    <s v="C0096"/>
    <x v="9"/>
    <s v="P008"/>
    <n v="2"/>
    <n v="0"/>
    <x v="2"/>
    <x v="1"/>
    <x v="0"/>
    <n v="6499"/>
    <n v="4200"/>
    <n v="12998"/>
    <n v="8400"/>
    <x v="187"/>
    <n v="0"/>
    <x v="13"/>
    <x v="0"/>
    <x v="2"/>
    <x v="1"/>
    <x v="1"/>
    <x v="9"/>
    <x v="1"/>
  </r>
  <r>
    <x v="1083"/>
    <d v="2025-10-25T00:00:00"/>
    <s v="C0175"/>
    <x v="9"/>
    <s v="P007"/>
    <n v="1"/>
    <n v="0.2"/>
    <x v="1"/>
    <x v="4"/>
    <x v="0"/>
    <n v="5499"/>
    <n v="3500"/>
    <n v="4399.2"/>
    <n v="3500"/>
    <x v="467"/>
    <n v="1099.8"/>
    <x v="11"/>
    <x v="0"/>
    <x v="9"/>
    <x v="4"/>
    <x v="1"/>
    <x v="9"/>
    <x v="1"/>
  </r>
  <r>
    <x v="1084"/>
    <d v="2025-10-25T00:00:00"/>
    <s v="C0012"/>
    <x v="9"/>
    <s v="P006"/>
    <n v="10"/>
    <n v="0"/>
    <x v="1"/>
    <x v="4"/>
    <x v="0"/>
    <n v="1799"/>
    <n v="1100"/>
    <n v="17990"/>
    <n v="11000"/>
    <x v="53"/>
    <n v="0"/>
    <x v="14"/>
    <x v="1"/>
    <x v="4"/>
    <x v="3"/>
    <x v="1"/>
    <x v="9"/>
    <x v="1"/>
  </r>
  <r>
    <x v="1085"/>
    <d v="2025-10-25T00:00:00"/>
    <s v="C0054"/>
    <x v="9"/>
    <s v="P020"/>
    <n v="10"/>
    <n v="0.15"/>
    <x v="2"/>
    <x v="3"/>
    <x v="0"/>
    <n v="1799"/>
    <n v="900"/>
    <n v="15291.5"/>
    <n v="9000"/>
    <x v="468"/>
    <n v="2698.5"/>
    <x v="4"/>
    <x v="2"/>
    <x v="10"/>
    <x v="2"/>
    <x v="1"/>
    <x v="9"/>
    <x v="1"/>
  </r>
  <r>
    <x v="1086"/>
    <d v="2025-10-26T00:00:00"/>
    <s v="C0083"/>
    <x v="9"/>
    <s v="P012"/>
    <n v="2"/>
    <n v="0.05"/>
    <x v="0"/>
    <x v="4"/>
    <x v="0"/>
    <n v="320"/>
    <n v="220"/>
    <n v="608"/>
    <n v="440"/>
    <x v="130"/>
    <n v="32"/>
    <x v="5"/>
    <x v="3"/>
    <x v="3"/>
    <x v="2"/>
    <x v="1"/>
    <x v="9"/>
    <x v="1"/>
  </r>
  <r>
    <x v="1087"/>
    <d v="2025-10-27T00:00:00"/>
    <s v="C0057"/>
    <x v="9"/>
    <s v="P015"/>
    <n v="2"/>
    <n v="0.1"/>
    <x v="0"/>
    <x v="3"/>
    <x v="0"/>
    <n v="299"/>
    <n v="180"/>
    <n v="538.20000000000005"/>
    <n v="360"/>
    <x v="131"/>
    <n v="59.800000000000004"/>
    <x v="8"/>
    <x v="3"/>
    <x v="13"/>
    <x v="3"/>
    <x v="1"/>
    <x v="9"/>
    <x v="1"/>
  </r>
  <r>
    <x v="1088"/>
    <d v="2025-10-27T00:00:00"/>
    <s v="C0056"/>
    <x v="9"/>
    <s v="P003"/>
    <n v="5"/>
    <n v="0.1"/>
    <x v="2"/>
    <x v="2"/>
    <x v="0"/>
    <n v="599"/>
    <n v="350"/>
    <n v="2695.5"/>
    <n v="1750"/>
    <x v="469"/>
    <n v="299.5"/>
    <x v="2"/>
    <x v="1"/>
    <x v="1"/>
    <x v="1"/>
    <x v="1"/>
    <x v="9"/>
    <x v="1"/>
  </r>
  <r>
    <x v="1089"/>
    <d v="2025-10-28T00:00:00"/>
    <s v="C0044"/>
    <x v="9"/>
    <s v="P019"/>
    <n v="3"/>
    <n v="0.05"/>
    <x v="1"/>
    <x v="0"/>
    <x v="1"/>
    <n v="1199"/>
    <n v="600"/>
    <n v="3417.15"/>
    <n v="1800"/>
    <x v="445"/>
    <n v="179.85000000000002"/>
    <x v="15"/>
    <x v="2"/>
    <x v="2"/>
    <x v="0"/>
    <x v="2"/>
    <x v="9"/>
    <x v="1"/>
  </r>
  <r>
    <x v="1090"/>
    <d v="2025-10-29T00:00:00"/>
    <s v="C0198"/>
    <x v="9"/>
    <s v="P022"/>
    <n v="2"/>
    <n v="0"/>
    <x v="1"/>
    <x v="1"/>
    <x v="0"/>
    <n v="899"/>
    <n v="450"/>
    <n v="1798"/>
    <n v="900"/>
    <x v="58"/>
    <n v="0"/>
    <x v="6"/>
    <x v="2"/>
    <x v="8"/>
    <x v="4"/>
    <x v="0"/>
    <x v="9"/>
    <x v="1"/>
  </r>
  <r>
    <x v="1091"/>
    <d v="2025-10-29T00:00:00"/>
    <s v="C0124"/>
    <x v="9"/>
    <s v="P022"/>
    <n v="1"/>
    <n v="0"/>
    <x v="0"/>
    <x v="0"/>
    <x v="2"/>
    <n v="899"/>
    <n v="450"/>
    <n v="899"/>
    <n v="450"/>
    <x v="152"/>
    <n v="0"/>
    <x v="6"/>
    <x v="2"/>
    <x v="9"/>
    <x v="4"/>
    <x v="0"/>
    <x v="9"/>
    <x v="1"/>
  </r>
  <r>
    <x v="1092"/>
    <d v="2025-10-29T00:00:00"/>
    <s v="C0164"/>
    <x v="9"/>
    <s v="P017"/>
    <n v="4"/>
    <n v="0.05"/>
    <x v="2"/>
    <x v="3"/>
    <x v="1"/>
    <n v="449"/>
    <n v="260"/>
    <n v="1706.2"/>
    <n v="1040"/>
    <x v="318"/>
    <n v="89.800000000000011"/>
    <x v="10"/>
    <x v="3"/>
    <x v="1"/>
    <x v="1"/>
    <x v="2"/>
    <x v="9"/>
    <x v="1"/>
  </r>
  <r>
    <x v="1093"/>
    <d v="2025-11-01T00:00:00"/>
    <s v="C0195"/>
    <x v="10"/>
    <s v="P020"/>
    <n v="1"/>
    <n v="0"/>
    <x v="2"/>
    <x v="2"/>
    <x v="0"/>
    <n v="1799"/>
    <n v="900"/>
    <n v="1799"/>
    <n v="900"/>
    <x v="37"/>
    <n v="0"/>
    <x v="4"/>
    <x v="2"/>
    <x v="10"/>
    <x v="2"/>
    <x v="1"/>
    <x v="10"/>
    <x v="1"/>
  </r>
  <r>
    <x v="1094"/>
    <d v="2025-11-01T00:00:00"/>
    <s v="C0016"/>
    <x v="10"/>
    <s v="P003"/>
    <n v="2"/>
    <n v="0.05"/>
    <x v="0"/>
    <x v="4"/>
    <x v="0"/>
    <n v="599"/>
    <n v="350"/>
    <n v="1138.0999999999999"/>
    <n v="700"/>
    <x v="470"/>
    <n v="59.900000000000006"/>
    <x v="2"/>
    <x v="1"/>
    <x v="1"/>
    <x v="1"/>
    <x v="1"/>
    <x v="10"/>
    <x v="1"/>
  </r>
  <r>
    <x v="1095"/>
    <d v="2025-11-01T00:00:00"/>
    <s v="C0010"/>
    <x v="10"/>
    <s v="P021"/>
    <n v="4"/>
    <n v="0.05"/>
    <x v="1"/>
    <x v="1"/>
    <x v="3"/>
    <n v="1599"/>
    <n v="800"/>
    <n v="6076.2"/>
    <n v="3200"/>
    <x v="15"/>
    <n v="319.8"/>
    <x v="9"/>
    <x v="2"/>
    <x v="11"/>
    <x v="3"/>
    <x v="1"/>
    <x v="10"/>
    <x v="1"/>
  </r>
  <r>
    <x v="1096"/>
    <d v="2025-11-02T00:00:00"/>
    <s v="C0072"/>
    <x v="10"/>
    <s v="P005"/>
    <n v="8"/>
    <n v="0.1"/>
    <x v="0"/>
    <x v="1"/>
    <x v="0"/>
    <n v="1299"/>
    <n v="800"/>
    <n v="9352.7999999999993"/>
    <n v="6400"/>
    <x v="471"/>
    <n v="1039.2"/>
    <x v="12"/>
    <x v="1"/>
    <x v="2"/>
    <x v="1"/>
    <x v="1"/>
    <x v="10"/>
    <x v="1"/>
  </r>
  <r>
    <x v="1097"/>
    <d v="2025-11-02T00:00:00"/>
    <s v="C0059"/>
    <x v="10"/>
    <s v="P001"/>
    <n v="4"/>
    <n v="0"/>
    <x v="1"/>
    <x v="4"/>
    <x v="0"/>
    <n v="700"/>
    <n v="450"/>
    <n v="2800"/>
    <n v="1800"/>
    <x v="136"/>
    <n v="0"/>
    <x v="7"/>
    <x v="1"/>
    <x v="7"/>
    <x v="4"/>
    <x v="2"/>
    <x v="10"/>
    <x v="1"/>
  </r>
  <r>
    <x v="1098"/>
    <d v="2025-11-02T00:00:00"/>
    <s v="C0179"/>
    <x v="10"/>
    <s v="P022"/>
    <n v="4"/>
    <n v="0.15"/>
    <x v="2"/>
    <x v="0"/>
    <x v="0"/>
    <n v="899"/>
    <n v="450"/>
    <n v="3056.6"/>
    <n v="1800"/>
    <x v="472"/>
    <n v="539.4"/>
    <x v="6"/>
    <x v="2"/>
    <x v="5"/>
    <x v="3"/>
    <x v="2"/>
    <x v="10"/>
    <x v="1"/>
  </r>
  <r>
    <x v="1099"/>
    <d v="2025-11-03T00:00:00"/>
    <s v="C0002"/>
    <x v="10"/>
    <s v="P021"/>
    <n v="1"/>
    <n v="0"/>
    <x v="1"/>
    <x v="4"/>
    <x v="0"/>
    <n v="1599"/>
    <n v="800"/>
    <n v="1599"/>
    <n v="800"/>
    <x v="57"/>
    <n v="0"/>
    <x v="9"/>
    <x v="2"/>
    <x v="6"/>
    <x v="4"/>
    <x v="1"/>
    <x v="10"/>
    <x v="1"/>
  </r>
  <r>
    <x v="1100"/>
    <d v="2025-11-03T00:00:00"/>
    <s v="C0033"/>
    <x v="10"/>
    <s v="P007"/>
    <n v="1"/>
    <n v="0.05"/>
    <x v="2"/>
    <x v="4"/>
    <x v="0"/>
    <n v="5499"/>
    <n v="3500"/>
    <n v="5224.05"/>
    <n v="3500"/>
    <x v="84"/>
    <n v="274.95"/>
    <x v="11"/>
    <x v="0"/>
    <x v="1"/>
    <x v="1"/>
    <x v="1"/>
    <x v="10"/>
    <x v="1"/>
  </r>
  <r>
    <x v="1101"/>
    <d v="2025-11-03T00:00:00"/>
    <s v="C0021"/>
    <x v="10"/>
    <s v="P017"/>
    <n v="10"/>
    <n v="0.05"/>
    <x v="2"/>
    <x v="4"/>
    <x v="0"/>
    <n v="449"/>
    <n v="260"/>
    <n v="4265.5"/>
    <n v="2600"/>
    <x v="240"/>
    <n v="224.5"/>
    <x v="10"/>
    <x v="3"/>
    <x v="1"/>
    <x v="1"/>
    <x v="1"/>
    <x v="10"/>
    <x v="1"/>
  </r>
  <r>
    <x v="1102"/>
    <d v="2025-11-04T00:00:00"/>
    <s v="C0046"/>
    <x v="10"/>
    <s v="P014"/>
    <n v="2"/>
    <n v="0"/>
    <x v="1"/>
    <x v="4"/>
    <x v="0"/>
    <n v="220"/>
    <n v="120"/>
    <n v="440"/>
    <n v="240"/>
    <x v="88"/>
    <n v="0"/>
    <x v="20"/>
    <x v="3"/>
    <x v="11"/>
    <x v="3"/>
    <x v="1"/>
    <x v="10"/>
    <x v="1"/>
  </r>
  <r>
    <x v="1103"/>
    <d v="2025-11-04T00:00:00"/>
    <s v="C0124"/>
    <x v="10"/>
    <s v="P009"/>
    <n v="1"/>
    <n v="0"/>
    <x v="0"/>
    <x v="0"/>
    <x v="0"/>
    <n v="4299"/>
    <n v="2800"/>
    <n v="4299"/>
    <n v="2800"/>
    <x v="413"/>
    <n v="0"/>
    <x v="0"/>
    <x v="0"/>
    <x v="9"/>
    <x v="4"/>
    <x v="0"/>
    <x v="10"/>
    <x v="1"/>
  </r>
  <r>
    <x v="1104"/>
    <d v="2025-11-04T00:00:00"/>
    <s v="C0157"/>
    <x v="10"/>
    <s v="P017"/>
    <n v="5"/>
    <n v="0.1"/>
    <x v="2"/>
    <x v="0"/>
    <x v="0"/>
    <n v="449"/>
    <n v="260"/>
    <n v="2020.5"/>
    <n v="1300"/>
    <x v="18"/>
    <n v="224.5"/>
    <x v="10"/>
    <x v="3"/>
    <x v="2"/>
    <x v="1"/>
    <x v="1"/>
    <x v="10"/>
    <x v="1"/>
  </r>
  <r>
    <x v="1105"/>
    <d v="2025-11-05T00:00:00"/>
    <s v="C0022"/>
    <x v="10"/>
    <s v="P014"/>
    <n v="6"/>
    <n v="0.05"/>
    <x v="2"/>
    <x v="1"/>
    <x v="0"/>
    <n v="220"/>
    <n v="120"/>
    <n v="1254"/>
    <n v="720"/>
    <x v="463"/>
    <n v="66"/>
    <x v="20"/>
    <x v="3"/>
    <x v="13"/>
    <x v="3"/>
    <x v="1"/>
    <x v="10"/>
    <x v="1"/>
  </r>
  <r>
    <x v="1106"/>
    <d v="2025-11-05T00:00:00"/>
    <s v="C0119"/>
    <x v="10"/>
    <s v="P013"/>
    <n v="3"/>
    <n v="0"/>
    <x v="0"/>
    <x v="3"/>
    <x v="0"/>
    <n v="150"/>
    <n v="90"/>
    <n v="450"/>
    <n v="270"/>
    <x v="359"/>
    <n v="0"/>
    <x v="17"/>
    <x v="3"/>
    <x v="1"/>
    <x v="1"/>
    <x v="1"/>
    <x v="10"/>
    <x v="1"/>
  </r>
  <r>
    <x v="1107"/>
    <d v="2025-11-06T00:00:00"/>
    <s v="C0035"/>
    <x v="10"/>
    <s v="P011"/>
    <n v="6"/>
    <n v="0"/>
    <x v="2"/>
    <x v="2"/>
    <x v="0"/>
    <n v="899"/>
    <n v="500"/>
    <n v="5394"/>
    <n v="3000"/>
    <x v="224"/>
    <n v="0"/>
    <x v="1"/>
    <x v="0"/>
    <x v="12"/>
    <x v="2"/>
    <x v="0"/>
    <x v="10"/>
    <x v="1"/>
  </r>
  <r>
    <x v="1108"/>
    <d v="2025-11-06T00:00:00"/>
    <s v="C0126"/>
    <x v="10"/>
    <s v="P012"/>
    <n v="5"/>
    <n v="0.15"/>
    <x v="0"/>
    <x v="0"/>
    <x v="1"/>
    <n v="320"/>
    <n v="220"/>
    <n v="1360"/>
    <n v="1100"/>
    <x v="473"/>
    <n v="240"/>
    <x v="5"/>
    <x v="3"/>
    <x v="8"/>
    <x v="4"/>
    <x v="0"/>
    <x v="10"/>
    <x v="1"/>
  </r>
  <r>
    <x v="1109"/>
    <d v="2025-11-07T00:00:00"/>
    <s v="C0079"/>
    <x v="10"/>
    <s v="P016"/>
    <n v="1"/>
    <n v="0.15"/>
    <x v="2"/>
    <x v="0"/>
    <x v="1"/>
    <n v="240"/>
    <n v="140"/>
    <n v="204"/>
    <n v="140"/>
    <x v="108"/>
    <n v="36"/>
    <x v="16"/>
    <x v="3"/>
    <x v="1"/>
    <x v="1"/>
    <x v="0"/>
    <x v="10"/>
    <x v="1"/>
  </r>
  <r>
    <x v="1110"/>
    <d v="2025-11-07T00:00:00"/>
    <s v="C0042"/>
    <x v="10"/>
    <s v="P019"/>
    <n v="2"/>
    <n v="0.2"/>
    <x v="1"/>
    <x v="1"/>
    <x v="0"/>
    <n v="1199"/>
    <n v="600"/>
    <n v="1918.4"/>
    <n v="1200"/>
    <x v="239"/>
    <n v="479.6"/>
    <x v="15"/>
    <x v="2"/>
    <x v="1"/>
    <x v="1"/>
    <x v="1"/>
    <x v="10"/>
    <x v="1"/>
  </r>
  <r>
    <x v="1111"/>
    <d v="2025-11-08T00:00:00"/>
    <s v="C0182"/>
    <x v="10"/>
    <s v="P017"/>
    <n v="12"/>
    <n v="0.1"/>
    <x v="1"/>
    <x v="0"/>
    <x v="0"/>
    <n v="449"/>
    <n v="260"/>
    <n v="4849.2"/>
    <n v="3120"/>
    <x v="474"/>
    <n v="538.80000000000007"/>
    <x v="10"/>
    <x v="3"/>
    <x v="0"/>
    <x v="0"/>
    <x v="1"/>
    <x v="10"/>
    <x v="1"/>
  </r>
  <r>
    <x v="1112"/>
    <d v="2025-11-08T00:00:00"/>
    <s v="C0189"/>
    <x v="10"/>
    <s v="P014"/>
    <n v="2"/>
    <n v="0.05"/>
    <x v="0"/>
    <x v="3"/>
    <x v="3"/>
    <n v="220"/>
    <n v="120"/>
    <n v="418"/>
    <n v="240"/>
    <x v="319"/>
    <n v="22"/>
    <x v="20"/>
    <x v="3"/>
    <x v="7"/>
    <x v="4"/>
    <x v="1"/>
    <x v="10"/>
    <x v="1"/>
  </r>
  <r>
    <x v="1113"/>
    <d v="2025-11-08T00:00:00"/>
    <s v="C0166"/>
    <x v="10"/>
    <s v="P022"/>
    <n v="2"/>
    <n v="0.05"/>
    <x v="2"/>
    <x v="1"/>
    <x v="3"/>
    <n v="899"/>
    <n v="450"/>
    <n v="1708.1"/>
    <n v="900"/>
    <x v="127"/>
    <n v="89.9"/>
    <x v="6"/>
    <x v="2"/>
    <x v="1"/>
    <x v="1"/>
    <x v="1"/>
    <x v="10"/>
    <x v="1"/>
  </r>
  <r>
    <x v="1114"/>
    <d v="2025-11-09T00:00:00"/>
    <s v="C0155"/>
    <x v="10"/>
    <s v="P008"/>
    <n v="2"/>
    <n v="0"/>
    <x v="1"/>
    <x v="0"/>
    <x v="0"/>
    <n v="6499"/>
    <n v="4200"/>
    <n v="12998"/>
    <n v="8400"/>
    <x v="187"/>
    <n v="0"/>
    <x v="13"/>
    <x v="0"/>
    <x v="5"/>
    <x v="3"/>
    <x v="1"/>
    <x v="10"/>
    <x v="1"/>
  </r>
  <r>
    <x v="1115"/>
    <d v="2025-11-09T00:00:00"/>
    <s v="C0181"/>
    <x v="10"/>
    <s v="P013"/>
    <n v="2"/>
    <n v="0.15"/>
    <x v="2"/>
    <x v="0"/>
    <x v="2"/>
    <n v="150"/>
    <n v="90"/>
    <n v="255"/>
    <n v="180"/>
    <x v="62"/>
    <n v="45"/>
    <x v="17"/>
    <x v="3"/>
    <x v="12"/>
    <x v="2"/>
    <x v="0"/>
    <x v="10"/>
    <x v="1"/>
  </r>
  <r>
    <x v="1116"/>
    <d v="2025-11-09T00:00:00"/>
    <s v="C0178"/>
    <x v="10"/>
    <s v="P009"/>
    <n v="6"/>
    <n v="0.2"/>
    <x v="0"/>
    <x v="2"/>
    <x v="0"/>
    <n v="4299"/>
    <n v="2800"/>
    <n v="20635.2"/>
    <n v="16800"/>
    <x v="323"/>
    <n v="5158.8"/>
    <x v="0"/>
    <x v="0"/>
    <x v="1"/>
    <x v="1"/>
    <x v="1"/>
    <x v="10"/>
    <x v="1"/>
  </r>
  <r>
    <x v="1117"/>
    <d v="2025-11-10T00:00:00"/>
    <s v="C0188"/>
    <x v="10"/>
    <s v="P010"/>
    <n v="10"/>
    <n v="0.15"/>
    <x v="1"/>
    <x v="1"/>
    <x v="0"/>
    <n v="4599"/>
    <n v="3000"/>
    <n v="39091.5"/>
    <n v="30000"/>
    <x v="475"/>
    <n v="6898.5"/>
    <x v="3"/>
    <x v="0"/>
    <x v="7"/>
    <x v="4"/>
    <x v="2"/>
    <x v="10"/>
    <x v="1"/>
  </r>
  <r>
    <x v="1118"/>
    <d v="2025-11-10T00:00:00"/>
    <s v="C0069"/>
    <x v="10"/>
    <s v="P005"/>
    <n v="4"/>
    <n v="0"/>
    <x v="2"/>
    <x v="0"/>
    <x v="0"/>
    <n v="1299"/>
    <n v="800"/>
    <n v="5196"/>
    <n v="3200"/>
    <x v="98"/>
    <n v="0"/>
    <x v="12"/>
    <x v="1"/>
    <x v="1"/>
    <x v="1"/>
    <x v="1"/>
    <x v="10"/>
    <x v="1"/>
  </r>
  <r>
    <x v="1119"/>
    <d v="2025-11-11T00:00:00"/>
    <s v="C0025"/>
    <x v="10"/>
    <s v="P001"/>
    <n v="2"/>
    <n v="0.05"/>
    <x v="0"/>
    <x v="0"/>
    <x v="0"/>
    <n v="700"/>
    <n v="450"/>
    <n v="1330"/>
    <n v="900"/>
    <x v="238"/>
    <n v="70"/>
    <x v="7"/>
    <x v="1"/>
    <x v="6"/>
    <x v="4"/>
    <x v="1"/>
    <x v="10"/>
    <x v="1"/>
  </r>
  <r>
    <x v="1120"/>
    <d v="2025-11-12T00:00:00"/>
    <s v="C0046"/>
    <x v="10"/>
    <s v="P006"/>
    <n v="4"/>
    <n v="0.1"/>
    <x v="2"/>
    <x v="2"/>
    <x v="0"/>
    <n v="1799"/>
    <n v="1100"/>
    <n v="6476.4"/>
    <n v="4400"/>
    <x v="354"/>
    <n v="719.6"/>
    <x v="14"/>
    <x v="1"/>
    <x v="11"/>
    <x v="3"/>
    <x v="1"/>
    <x v="10"/>
    <x v="1"/>
  </r>
  <r>
    <x v="1121"/>
    <d v="2025-11-12T00:00:00"/>
    <s v="C0116"/>
    <x v="10"/>
    <s v="P004"/>
    <n v="2"/>
    <n v="0"/>
    <x v="2"/>
    <x v="1"/>
    <x v="0"/>
    <n v="1599"/>
    <n v="900"/>
    <n v="3198"/>
    <n v="1800"/>
    <x v="138"/>
    <n v="0"/>
    <x v="21"/>
    <x v="1"/>
    <x v="1"/>
    <x v="1"/>
    <x v="0"/>
    <x v="10"/>
    <x v="1"/>
  </r>
  <r>
    <x v="1122"/>
    <d v="2025-11-13T00:00:00"/>
    <s v="C0113"/>
    <x v="10"/>
    <s v="P014"/>
    <n v="2"/>
    <n v="0"/>
    <x v="0"/>
    <x v="3"/>
    <x v="0"/>
    <n v="220"/>
    <n v="120"/>
    <n v="440"/>
    <n v="240"/>
    <x v="88"/>
    <n v="0"/>
    <x v="20"/>
    <x v="3"/>
    <x v="11"/>
    <x v="3"/>
    <x v="0"/>
    <x v="10"/>
    <x v="1"/>
  </r>
  <r>
    <x v="1123"/>
    <d v="2025-11-14T00:00:00"/>
    <s v="C0017"/>
    <x v="10"/>
    <s v="P009"/>
    <n v="4"/>
    <n v="0.05"/>
    <x v="1"/>
    <x v="3"/>
    <x v="0"/>
    <n v="4299"/>
    <n v="2800"/>
    <n v="16336.2"/>
    <n v="11200"/>
    <x v="0"/>
    <n v="859.80000000000007"/>
    <x v="0"/>
    <x v="0"/>
    <x v="11"/>
    <x v="3"/>
    <x v="1"/>
    <x v="10"/>
    <x v="1"/>
  </r>
  <r>
    <x v="1124"/>
    <d v="2025-11-15T00:00:00"/>
    <s v="C0016"/>
    <x v="10"/>
    <s v="P001"/>
    <n v="3"/>
    <n v="0.1"/>
    <x v="2"/>
    <x v="3"/>
    <x v="0"/>
    <n v="700"/>
    <n v="450"/>
    <n v="1890"/>
    <n v="1350"/>
    <x v="476"/>
    <n v="210"/>
    <x v="7"/>
    <x v="1"/>
    <x v="1"/>
    <x v="1"/>
    <x v="1"/>
    <x v="10"/>
    <x v="1"/>
  </r>
  <r>
    <x v="1125"/>
    <d v="2025-11-15T00:00:00"/>
    <s v="C0134"/>
    <x v="10"/>
    <s v="P007"/>
    <n v="1"/>
    <n v="0.05"/>
    <x v="0"/>
    <x v="0"/>
    <x v="1"/>
    <n v="5499"/>
    <n v="3500"/>
    <n v="5224.05"/>
    <n v="3500"/>
    <x v="84"/>
    <n v="274.95"/>
    <x v="11"/>
    <x v="0"/>
    <x v="2"/>
    <x v="1"/>
    <x v="0"/>
    <x v="10"/>
    <x v="1"/>
  </r>
  <r>
    <x v="1126"/>
    <d v="2025-11-17T00:00:00"/>
    <s v="C0194"/>
    <x v="10"/>
    <s v="P016"/>
    <n v="8"/>
    <n v="0.05"/>
    <x v="0"/>
    <x v="1"/>
    <x v="0"/>
    <n v="240"/>
    <n v="140"/>
    <n v="1824"/>
    <n v="1120"/>
    <x v="278"/>
    <n v="96"/>
    <x v="16"/>
    <x v="3"/>
    <x v="6"/>
    <x v="4"/>
    <x v="0"/>
    <x v="10"/>
    <x v="1"/>
  </r>
  <r>
    <x v="1127"/>
    <d v="2025-11-17T00:00:00"/>
    <s v="C0093"/>
    <x v="10"/>
    <s v="P008"/>
    <n v="5"/>
    <n v="0.05"/>
    <x v="0"/>
    <x v="3"/>
    <x v="1"/>
    <n v="6499"/>
    <n v="4200"/>
    <n v="30870.25"/>
    <n v="21000"/>
    <x v="477"/>
    <n v="1624.75"/>
    <x v="13"/>
    <x v="0"/>
    <x v="0"/>
    <x v="0"/>
    <x v="1"/>
    <x v="10"/>
    <x v="1"/>
  </r>
  <r>
    <x v="1128"/>
    <d v="2025-11-17T00:00:00"/>
    <s v="C0117"/>
    <x v="10"/>
    <s v="P001"/>
    <n v="10"/>
    <n v="0.1"/>
    <x v="2"/>
    <x v="2"/>
    <x v="3"/>
    <n v="700"/>
    <n v="450"/>
    <n v="6300"/>
    <n v="4500"/>
    <x v="206"/>
    <n v="700"/>
    <x v="7"/>
    <x v="1"/>
    <x v="8"/>
    <x v="4"/>
    <x v="1"/>
    <x v="10"/>
    <x v="1"/>
  </r>
  <r>
    <x v="1129"/>
    <d v="2025-11-17T00:00:00"/>
    <s v="C0136"/>
    <x v="10"/>
    <s v="P004"/>
    <n v="6"/>
    <n v="0.1"/>
    <x v="0"/>
    <x v="2"/>
    <x v="0"/>
    <n v="1599"/>
    <n v="900"/>
    <n v="8634.6"/>
    <n v="5400"/>
    <x v="428"/>
    <n v="959.40000000000009"/>
    <x v="21"/>
    <x v="1"/>
    <x v="12"/>
    <x v="2"/>
    <x v="0"/>
    <x v="10"/>
    <x v="1"/>
  </r>
  <r>
    <x v="1130"/>
    <d v="2025-11-17T00:00:00"/>
    <s v="C0169"/>
    <x v="10"/>
    <s v="P022"/>
    <n v="12"/>
    <n v="0.05"/>
    <x v="1"/>
    <x v="1"/>
    <x v="0"/>
    <n v="899"/>
    <n v="450"/>
    <n v="10248.6"/>
    <n v="5400"/>
    <x v="478"/>
    <n v="539.4"/>
    <x v="6"/>
    <x v="2"/>
    <x v="3"/>
    <x v="2"/>
    <x v="1"/>
    <x v="10"/>
    <x v="1"/>
  </r>
  <r>
    <x v="1131"/>
    <d v="2025-11-19T00:00:00"/>
    <s v="C0163"/>
    <x v="10"/>
    <s v="P001"/>
    <n v="4"/>
    <n v="0.2"/>
    <x v="1"/>
    <x v="0"/>
    <x v="0"/>
    <n v="700"/>
    <n v="450"/>
    <n v="2240"/>
    <n v="1800"/>
    <x v="412"/>
    <n v="560"/>
    <x v="7"/>
    <x v="1"/>
    <x v="5"/>
    <x v="3"/>
    <x v="1"/>
    <x v="10"/>
    <x v="1"/>
  </r>
  <r>
    <x v="1132"/>
    <d v="2025-11-19T00:00:00"/>
    <s v="C0156"/>
    <x v="10"/>
    <s v="P008"/>
    <n v="6"/>
    <n v="0.1"/>
    <x v="0"/>
    <x v="0"/>
    <x v="0"/>
    <n v="6499"/>
    <n v="4200"/>
    <n v="35094.6"/>
    <n v="25200"/>
    <x v="368"/>
    <n v="3899.4"/>
    <x v="13"/>
    <x v="0"/>
    <x v="4"/>
    <x v="3"/>
    <x v="1"/>
    <x v="10"/>
    <x v="1"/>
  </r>
  <r>
    <x v="1133"/>
    <d v="2025-11-19T00:00:00"/>
    <s v="C0169"/>
    <x v="10"/>
    <s v="P016"/>
    <n v="2"/>
    <n v="0"/>
    <x v="1"/>
    <x v="4"/>
    <x v="0"/>
    <n v="240"/>
    <n v="140"/>
    <n v="480"/>
    <n v="280"/>
    <x v="88"/>
    <n v="0"/>
    <x v="16"/>
    <x v="3"/>
    <x v="3"/>
    <x v="2"/>
    <x v="1"/>
    <x v="10"/>
    <x v="1"/>
  </r>
  <r>
    <x v="1134"/>
    <d v="2025-11-21T00:00:00"/>
    <s v="C0147"/>
    <x v="10"/>
    <s v="P017"/>
    <n v="10"/>
    <n v="0"/>
    <x v="0"/>
    <x v="2"/>
    <x v="0"/>
    <n v="449"/>
    <n v="260"/>
    <n v="4490"/>
    <n v="2600"/>
    <x v="11"/>
    <n v="0"/>
    <x v="10"/>
    <x v="3"/>
    <x v="4"/>
    <x v="3"/>
    <x v="1"/>
    <x v="10"/>
    <x v="1"/>
  </r>
  <r>
    <x v="1135"/>
    <d v="2025-11-21T00:00:00"/>
    <s v="C0044"/>
    <x v="10"/>
    <s v="P015"/>
    <n v="6"/>
    <n v="0.05"/>
    <x v="2"/>
    <x v="4"/>
    <x v="0"/>
    <n v="299"/>
    <n v="180"/>
    <n v="1704.3"/>
    <n v="1080"/>
    <x v="479"/>
    <n v="89.7"/>
    <x v="8"/>
    <x v="3"/>
    <x v="2"/>
    <x v="0"/>
    <x v="2"/>
    <x v="10"/>
    <x v="1"/>
  </r>
  <r>
    <x v="1136"/>
    <d v="2025-11-21T00:00:00"/>
    <s v="C0193"/>
    <x v="10"/>
    <s v="P006"/>
    <n v="1"/>
    <n v="0.05"/>
    <x v="2"/>
    <x v="1"/>
    <x v="0"/>
    <n v="1799"/>
    <n v="1100"/>
    <n v="1709.05"/>
    <n v="1100"/>
    <x v="104"/>
    <n v="89.95"/>
    <x v="14"/>
    <x v="1"/>
    <x v="1"/>
    <x v="1"/>
    <x v="1"/>
    <x v="10"/>
    <x v="1"/>
  </r>
  <r>
    <x v="1137"/>
    <d v="2025-11-21T00:00:00"/>
    <s v="C0197"/>
    <x v="10"/>
    <s v="P013"/>
    <n v="3"/>
    <n v="0.1"/>
    <x v="1"/>
    <x v="3"/>
    <x v="0"/>
    <n v="150"/>
    <n v="90"/>
    <n v="405"/>
    <n v="270"/>
    <x v="144"/>
    <n v="45"/>
    <x v="17"/>
    <x v="3"/>
    <x v="7"/>
    <x v="4"/>
    <x v="1"/>
    <x v="10"/>
    <x v="1"/>
  </r>
  <r>
    <x v="1138"/>
    <d v="2025-11-22T00:00:00"/>
    <s v="C0035"/>
    <x v="10"/>
    <s v="P022"/>
    <n v="20"/>
    <n v="0.1"/>
    <x v="1"/>
    <x v="1"/>
    <x v="0"/>
    <n v="899"/>
    <n v="450"/>
    <n v="16182"/>
    <n v="9000"/>
    <x v="314"/>
    <n v="1798"/>
    <x v="6"/>
    <x v="2"/>
    <x v="12"/>
    <x v="2"/>
    <x v="0"/>
    <x v="10"/>
    <x v="1"/>
  </r>
  <r>
    <x v="1139"/>
    <d v="2025-11-22T00:00:00"/>
    <s v="C0148"/>
    <x v="10"/>
    <s v="P008"/>
    <n v="2"/>
    <n v="0"/>
    <x v="1"/>
    <x v="0"/>
    <x v="2"/>
    <n v="6499"/>
    <n v="4200"/>
    <n v="12998"/>
    <n v="8400"/>
    <x v="187"/>
    <n v="0"/>
    <x v="13"/>
    <x v="0"/>
    <x v="5"/>
    <x v="3"/>
    <x v="1"/>
    <x v="10"/>
    <x v="1"/>
  </r>
  <r>
    <x v="1140"/>
    <d v="2025-11-23T00:00:00"/>
    <s v="C0165"/>
    <x v="10"/>
    <s v="P021"/>
    <n v="10"/>
    <n v="0.1"/>
    <x v="2"/>
    <x v="1"/>
    <x v="0"/>
    <n v="1599"/>
    <n v="800"/>
    <n v="14391"/>
    <n v="8000"/>
    <x v="480"/>
    <n v="1599"/>
    <x v="9"/>
    <x v="2"/>
    <x v="11"/>
    <x v="3"/>
    <x v="1"/>
    <x v="10"/>
    <x v="1"/>
  </r>
  <r>
    <x v="1141"/>
    <d v="2025-11-23T00:00:00"/>
    <s v="C0029"/>
    <x v="10"/>
    <s v="P003"/>
    <n v="1"/>
    <n v="0.1"/>
    <x v="1"/>
    <x v="3"/>
    <x v="3"/>
    <n v="599"/>
    <n v="350"/>
    <n v="539.1"/>
    <n v="350"/>
    <x v="126"/>
    <n v="59.900000000000006"/>
    <x v="2"/>
    <x v="1"/>
    <x v="2"/>
    <x v="1"/>
    <x v="1"/>
    <x v="10"/>
    <x v="1"/>
  </r>
  <r>
    <x v="1142"/>
    <d v="2025-11-24T00:00:00"/>
    <s v="C0095"/>
    <x v="10"/>
    <s v="P019"/>
    <n v="2"/>
    <n v="0.2"/>
    <x v="2"/>
    <x v="1"/>
    <x v="0"/>
    <n v="1199"/>
    <n v="600"/>
    <n v="1918.4"/>
    <n v="1200"/>
    <x v="239"/>
    <n v="479.6"/>
    <x v="15"/>
    <x v="2"/>
    <x v="11"/>
    <x v="3"/>
    <x v="1"/>
    <x v="10"/>
    <x v="1"/>
  </r>
  <r>
    <x v="1143"/>
    <d v="2025-11-25T00:00:00"/>
    <s v="C0152"/>
    <x v="10"/>
    <s v="P002"/>
    <n v="10"/>
    <n v="0.1"/>
    <x v="0"/>
    <x v="1"/>
    <x v="1"/>
    <n v="1999"/>
    <n v="1200"/>
    <n v="17991"/>
    <n v="12000"/>
    <x v="198"/>
    <n v="1999"/>
    <x v="19"/>
    <x v="1"/>
    <x v="11"/>
    <x v="3"/>
    <x v="1"/>
    <x v="10"/>
    <x v="1"/>
  </r>
  <r>
    <x v="1144"/>
    <d v="2025-11-25T00:00:00"/>
    <s v="C0033"/>
    <x v="10"/>
    <s v="P022"/>
    <n v="20"/>
    <n v="0.05"/>
    <x v="0"/>
    <x v="3"/>
    <x v="0"/>
    <n v="899"/>
    <n v="450"/>
    <n v="17081"/>
    <n v="9000"/>
    <x v="481"/>
    <n v="899"/>
    <x v="6"/>
    <x v="2"/>
    <x v="1"/>
    <x v="1"/>
    <x v="1"/>
    <x v="10"/>
    <x v="1"/>
  </r>
  <r>
    <x v="1145"/>
    <d v="2025-11-25T00:00:00"/>
    <s v="C0118"/>
    <x v="10"/>
    <s v="P018"/>
    <n v="4"/>
    <n v="0.1"/>
    <x v="2"/>
    <x v="0"/>
    <x v="0"/>
    <n v="499"/>
    <n v="250"/>
    <n v="1796.4"/>
    <n v="1000"/>
    <x v="243"/>
    <n v="199.60000000000002"/>
    <x v="18"/>
    <x v="2"/>
    <x v="13"/>
    <x v="3"/>
    <x v="0"/>
    <x v="10"/>
    <x v="1"/>
  </r>
  <r>
    <x v="1146"/>
    <d v="2025-11-25T00:00:00"/>
    <s v="C0117"/>
    <x v="10"/>
    <s v="P022"/>
    <n v="4"/>
    <n v="0"/>
    <x v="1"/>
    <x v="3"/>
    <x v="0"/>
    <n v="899"/>
    <n v="450"/>
    <n v="3596"/>
    <n v="1800"/>
    <x v="373"/>
    <n v="0"/>
    <x v="6"/>
    <x v="2"/>
    <x v="8"/>
    <x v="4"/>
    <x v="1"/>
    <x v="10"/>
    <x v="1"/>
  </r>
  <r>
    <x v="1147"/>
    <d v="2025-11-25T00:00:00"/>
    <s v="C0082"/>
    <x v="10"/>
    <s v="P020"/>
    <n v="6"/>
    <n v="0.2"/>
    <x v="1"/>
    <x v="2"/>
    <x v="0"/>
    <n v="1799"/>
    <n v="900"/>
    <n v="8635.2000000000007"/>
    <n v="5400"/>
    <x v="482"/>
    <n v="2158.8000000000002"/>
    <x v="4"/>
    <x v="2"/>
    <x v="1"/>
    <x v="1"/>
    <x v="1"/>
    <x v="10"/>
    <x v="1"/>
  </r>
  <r>
    <x v="1148"/>
    <d v="2025-11-26T00:00:00"/>
    <s v="C0162"/>
    <x v="10"/>
    <s v="P016"/>
    <n v="2"/>
    <n v="0"/>
    <x v="2"/>
    <x v="1"/>
    <x v="3"/>
    <n v="240"/>
    <n v="140"/>
    <n v="480"/>
    <n v="280"/>
    <x v="88"/>
    <n v="0"/>
    <x v="16"/>
    <x v="3"/>
    <x v="4"/>
    <x v="3"/>
    <x v="2"/>
    <x v="10"/>
    <x v="1"/>
  </r>
  <r>
    <x v="1149"/>
    <d v="2025-11-28T00:00:00"/>
    <s v="C0184"/>
    <x v="10"/>
    <s v="P005"/>
    <n v="4"/>
    <n v="0.15"/>
    <x v="1"/>
    <x v="3"/>
    <x v="0"/>
    <n v="1299"/>
    <n v="800"/>
    <n v="4416.6000000000004"/>
    <n v="3200"/>
    <x v="483"/>
    <n v="779.4"/>
    <x v="12"/>
    <x v="1"/>
    <x v="1"/>
    <x v="1"/>
    <x v="1"/>
    <x v="10"/>
    <x v="1"/>
  </r>
  <r>
    <x v="1150"/>
    <d v="2025-11-28T00:00:00"/>
    <s v="C0125"/>
    <x v="10"/>
    <s v="P006"/>
    <n v="5"/>
    <n v="0.2"/>
    <x v="2"/>
    <x v="3"/>
    <x v="0"/>
    <n v="1799"/>
    <n v="1100"/>
    <n v="7196"/>
    <n v="5500"/>
    <x v="484"/>
    <n v="1799"/>
    <x v="14"/>
    <x v="1"/>
    <x v="2"/>
    <x v="0"/>
    <x v="1"/>
    <x v="10"/>
    <x v="1"/>
  </r>
  <r>
    <x v="1151"/>
    <d v="2025-11-29T00:00:00"/>
    <s v="C0101"/>
    <x v="10"/>
    <s v="P018"/>
    <n v="4"/>
    <n v="0.1"/>
    <x v="0"/>
    <x v="0"/>
    <x v="1"/>
    <n v="499"/>
    <n v="250"/>
    <n v="1796.4"/>
    <n v="1000"/>
    <x v="243"/>
    <n v="199.60000000000002"/>
    <x v="18"/>
    <x v="2"/>
    <x v="5"/>
    <x v="3"/>
    <x v="0"/>
    <x v="10"/>
    <x v="1"/>
  </r>
  <r>
    <x v="1152"/>
    <d v="2025-11-30T00:00:00"/>
    <s v="C0136"/>
    <x v="10"/>
    <s v="P003"/>
    <n v="3"/>
    <n v="0.1"/>
    <x v="1"/>
    <x v="0"/>
    <x v="0"/>
    <n v="599"/>
    <n v="350"/>
    <n v="1617.3"/>
    <n v="1050"/>
    <x v="485"/>
    <n v="179.70000000000002"/>
    <x v="2"/>
    <x v="1"/>
    <x v="12"/>
    <x v="2"/>
    <x v="0"/>
    <x v="10"/>
    <x v="1"/>
  </r>
  <r>
    <x v="1153"/>
    <d v="2025-12-01T00:00:00"/>
    <s v="C0034"/>
    <x v="11"/>
    <s v="P004"/>
    <n v="8"/>
    <n v="0.15"/>
    <x v="1"/>
    <x v="1"/>
    <x v="0"/>
    <n v="1599"/>
    <n v="900"/>
    <n v="10873.2"/>
    <n v="7200"/>
    <x v="486"/>
    <n v="1918.8"/>
    <x v="21"/>
    <x v="1"/>
    <x v="1"/>
    <x v="1"/>
    <x v="0"/>
    <x v="11"/>
    <x v="1"/>
  </r>
  <r>
    <x v="1154"/>
    <d v="2025-12-02T00:00:00"/>
    <s v="C0168"/>
    <x v="11"/>
    <s v="P015"/>
    <n v="4"/>
    <n v="0"/>
    <x v="0"/>
    <x v="4"/>
    <x v="0"/>
    <n v="299"/>
    <n v="180"/>
    <n v="1196"/>
    <n v="720"/>
    <x v="73"/>
    <n v="0"/>
    <x v="8"/>
    <x v="3"/>
    <x v="10"/>
    <x v="2"/>
    <x v="2"/>
    <x v="11"/>
    <x v="1"/>
  </r>
  <r>
    <x v="1155"/>
    <d v="2025-12-02T00:00:00"/>
    <s v="C0056"/>
    <x v="11"/>
    <s v="P007"/>
    <n v="4"/>
    <n v="0.1"/>
    <x v="1"/>
    <x v="3"/>
    <x v="0"/>
    <n v="5499"/>
    <n v="3500"/>
    <n v="19796.400000000001"/>
    <n v="14000"/>
    <x v="276"/>
    <n v="2199.6"/>
    <x v="11"/>
    <x v="0"/>
    <x v="1"/>
    <x v="1"/>
    <x v="1"/>
    <x v="11"/>
    <x v="1"/>
  </r>
  <r>
    <x v="1156"/>
    <d v="2025-12-03T00:00:00"/>
    <s v="C0038"/>
    <x v="11"/>
    <s v="P022"/>
    <n v="5"/>
    <n v="0.1"/>
    <x v="2"/>
    <x v="3"/>
    <x v="0"/>
    <n v="899"/>
    <n v="450"/>
    <n v="4045.5"/>
    <n v="2250"/>
    <x v="275"/>
    <n v="449.5"/>
    <x v="6"/>
    <x v="2"/>
    <x v="1"/>
    <x v="1"/>
    <x v="1"/>
    <x v="11"/>
    <x v="1"/>
  </r>
  <r>
    <x v="1157"/>
    <d v="2025-12-03T00:00:00"/>
    <s v="C0122"/>
    <x v="11"/>
    <s v="P012"/>
    <n v="2"/>
    <n v="0"/>
    <x v="0"/>
    <x v="2"/>
    <x v="0"/>
    <n v="320"/>
    <n v="220"/>
    <n v="640"/>
    <n v="440"/>
    <x v="88"/>
    <n v="0"/>
    <x v="5"/>
    <x v="3"/>
    <x v="4"/>
    <x v="3"/>
    <x v="0"/>
    <x v="11"/>
    <x v="1"/>
  </r>
  <r>
    <x v="1158"/>
    <d v="2025-12-03T00:00:00"/>
    <s v="C0039"/>
    <x v="11"/>
    <s v="P014"/>
    <n v="5"/>
    <n v="0"/>
    <x v="0"/>
    <x v="1"/>
    <x v="0"/>
    <n v="220"/>
    <n v="120"/>
    <n v="1100"/>
    <n v="600"/>
    <x v="5"/>
    <n v="0"/>
    <x v="20"/>
    <x v="3"/>
    <x v="1"/>
    <x v="1"/>
    <x v="2"/>
    <x v="11"/>
    <x v="1"/>
  </r>
  <r>
    <x v="1159"/>
    <d v="2025-12-03T00:00:00"/>
    <s v="C0045"/>
    <x v="11"/>
    <s v="P020"/>
    <n v="10"/>
    <n v="0.2"/>
    <x v="2"/>
    <x v="0"/>
    <x v="0"/>
    <n v="1799"/>
    <n v="900"/>
    <n v="14392"/>
    <n v="9000"/>
    <x v="324"/>
    <n v="3598"/>
    <x v="4"/>
    <x v="2"/>
    <x v="8"/>
    <x v="4"/>
    <x v="2"/>
    <x v="11"/>
    <x v="1"/>
  </r>
  <r>
    <x v="1160"/>
    <d v="2025-12-04T00:00:00"/>
    <s v="C0098"/>
    <x v="11"/>
    <s v="P021"/>
    <n v="6"/>
    <n v="0.1"/>
    <x v="2"/>
    <x v="3"/>
    <x v="0"/>
    <n v="1599"/>
    <n v="800"/>
    <n v="8634.6"/>
    <n v="4800"/>
    <x v="59"/>
    <n v="959.40000000000009"/>
    <x v="9"/>
    <x v="2"/>
    <x v="1"/>
    <x v="1"/>
    <x v="0"/>
    <x v="11"/>
    <x v="1"/>
  </r>
  <r>
    <x v="1161"/>
    <d v="2025-12-04T00:00:00"/>
    <s v="C0032"/>
    <x v="11"/>
    <s v="P003"/>
    <n v="12"/>
    <n v="0.1"/>
    <x v="2"/>
    <x v="2"/>
    <x v="0"/>
    <n v="599"/>
    <n v="350"/>
    <n v="6469.2"/>
    <n v="4200"/>
    <x v="487"/>
    <n v="718.80000000000007"/>
    <x v="2"/>
    <x v="1"/>
    <x v="0"/>
    <x v="0"/>
    <x v="0"/>
    <x v="11"/>
    <x v="1"/>
  </r>
  <r>
    <x v="1162"/>
    <d v="2025-12-06T00:00:00"/>
    <s v="C0147"/>
    <x v="11"/>
    <s v="P019"/>
    <n v="6"/>
    <n v="0.1"/>
    <x v="1"/>
    <x v="4"/>
    <x v="0"/>
    <n v="1199"/>
    <n v="600"/>
    <n v="6474.6"/>
    <n v="3600"/>
    <x v="147"/>
    <n v="719.40000000000009"/>
    <x v="15"/>
    <x v="2"/>
    <x v="4"/>
    <x v="3"/>
    <x v="1"/>
    <x v="11"/>
    <x v="1"/>
  </r>
  <r>
    <x v="1163"/>
    <d v="2025-12-06T00:00:00"/>
    <s v="C0124"/>
    <x v="11"/>
    <s v="P013"/>
    <n v="5"/>
    <n v="0.05"/>
    <x v="2"/>
    <x v="2"/>
    <x v="0"/>
    <n v="150"/>
    <n v="90"/>
    <n v="712.5"/>
    <n v="450"/>
    <x v="205"/>
    <n v="37.5"/>
    <x v="17"/>
    <x v="3"/>
    <x v="9"/>
    <x v="4"/>
    <x v="0"/>
    <x v="11"/>
    <x v="1"/>
  </r>
  <r>
    <x v="1164"/>
    <d v="2025-12-07T00:00:00"/>
    <s v="C0104"/>
    <x v="11"/>
    <s v="P006"/>
    <n v="1"/>
    <n v="0.05"/>
    <x v="1"/>
    <x v="0"/>
    <x v="0"/>
    <n v="1799"/>
    <n v="1100"/>
    <n v="1709.05"/>
    <n v="1100"/>
    <x v="104"/>
    <n v="89.95"/>
    <x v="14"/>
    <x v="1"/>
    <x v="1"/>
    <x v="1"/>
    <x v="1"/>
    <x v="11"/>
    <x v="1"/>
  </r>
  <r>
    <x v="1165"/>
    <d v="2025-12-07T00:00:00"/>
    <s v="C0133"/>
    <x v="11"/>
    <s v="P003"/>
    <n v="20"/>
    <n v="0.1"/>
    <x v="2"/>
    <x v="3"/>
    <x v="0"/>
    <n v="599"/>
    <n v="350"/>
    <n v="10782"/>
    <n v="7000"/>
    <x v="488"/>
    <n v="1198"/>
    <x v="2"/>
    <x v="1"/>
    <x v="8"/>
    <x v="4"/>
    <x v="1"/>
    <x v="11"/>
    <x v="1"/>
  </r>
  <r>
    <x v="1166"/>
    <d v="2025-12-07T00:00:00"/>
    <s v="C0154"/>
    <x v="11"/>
    <s v="P006"/>
    <n v="2"/>
    <n v="0.05"/>
    <x v="2"/>
    <x v="3"/>
    <x v="0"/>
    <n v="1799"/>
    <n v="1100"/>
    <n v="3418.1"/>
    <n v="2200"/>
    <x v="20"/>
    <n v="179.9"/>
    <x v="14"/>
    <x v="1"/>
    <x v="2"/>
    <x v="0"/>
    <x v="1"/>
    <x v="11"/>
    <x v="1"/>
  </r>
  <r>
    <x v="1167"/>
    <d v="2025-12-10T00:00:00"/>
    <s v="C0148"/>
    <x v="11"/>
    <s v="P005"/>
    <n v="4"/>
    <n v="0"/>
    <x v="2"/>
    <x v="3"/>
    <x v="0"/>
    <n v="1299"/>
    <n v="800"/>
    <n v="5196"/>
    <n v="3200"/>
    <x v="98"/>
    <n v="0"/>
    <x v="12"/>
    <x v="1"/>
    <x v="5"/>
    <x v="3"/>
    <x v="1"/>
    <x v="11"/>
    <x v="1"/>
  </r>
  <r>
    <x v="1168"/>
    <d v="2025-12-10T00:00:00"/>
    <s v="C0130"/>
    <x v="11"/>
    <s v="P004"/>
    <n v="3"/>
    <n v="0.2"/>
    <x v="1"/>
    <x v="3"/>
    <x v="0"/>
    <n v="1599"/>
    <n v="900"/>
    <n v="3837.6"/>
    <n v="2700"/>
    <x v="489"/>
    <n v="959.40000000000009"/>
    <x v="21"/>
    <x v="1"/>
    <x v="2"/>
    <x v="1"/>
    <x v="1"/>
    <x v="11"/>
    <x v="1"/>
  </r>
  <r>
    <x v="1169"/>
    <d v="2025-12-11T00:00:00"/>
    <s v="C0077"/>
    <x v="11"/>
    <s v="P008"/>
    <n v="2"/>
    <n v="0.15"/>
    <x v="1"/>
    <x v="0"/>
    <x v="0"/>
    <n v="6499"/>
    <n v="4200"/>
    <n v="11048.3"/>
    <n v="8400"/>
    <x v="358"/>
    <n v="1949.6999999999998"/>
    <x v="13"/>
    <x v="0"/>
    <x v="8"/>
    <x v="4"/>
    <x v="1"/>
    <x v="11"/>
    <x v="1"/>
  </r>
  <r>
    <x v="1170"/>
    <d v="2025-12-11T00:00:00"/>
    <s v="C0148"/>
    <x v="11"/>
    <s v="P005"/>
    <n v="12"/>
    <n v="0"/>
    <x v="0"/>
    <x v="2"/>
    <x v="2"/>
    <n v="1299"/>
    <n v="800"/>
    <n v="15588"/>
    <n v="9600"/>
    <x v="490"/>
    <n v="0"/>
    <x v="12"/>
    <x v="1"/>
    <x v="5"/>
    <x v="3"/>
    <x v="1"/>
    <x v="11"/>
    <x v="1"/>
  </r>
  <r>
    <x v="1171"/>
    <d v="2025-12-11T00:00:00"/>
    <s v="C0131"/>
    <x v="11"/>
    <s v="P018"/>
    <n v="4"/>
    <n v="0"/>
    <x v="2"/>
    <x v="3"/>
    <x v="0"/>
    <n v="499"/>
    <n v="250"/>
    <n v="1996"/>
    <n v="1000"/>
    <x v="99"/>
    <n v="0"/>
    <x v="18"/>
    <x v="2"/>
    <x v="10"/>
    <x v="2"/>
    <x v="0"/>
    <x v="11"/>
    <x v="1"/>
  </r>
  <r>
    <x v="1172"/>
    <d v="2025-12-13T00:00:00"/>
    <s v="C0037"/>
    <x v="11"/>
    <s v="P007"/>
    <n v="3"/>
    <n v="0.2"/>
    <x v="2"/>
    <x v="2"/>
    <x v="0"/>
    <n v="5499"/>
    <n v="3500"/>
    <n v="13197.6"/>
    <n v="10500"/>
    <x v="491"/>
    <n v="3299.4"/>
    <x v="11"/>
    <x v="0"/>
    <x v="2"/>
    <x v="1"/>
    <x v="2"/>
    <x v="11"/>
    <x v="1"/>
  </r>
  <r>
    <x v="1173"/>
    <d v="2025-12-13T00:00:00"/>
    <s v="C0072"/>
    <x v="11"/>
    <s v="P012"/>
    <n v="4"/>
    <n v="0.05"/>
    <x v="0"/>
    <x v="1"/>
    <x v="0"/>
    <n v="320"/>
    <n v="220"/>
    <n v="1216"/>
    <n v="880"/>
    <x v="401"/>
    <n v="64"/>
    <x v="5"/>
    <x v="3"/>
    <x v="2"/>
    <x v="1"/>
    <x v="1"/>
    <x v="11"/>
    <x v="1"/>
  </r>
  <r>
    <x v="1174"/>
    <d v="2025-12-14T00:00:00"/>
    <s v="C0167"/>
    <x v="11"/>
    <s v="P013"/>
    <n v="2"/>
    <n v="0.05"/>
    <x v="1"/>
    <x v="0"/>
    <x v="3"/>
    <n v="150"/>
    <n v="90"/>
    <n v="285"/>
    <n v="180"/>
    <x v="129"/>
    <n v="15"/>
    <x v="17"/>
    <x v="3"/>
    <x v="1"/>
    <x v="1"/>
    <x v="1"/>
    <x v="11"/>
    <x v="1"/>
  </r>
  <r>
    <x v="1175"/>
    <d v="2025-12-15T00:00:00"/>
    <s v="C0138"/>
    <x v="11"/>
    <s v="P005"/>
    <n v="2"/>
    <n v="0.05"/>
    <x v="1"/>
    <x v="4"/>
    <x v="0"/>
    <n v="1299"/>
    <n v="800"/>
    <n v="2468.1"/>
    <n v="1600"/>
    <x v="175"/>
    <n v="129.9"/>
    <x v="12"/>
    <x v="1"/>
    <x v="12"/>
    <x v="2"/>
    <x v="1"/>
    <x v="11"/>
    <x v="1"/>
  </r>
  <r>
    <x v="1176"/>
    <d v="2025-12-15T00:00:00"/>
    <s v="C0145"/>
    <x v="11"/>
    <s v="P012"/>
    <n v="20"/>
    <n v="0"/>
    <x v="0"/>
    <x v="0"/>
    <x v="0"/>
    <n v="320"/>
    <n v="220"/>
    <n v="6400"/>
    <n v="4400"/>
    <x v="492"/>
    <n v="0"/>
    <x v="5"/>
    <x v="3"/>
    <x v="6"/>
    <x v="4"/>
    <x v="1"/>
    <x v="11"/>
    <x v="1"/>
  </r>
  <r>
    <x v="1177"/>
    <d v="2025-12-16T00:00:00"/>
    <s v="C0007"/>
    <x v="11"/>
    <s v="P013"/>
    <n v="2"/>
    <n v="0"/>
    <x v="1"/>
    <x v="2"/>
    <x v="0"/>
    <n v="150"/>
    <n v="90"/>
    <n v="300"/>
    <n v="180"/>
    <x v="46"/>
    <n v="0"/>
    <x v="17"/>
    <x v="3"/>
    <x v="7"/>
    <x v="4"/>
    <x v="0"/>
    <x v="11"/>
    <x v="1"/>
  </r>
  <r>
    <x v="1178"/>
    <d v="2025-12-16T00:00:00"/>
    <s v="C0017"/>
    <x v="11"/>
    <s v="P014"/>
    <n v="8"/>
    <n v="0"/>
    <x v="0"/>
    <x v="4"/>
    <x v="2"/>
    <n v="220"/>
    <n v="120"/>
    <n v="1760"/>
    <n v="960"/>
    <x v="493"/>
    <n v="0"/>
    <x v="20"/>
    <x v="3"/>
    <x v="11"/>
    <x v="3"/>
    <x v="1"/>
    <x v="11"/>
    <x v="1"/>
  </r>
  <r>
    <x v="1179"/>
    <d v="2025-12-17T00:00:00"/>
    <s v="C0071"/>
    <x v="11"/>
    <s v="P008"/>
    <n v="1"/>
    <n v="0"/>
    <x v="0"/>
    <x v="3"/>
    <x v="3"/>
    <n v="6499"/>
    <n v="4200"/>
    <n v="6499"/>
    <n v="4200"/>
    <x v="16"/>
    <n v="0"/>
    <x v="13"/>
    <x v="0"/>
    <x v="2"/>
    <x v="1"/>
    <x v="1"/>
    <x v="11"/>
    <x v="1"/>
  </r>
  <r>
    <x v="1180"/>
    <d v="2025-12-17T00:00:00"/>
    <s v="C0045"/>
    <x v="11"/>
    <s v="P004"/>
    <n v="20"/>
    <n v="0.15"/>
    <x v="0"/>
    <x v="3"/>
    <x v="0"/>
    <n v="1599"/>
    <n v="900"/>
    <n v="27183"/>
    <n v="18000"/>
    <x v="494"/>
    <n v="4797"/>
    <x v="21"/>
    <x v="1"/>
    <x v="8"/>
    <x v="4"/>
    <x v="2"/>
    <x v="11"/>
    <x v="1"/>
  </r>
  <r>
    <x v="1181"/>
    <d v="2025-12-18T00:00:00"/>
    <s v="C0090"/>
    <x v="11"/>
    <s v="P017"/>
    <n v="6"/>
    <n v="0"/>
    <x v="2"/>
    <x v="4"/>
    <x v="0"/>
    <n v="449"/>
    <n v="260"/>
    <n v="2694"/>
    <n v="1560"/>
    <x v="245"/>
    <n v="0"/>
    <x v="10"/>
    <x v="3"/>
    <x v="1"/>
    <x v="1"/>
    <x v="1"/>
    <x v="11"/>
    <x v="1"/>
  </r>
  <r>
    <x v="1182"/>
    <d v="2025-12-19T00:00:00"/>
    <s v="C0193"/>
    <x v="11"/>
    <s v="P011"/>
    <n v="5"/>
    <n v="0"/>
    <x v="1"/>
    <x v="2"/>
    <x v="0"/>
    <n v="899"/>
    <n v="500"/>
    <n v="4495"/>
    <n v="2500"/>
    <x v="495"/>
    <n v="0"/>
    <x v="1"/>
    <x v="0"/>
    <x v="1"/>
    <x v="1"/>
    <x v="1"/>
    <x v="11"/>
    <x v="1"/>
  </r>
  <r>
    <x v="1183"/>
    <d v="2025-12-20T00:00:00"/>
    <s v="C0104"/>
    <x v="11"/>
    <s v="P020"/>
    <n v="12"/>
    <n v="0"/>
    <x v="1"/>
    <x v="4"/>
    <x v="0"/>
    <n v="1799"/>
    <n v="900"/>
    <n v="21588"/>
    <n v="10800"/>
    <x v="496"/>
    <n v="0"/>
    <x v="4"/>
    <x v="2"/>
    <x v="1"/>
    <x v="1"/>
    <x v="1"/>
    <x v="11"/>
    <x v="1"/>
  </r>
  <r>
    <x v="1184"/>
    <d v="2025-12-20T00:00:00"/>
    <s v="C0033"/>
    <x v="11"/>
    <s v="P022"/>
    <n v="2"/>
    <n v="0.05"/>
    <x v="1"/>
    <x v="1"/>
    <x v="0"/>
    <n v="899"/>
    <n v="450"/>
    <n v="1708.1"/>
    <n v="900"/>
    <x v="127"/>
    <n v="89.9"/>
    <x v="6"/>
    <x v="2"/>
    <x v="1"/>
    <x v="1"/>
    <x v="1"/>
    <x v="11"/>
    <x v="1"/>
  </r>
  <r>
    <x v="1185"/>
    <d v="2025-12-20T00:00:00"/>
    <s v="C0174"/>
    <x v="11"/>
    <s v="P008"/>
    <n v="10"/>
    <n v="0.05"/>
    <x v="0"/>
    <x v="0"/>
    <x v="0"/>
    <n v="6499"/>
    <n v="4200"/>
    <n v="61740.5"/>
    <n v="42000"/>
    <x v="497"/>
    <n v="3249.5"/>
    <x v="13"/>
    <x v="0"/>
    <x v="0"/>
    <x v="0"/>
    <x v="0"/>
    <x v="11"/>
    <x v="1"/>
  </r>
  <r>
    <x v="1186"/>
    <d v="2025-12-21T00:00:00"/>
    <s v="C0074"/>
    <x v="11"/>
    <s v="P017"/>
    <n v="3"/>
    <n v="0.05"/>
    <x v="0"/>
    <x v="3"/>
    <x v="1"/>
    <n v="449"/>
    <n v="260"/>
    <n v="1279.6500000000001"/>
    <n v="780"/>
    <x v="498"/>
    <n v="67.350000000000009"/>
    <x v="10"/>
    <x v="3"/>
    <x v="0"/>
    <x v="0"/>
    <x v="0"/>
    <x v="11"/>
    <x v="1"/>
  </r>
  <r>
    <x v="1187"/>
    <d v="2025-12-21T00:00:00"/>
    <s v="C0105"/>
    <x v="11"/>
    <s v="P010"/>
    <n v="4"/>
    <n v="0.05"/>
    <x v="2"/>
    <x v="4"/>
    <x v="1"/>
    <n v="4599"/>
    <n v="3000"/>
    <n v="17476.2"/>
    <n v="12000"/>
    <x v="499"/>
    <n v="919.80000000000007"/>
    <x v="3"/>
    <x v="0"/>
    <x v="10"/>
    <x v="2"/>
    <x v="0"/>
    <x v="11"/>
    <x v="1"/>
  </r>
  <r>
    <x v="1188"/>
    <d v="2025-12-23T00:00:00"/>
    <s v="C0015"/>
    <x v="11"/>
    <s v="P019"/>
    <n v="2"/>
    <n v="0"/>
    <x v="0"/>
    <x v="2"/>
    <x v="1"/>
    <n v="1199"/>
    <n v="600"/>
    <n v="2398"/>
    <n v="1200"/>
    <x v="24"/>
    <n v="0"/>
    <x v="15"/>
    <x v="2"/>
    <x v="9"/>
    <x v="4"/>
    <x v="1"/>
    <x v="11"/>
    <x v="1"/>
  </r>
  <r>
    <x v="1189"/>
    <d v="2025-12-23T00:00:00"/>
    <s v="C0123"/>
    <x v="11"/>
    <s v="P005"/>
    <n v="12"/>
    <n v="0.1"/>
    <x v="0"/>
    <x v="3"/>
    <x v="1"/>
    <n v="1299"/>
    <n v="800"/>
    <n v="14029.2"/>
    <n v="9600"/>
    <x v="500"/>
    <n v="1558.8000000000002"/>
    <x v="12"/>
    <x v="1"/>
    <x v="4"/>
    <x v="3"/>
    <x v="1"/>
    <x v="11"/>
    <x v="1"/>
  </r>
  <r>
    <x v="1190"/>
    <d v="2025-12-23T00:00:00"/>
    <s v="C0049"/>
    <x v="11"/>
    <s v="P020"/>
    <n v="2"/>
    <n v="0.05"/>
    <x v="2"/>
    <x v="2"/>
    <x v="0"/>
    <n v="1799"/>
    <n v="900"/>
    <n v="3418.1"/>
    <n v="1800"/>
    <x v="117"/>
    <n v="179.9"/>
    <x v="4"/>
    <x v="2"/>
    <x v="6"/>
    <x v="4"/>
    <x v="0"/>
    <x v="11"/>
    <x v="1"/>
  </r>
  <r>
    <x v="1191"/>
    <d v="2025-12-24T00:00:00"/>
    <s v="C0156"/>
    <x v="11"/>
    <s v="P022"/>
    <n v="2"/>
    <n v="0.05"/>
    <x v="2"/>
    <x v="3"/>
    <x v="1"/>
    <n v="899"/>
    <n v="450"/>
    <n v="1708.1"/>
    <n v="900"/>
    <x v="127"/>
    <n v="89.9"/>
    <x v="6"/>
    <x v="2"/>
    <x v="4"/>
    <x v="3"/>
    <x v="1"/>
    <x v="11"/>
    <x v="1"/>
  </r>
  <r>
    <x v="1192"/>
    <d v="2025-12-25T00:00:00"/>
    <s v="C0035"/>
    <x v="11"/>
    <s v="P012"/>
    <n v="10"/>
    <n v="0.2"/>
    <x v="2"/>
    <x v="1"/>
    <x v="0"/>
    <n v="320"/>
    <n v="220"/>
    <n v="2560"/>
    <n v="2200"/>
    <x v="101"/>
    <n v="640"/>
    <x v="5"/>
    <x v="3"/>
    <x v="12"/>
    <x v="2"/>
    <x v="0"/>
    <x v="11"/>
    <x v="1"/>
  </r>
  <r>
    <x v="1193"/>
    <d v="2025-12-26T00:00:00"/>
    <s v="C0087"/>
    <x v="11"/>
    <s v="P004"/>
    <n v="4"/>
    <n v="0.15"/>
    <x v="0"/>
    <x v="0"/>
    <x v="0"/>
    <n v="1599"/>
    <n v="900"/>
    <n v="5436.6"/>
    <n v="3600"/>
    <x v="501"/>
    <n v="959.4"/>
    <x v="21"/>
    <x v="1"/>
    <x v="7"/>
    <x v="4"/>
    <x v="1"/>
    <x v="11"/>
    <x v="1"/>
  </r>
  <r>
    <x v="1194"/>
    <d v="2025-12-26T00:00:00"/>
    <s v="C0068"/>
    <x v="11"/>
    <s v="P010"/>
    <n v="2"/>
    <n v="0.1"/>
    <x v="0"/>
    <x v="2"/>
    <x v="1"/>
    <n v="4599"/>
    <n v="3000"/>
    <n v="8278.2000000000007"/>
    <n v="6000"/>
    <x v="431"/>
    <n v="919.80000000000007"/>
    <x v="3"/>
    <x v="0"/>
    <x v="8"/>
    <x v="4"/>
    <x v="0"/>
    <x v="11"/>
    <x v="1"/>
  </r>
  <r>
    <x v="1195"/>
    <d v="2025-12-27T00:00:00"/>
    <s v="C0119"/>
    <x v="11"/>
    <s v="P002"/>
    <n v="6"/>
    <n v="0"/>
    <x v="0"/>
    <x v="1"/>
    <x v="0"/>
    <n v="1999"/>
    <n v="1200"/>
    <n v="11994"/>
    <n v="7200"/>
    <x v="316"/>
    <n v="0"/>
    <x v="19"/>
    <x v="1"/>
    <x v="1"/>
    <x v="1"/>
    <x v="1"/>
    <x v="11"/>
    <x v="1"/>
  </r>
  <r>
    <x v="1196"/>
    <d v="2025-12-27T00:00:00"/>
    <s v="C0002"/>
    <x v="11"/>
    <s v="P004"/>
    <n v="8"/>
    <n v="0"/>
    <x v="0"/>
    <x v="0"/>
    <x v="1"/>
    <n v="1599"/>
    <n v="900"/>
    <n v="12792"/>
    <n v="7200"/>
    <x v="502"/>
    <n v="0"/>
    <x v="21"/>
    <x v="1"/>
    <x v="6"/>
    <x v="4"/>
    <x v="1"/>
    <x v="11"/>
    <x v="1"/>
  </r>
  <r>
    <x v="1197"/>
    <d v="2025-12-29T00:00:00"/>
    <s v="C0022"/>
    <x v="11"/>
    <s v="P007"/>
    <n v="20"/>
    <n v="0.15"/>
    <x v="2"/>
    <x v="4"/>
    <x v="0"/>
    <n v="5499"/>
    <n v="3500"/>
    <n v="93483"/>
    <n v="70000"/>
    <x v="503"/>
    <n v="16497"/>
    <x v="11"/>
    <x v="0"/>
    <x v="13"/>
    <x v="3"/>
    <x v="1"/>
    <x v="11"/>
    <x v="1"/>
  </r>
  <r>
    <x v="1198"/>
    <d v="2025-12-30T00:00:00"/>
    <s v="C0065"/>
    <x v="11"/>
    <s v="P022"/>
    <n v="2"/>
    <n v="0"/>
    <x v="2"/>
    <x v="2"/>
    <x v="0"/>
    <n v="899"/>
    <n v="450"/>
    <n v="1798"/>
    <n v="900"/>
    <x v="58"/>
    <n v="0"/>
    <x v="6"/>
    <x v="2"/>
    <x v="4"/>
    <x v="3"/>
    <x v="1"/>
    <x v="11"/>
    <x v="1"/>
  </r>
  <r>
    <x v="1199"/>
    <d v="2025-12-30T00:00:00"/>
    <s v="C0028"/>
    <x v="11"/>
    <s v="P009"/>
    <n v="12"/>
    <n v="0.1"/>
    <x v="1"/>
    <x v="0"/>
    <x v="0"/>
    <n v="4299"/>
    <n v="2800"/>
    <n v="46429.2"/>
    <n v="33600"/>
    <x v="504"/>
    <n v="5158.8"/>
    <x v="0"/>
    <x v="0"/>
    <x v="1"/>
    <x v="1"/>
    <x v="1"/>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916AAD-1BBF-44B2-B758-DF2F9ED8F833}"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22:L23" firstHeaderRow="1" firstDataRow="1" firstDataCol="0"/>
  <pivotFields count="23">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showAll="0"/>
    <pivotField showAll="0"/>
    <pivotField showAll="0"/>
    <pivotField showAll="0"/>
    <pivotField numFmtId="9" showAll="0"/>
    <pivotField showAll="0">
      <items count="4">
        <item x="0"/>
        <item x="1"/>
        <item x="2"/>
        <item t="default"/>
      </items>
    </pivotField>
    <pivotField showAll="0"/>
    <pivotField showAll="0">
      <items count="5">
        <item x="3"/>
        <item x="0"/>
        <item x="1"/>
        <item x="2"/>
        <item t="default"/>
      </items>
    </pivotField>
    <pivotField showAll="0"/>
    <pivotField showAll="0"/>
    <pivotField dataField="1" showAll="0"/>
    <pivotField showAll="0"/>
    <pivotField showAll="0"/>
    <pivotField showAll="0"/>
    <pivotField showAll="0">
      <items count="23">
        <item x="5"/>
        <item x="19"/>
        <item x="0"/>
        <item x="18"/>
        <item x="4"/>
        <item x="10"/>
        <item x="3"/>
        <item x="15"/>
        <item x="17"/>
        <item x="21"/>
        <item x="9"/>
        <item x="1"/>
        <item x="8"/>
        <item x="11"/>
        <item x="12"/>
        <item x="20"/>
        <item x="13"/>
        <item x="6"/>
        <item x="2"/>
        <item x="14"/>
        <item x="16"/>
        <item x="7"/>
        <item t="default"/>
      </items>
    </pivotField>
    <pivotField showAll="0">
      <items count="5">
        <item x="2"/>
        <item x="1"/>
        <item x="0"/>
        <item x="3"/>
        <item t="default"/>
      </items>
    </pivotField>
    <pivotField showAll="0">
      <items count="15">
        <item x="12"/>
        <item x="7"/>
        <item x="8"/>
        <item x="1"/>
        <item x="13"/>
        <item x="5"/>
        <item x="0"/>
        <item x="2"/>
        <item x="10"/>
        <item x="6"/>
        <item x="11"/>
        <item x="4"/>
        <item x="9"/>
        <item x="3"/>
        <item t="default"/>
      </items>
    </pivotField>
    <pivotField showAll="0">
      <items count="6">
        <item x="0"/>
        <item x="2"/>
        <item x="4"/>
        <item x="3"/>
        <item x="1"/>
        <item t="default"/>
      </items>
    </pivotField>
    <pivotField showAll="0">
      <items count="4">
        <item x="1"/>
        <item x="0"/>
        <item x="2"/>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Items count="1">
    <i/>
  </rowItems>
  <colItems count="1">
    <i/>
  </colItems>
  <dataFields count="1">
    <dataField name="Average of net_sales"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27BBC7-5BA7-4801-8DFE-AE2CF783F116}"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20:M21" firstHeaderRow="1" firstDataRow="1" firstDataCol="0"/>
  <pivotFields count="23">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showAll="0"/>
    <pivotField showAll="0"/>
    <pivotField showAll="0"/>
    <pivotField showAll="0"/>
    <pivotField numFmtId="9" showAll="0"/>
    <pivotField showAll="0">
      <items count="4">
        <item x="0"/>
        <item x="1"/>
        <item x="2"/>
        <item t="default"/>
      </items>
    </pivotField>
    <pivotField showAll="0"/>
    <pivotField showAll="0">
      <items count="5">
        <item x="3"/>
        <item x="0"/>
        <item x="1"/>
        <item x="2"/>
        <item t="default"/>
      </items>
    </pivotField>
    <pivotField showAll="0"/>
    <pivotField showAll="0"/>
    <pivotField dataField="1" showAll="0"/>
    <pivotField showAll="0"/>
    <pivotField showAll="0"/>
    <pivotField showAll="0"/>
    <pivotField showAll="0">
      <items count="23">
        <item x="5"/>
        <item x="19"/>
        <item x="0"/>
        <item x="18"/>
        <item x="4"/>
        <item x="10"/>
        <item x="3"/>
        <item x="15"/>
        <item x="17"/>
        <item x="21"/>
        <item x="9"/>
        <item x="1"/>
        <item x="8"/>
        <item x="11"/>
        <item x="12"/>
        <item x="20"/>
        <item x="13"/>
        <item x="6"/>
        <item x="2"/>
        <item x="14"/>
        <item x="16"/>
        <item x="7"/>
        <item t="default"/>
      </items>
    </pivotField>
    <pivotField showAll="0">
      <items count="5">
        <item x="2"/>
        <item x="1"/>
        <item x="0"/>
        <item x="3"/>
        <item t="default"/>
      </items>
    </pivotField>
    <pivotField showAll="0">
      <items count="15">
        <item x="12"/>
        <item x="7"/>
        <item x="8"/>
        <item x="1"/>
        <item x="13"/>
        <item x="5"/>
        <item x="0"/>
        <item x="2"/>
        <item x="10"/>
        <item x="6"/>
        <item x="11"/>
        <item x="4"/>
        <item x="9"/>
        <item x="3"/>
        <item t="default"/>
      </items>
    </pivotField>
    <pivotField showAll="0">
      <items count="6">
        <item x="0"/>
        <item x="2"/>
        <item x="4"/>
        <item x="3"/>
        <item x="1"/>
        <item t="default"/>
      </items>
    </pivotField>
    <pivotField showAll="0">
      <items count="4">
        <item x="1"/>
        <item x="0"/>
        <item x="2"/>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Items count="1">
    <i/>
  </rowItems>
  <colItems count="1">
    <i/>
  </colItems>
  <dataFields count="1">
    <dataField name="Sum of net_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8B7C64-57C4-4F29-9DF6-DAFBB8282F6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20:L21" firstHeaderRow="1" firstDataRow="1" firstDataCol="0"/>
  <pivotFields count="23">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showAll="0"/>
    <pivotField showAll="0"/>
    <pivotField showAll="0"/>
    <pivotField showAll="0"/>
    <pivotField numFmtId="9" showAll="0"/>
    <pivotField showAll="0">
      <items count="4">
        <item x="0"/>
        <item x="1"/>
        <item x="2"/>
        <item t="default"/>
      </items>
    </pivotField>
    <pivotField showAll="0"/>
    <pivotField showAll="0">
      <items count="5">
        <item x="3"/>
        <item x="0"/>
        <item x="1"/>
        <item x="2"/>
        <item t="default"/>
      </items>
    </pivotField>
    <pivotField showAll="0"/>
    <pivotField showAll="0"/>
    <pivotField showAll="0"/>
    <pivotField showAll="0"/>
    <pivotField dataField="1" showAll="0"/>
    <pivotField showAll="0"/>
    <pivotField showAll="0">
      <items count="23">
        <item x="5"/>
        <item x="19"/>
        <item x="0"/>
        <item x="18"/>
        <item x="4"/>
        <item x="10"/>
        <item x="3"/>
        <item x="15"/>
        <item x="17"/>
        <item x="21"/>
        <item x="9"/>
        <item x="1"/>
        <item x="8"/>
        <item x="11"/>
        <item x="12"/>
        <item x="20"/>
        <item x="13"/>
        <item x="6"/>
        <item x="2"/>
        <item x="14"/>
        <item x="16"/>
        <item x="7"/>
        <item t="default"/>
      </items>
    </pivotField>
    <pivotField showAll="0">
      <items count="5">
        <item x="2"/>
        <item x="1"/>
        <item x="0"/>
        <item x="3"/>
        <item t="default"/>
      </items>
    </pivotField>
    <pivotField showAll="0">
      <items count="15">
        <item x="12"/>
        <item x="7"/>
        <item x="8"/>
        <item x="1"/>
        <item x="13"/>
        <item x="5"/>
        <item x="0"/>
        <item x="2"/>
        <item x="10"/>
        <item x="6"/>
        <item x="11"/>
        <item x="4"/>
        <item x="9"/>
        <item x="3"/>
        <item t="default"/>
      </items>
    </pivotField>
    <pivotField showAll="0">
      <items count="6">
        <item x="0"/>
        <item x="2"/>
        <item x="4"/>
        <item x="3"/>
        <item x="1"/>
        <item t="default"/>
      </items>
    </pivotField>
    <pivotField showAll="0">
      <items count="4">
        <item x="1"/>
        <item x="0"/>
        <item x="2"/>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Items count="1">
    <i/>
  </rowItems>
  <colItems count="1">
    <i/>
  </colItems>
  <dataFields count="1">
    <dataField name="Sum of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7CAF17-0ADE-4FF3-B2B3-E7B7FB12AAE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7:G8" firstHeaderRow="1" firstDataRow="1" firstDataCol="0"/>
  <pivotFields count="23">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showAll="0"/>
    <pivotField showAll="0"/>
    <pivotField showAll="0"/>
    <pivotField showAll="0"/>
    <pivotField numFmtId="9" showAll="0"/>
    <pivotField showAll="0">
      <items count="4">
        <item x="0"/>
        <item x="1"/>
        <item x="2"/>
        <item t="default"/>
      </items>
    </pivotField>
    <pivotField showAll="0"/>
    <pivotField showAll="0">
      <items count="5">
        <item x="3"/>
        <item x="0"/>
        <item x="1"/>
        <item x="2"/>
        <item t="default"/>
      </items>
    </pivotField>
    <pivotField showAll="0"/>
    <pivotField showAll="0"/>
    <pivotField showAll="0"/>
    <pivotField showAll="0"/>
    <pivotField showAll="0"/>
    <pivotField showAll="0"/>
    <pivotField showAll="0">
      <items count="23">
        <item x="5"/>
        <item x="19"/>
        <item x="0"/>
        <item x="18"/>
        <item x="4"/>
        <item x="10"/>
        <item x="3"/>
        <item x="15"/>
        <item x="17"/>
        <item x="21"/>
        <item x="9"/>
        <item x="1"/>
        <item x="8"/>
        <item x="11"/>
        <item x="12"/>
        <item x="20"/>
        <item x="13"/>
        <item x="6"/>
        <item x="2"/>
        <item x="14"/>
        <item x="16"/>
        <item x="7"/>
        <item t="default"/>
      </items>
    </pivotField>
    <pivotField showAll="0">
      <items count="5">
        <item x="2"/>
        <item x="1"/>
        <item x="0"/>
        <item x="3"/>
        <item t="default"/>
      </items>
    </pivotField>
    <pivotField showAll="0">
      <items count="15">
        <item x="12"/>
        <item x="7"/>
        <item x="8"/>
        <item x="1"/>
        <item x="13"/>
        <item x="5"/>
        <item x="0"/>
        <item x="2"/>
        <item x="10"/>
        <item x="6"/>
        <item x="11"/>
        <item x="4"/>
        <item x="9"/>
        <item x="3"/>
        <item t="default"/>
      </items>
    </pivotField>
    <pivotField showAll="0">
      <items count="6">
        <item x="0"/>
        <item x="2"/>
        <item x="4"/>
        <item x="3"/>
        <item x="1"/>
        <item t="default"/>
      </items>
    </pivotField>
    <pivotField showAll="0">
      <items count="4">
        <item x="1"/>
        <item x="0"/>
        <item x="2"/>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B5CD2C-6944-494D-8740-C2E4EAB5CA0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9:F32" firstHeaderRow="0" firstDataRow="1" firstDataCol="1"/>
  <pivotFields count="23">
    <pivotField showAll="0"/>
    <pivotField numFmtId="164" showAll="0"/>
    <pivotField showAll="0"/>
    <pivotField showAll="0"/>
    <pivotField showAll="0"/>
    <pivotField showAll="0"/>
    <pivotField numFmtId="9" showAll="0"/>
    <pivotField showAll="0">
      <items count="4">
        <item x="0"/>
        <item x="1"/>
        <item x="2"/>
        <item t="default"/>
      </items>
    </pivotField>
    <pivotField showAll="0"/>
    <pivotField showAll="0">
      <items count="5">
        <item x="3"/>
        <item x="0"/>
        <item x="1"/>
        <item x="2"/>
        <item t="default"/>
      </items>
    </pivotField>
    <pivotField showAll="0"/>
    <pivotField showAll="0"/>
    <pivotField dataField="1" showAll="0"/>
    <pivotField showAll="0"/>
    <pivotField dataField="1" showAll="0"/>
    <pivotField showAll="0"/>
    <pivotField axis="axisRow" showAll="0">
      <items count="23">
        <item x="5"/>
        <item x="19"/>
        <item x="0"/>
        <item x="18"/>
        <item x="4"/>
        <item x="10"/>
        <item x="3"/>
        <item x="15"/>
        <item x="17"/>
        <item x="21"/>
        <item x="9"/>
        <item x="1"/>
        <item x="8"/>
        <item x="11"/>
        <item x="12"/>
        <item x="20"/>
        <item x="13"/>
        <item x="6"/>
        <item x="2"/>
        <item x="14"/>
        <item x="16"/>
        <item x="7"/>
        <item t="default"/>
      </items>
    </pivotField>
    <pivotField showAll="0">
      <items count="5">
        <item x="2"/>
        <item x="1"/>
        <item x="0"/>
        <item x="3"/>
        <item t="default"/>
      </items>
    </pivotField>
    <pivotField showAll="0">
      <items count="15">
        <item x="12"/>
        <item x="7"/>
        <item x="8"/>
        <item x="1"/>
        <item x="13"/>
        <item x="5"/>
        <item x="0"/>
        <item x="2"/>
        <item x="10"/>
        <item x="6"/>
        <item x="11"/>
        <item x="4"/>
        <item x="9"/>
        <item x="3"/>
        <item t="default"/>
      </items>
    </pivotField>
    <pivotField showAll="0">
      <items count="6">
        <item x="0"/>
        <item x="2"/>
        <item x="4"/>
        <item x="3"/>
        <item x="1"/>
        <item t="default"/>
      </items>
    </pivotField>
    <pivotField showAll="0">
      <items count="4">
        <item x="1"/>
        <item x="0"/>
        <item x="2"/>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16"/>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dataFields count="2">
    <dataField name="Sum of profit" fld="14" baseField="0" baseItem="0"/>
    <dataField name="Sum of net_sales" fld="12" baseField="0" baseItem="0"/>
  </dataField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D90F6D-1536-49CF-88F7-3A7F7951D93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C14" firstHeaderRow="0" firstDataRow="1" firstDataCol="1"/>
  <pivotFields count="23">
    <pivotField showAll="0"/>
    <pivotField numFmtId="164" showAll="0"/>
    <pivotField showAll="0"/>
    <pivotField showAll="0"/>
    <pivotField showAll="0"/>
    <pivotField showAll="0"/>
    <pivotField numFmtId="9" showAll="0"/>
    <pivotField showAll="0">
      <items count="4">
        <item x="0"/>
        <item x="1"/>
        <item x="2"/>
        <item t="default"/>
      </items>
    </pivotField>
    <pivotField showAll="0"/>
    <pivotField showAll="0">
      <items count="5">
        <item x="3"/>
        <item x="0"/>
        <item x="1"/>
        <item x="2"/>
        <item t="default"/>
      </items>
    </pivotField>
    <pivotField showAll="0"/>
    <pivotField showAll="0"/>
    <pivotField dataField="1" showAll="0"/>
    <pivotField showAll="0"/>
    <pivotField dataField="1" showAll="0"/>
    <pivotField showAll="0"/>
    <pivotField showAll="0"/>
    <pivotField showAll="0">
      <items count="5">
        <item x="2"/>
        <item x="1"/>
        <item x="0"/>
        <item x="3"/>
        <item t="default"/>
      </items>
    </pivotField>
    <pivotField showAll="0">
      <items count="15">
        <item x="12"/>
        <item x="7"/>
        <item x="8"/>
        <item x="1"/>
        <item x="13"/>
        <item x="5"/>
        <item x="0"/>
        <item x="2"/>
        <item x="10"/>
        <item x="6"/>
        <item x="11"/>
        <item x="4"/>
        <item x="9"/>
        <item x="3"/>
        <item t="default"/>
      </items>
    </pivotField>
    <pivotField showAll="0">
      <items count="6">
        <item x="0"/>
        <item x="2"/>
        <item x="4"/>
        <item x="3"/>
        <item x="1"/>
        <item t="default"/>
      </items>
    </pivotField>
    <pivotField showAll="0">
      <items count="4">
        <item x="1"/>
        <item x="0"/>
        <item x="2"/>
        <item t="default"/>
      </items>
    </pivotField>
    <pivotField axis="axisRow" showAll="0">
      <items count="13">
        <item x="0"/>
        <item x="1"/>
        <item x="2"/>
        <item x="3"/>
        <item x="4"/>
        <item x="5"/>
        <item x="6"/>
        <item x="7"/>
        <item x="8"/>
        <item x="9"/>
        <item x="10"/>
        <item x="11"/>
        <item t="default"/>
      </items>
    </pivotField>
    <pivotField showAll="0">
      <items count="3">
        <item x="0"/>
        <item x="1"/>
        <item t="default"/>
      </items>
    </pivotField>
  </pivotFields>
  <rowFields count="1">
    <field x="21"/>
  </rowFields>
  <rowItems count="13">
    <i>
      <x/>
    </i>
    <i>
      <x v="1"/>
    </i>
    <i>
      <x v="2"/>
    </i>
    <i>
      <x v="3"/>
    </i>
    <i>
      <x v="4"/>
    </i>
    <i>
      <x v="5"/>
    </i>
    <i>
      <x v="6"/>
    </i>
    <i>
      <x v="7"/>
    </i>
    <i>
      <x v="8"/>
    </i>
    <i>
      <x v="9"/>
    </i>
    <i>
      <x v="10"/>
    </i>
    <i>
      <x v="11"/>
    </i>
    <i t="grand">
      <x/>
    </i>
  </rowItems>
  <colFields count="1">
    <field x="-2"/>
  </colFields>
  <colItems count="2">
    <i>
      <x/>
    </i>
    <i i="1">
      <x v="1"/>
    </i>
  </colItems>
  <dataFields count="2">
    <dataField name="Sum of profit" fld="14" baseField="0" baseItem="0"/>
    <dataField name="Sum of net_sales" fld="12" baseField="0" baseItem="0"/>
  </dataFields>
  <chartFormats count="4">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6F1586-7F94-4064-BB0C-17B14D3ADA59}" name="PivotTable1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0">
  <location ref="L1:M16" firstHeaderRow="1" firstDataRow="1" firstDataCol="1"/>
  <pivotFields count="23">
    <pivotField dataField="1" showAll="0"/>
    <pivotField numFmtId="164" showAll="0"/>
    <pivotField showAll="0"/>
    <pivotField showAll="0"/>
    <pivotField showAll="0"/>
    <pivotField showAll="0"/>
    <pivotField numFmtId="9" showAll="0"/>
    <pivotField showAll="0">
      <items count="4">
        <item x="0"/>
        <item x="1"/>
        <item x="2"/>
        <item t="default"/>
      </items>
    </pivotField>
    <pivotField showAll="0"/>
    <pivotField showAll="0">
      <items count="5">
        <item x="3"/>
        <item x="0"/>
        <item x="1"/>
        <item x="2"/>
        <item t="default"/>
      </items>
    </pivotField>
    <pivotField showAll="0"/>
    <pivotField showAll="0"/>
    <pivotField showAll="0"/>
    <pivotField showAll="0"/>
    <pivotField showAll="0">
      <items count="506">
        <item x="440"/>
        <item x="408"/>
        <item x="35"/>
        <item x="437"/>
        <item x="378"/>
        <item x="108"/>
        <item x="449"/>
        <item x="432"/>
        <item x="62"/>
        <item x="96"/>
        <item x="244"/>
        <item x="8"/>
        <item x="135"/>
        <item x="123"/>
        <item x="292"/>
        <item x="234"/>
        <item x="120"/>
        <item x="9"/>
        <item x="129"/>
        <item x="458"/>
        <item x="398"/>
        <item x="46"/>
        <item x="274"/>
        <item x="144"/>
        <item x="30"/>
        <item x="453"/>
        <item x="63"/>
        <item x="171"/>
        <item x="405"/>
        <item x="55"/>
        <item x="128"/>
        <item x="41"/>
        <item x="455"/>
        <item x="67"/>
        <item x="130"/>
        <item x="61"/>
        <item x="215"/>
        <item x="319"/>
        <item x="131"/>
        <item x="359"/>
        <item x="114"/>
        <item x="126"/>
        <item x="137"/>
        <item x="88"/>
        <item x="142"/>
        <item x="22"/>
        <item x="430"/>
        <item x="341"/>
        <item x="371"/>
        <item x="154"/>
        <item x="451"/>
        <item x="93"/>
        <item x="255"/>
        <item x="100"/>
        <item x="43"/>
        <item x="82"/>
        <item x="236"/>
        <item x="423"/>
        <item x="64"/>
        <item x="36"/>
        <item x="261"/>
        <item x="293"/>
        <item x="288"/>
        <item x="473"/>
        <item x="205"/>
        <item x="42"/>
        <item x="145"/>
        <item x="411"/>
        <item x="76"/>
        <item x="235"/>
        <item x="209"/>
        <item x="221"/>
        <item x="212"/>
        <item x="400"/>
        <item x="258"/>
        <item x="186"/>
        <item x="339"/>
        <item x="177"/>
        <item x="78"/>
        <item x="201"/>
        <item x="295"/>
        <item x="270"/>
        <item x="196"/>
        <item x="162"/>
        <item x="401"/>
        <item x="414"/>
        <item x="333"/>
        <item x="374"/>
        <item x="195"/>
        <item x="372"/>
        <item x="454"/>
        <item x="101"/>
        <item x="429"/>
        <item x="433"/>
        <item x="264"/>
        <item x="306"/>
        <item x="156"/>
        <item x="180"/>
        <item x="219"/>
        <item x="125"/>
        <item x="393"/>
        <item x="68"/>
        <item x="457"/>
        <item x="14"/>
        <item x="392"/>
        <item x="29"/>
        <item x="207"/>
        <item x="190"/>
        <item x="193"/>
        <item x="238"/>
        <item x="277"/>
        <item x="242"/>
        <item x="470"/>
        <item x="303"/>
        <item x="412"/>
        <item x="124"/>
        <item x="152"/>
        <item x="380"/>
        <item x="267"/>
        <item x="211"/>
        <item x="73"/>
        <item x="415"/>
        <item x="365"/>
        <item x="183"/>
        <item x="159"/>
        <item x="247"/>
        <item x="38"/>
        <item x="17"/>
        <item x="213"/>
        <item x="498"/>
        <item x="5"/>
        <item x="150"/>
        <item x="214"/>
        <item x="95"/>
        <item x="461"/>
        <item x="189"/>
        <item x="463"/>
        <item x="310"/>
        <item x="77"/>
        <item x="345"/>
        <item x="476"/>
        <item x="376"/>
        <item x="21"/>
        <item x="485"/>
        <item x="249"/>
        <item x="149"/>
        <item x="25"/>
        <item x="418"/>
        <item x="33"/>
        <item x="308"/>
        <item x="361"/>
        <item x="104"/>
        <item x="220"/>
        <item x="285"/>
        <item x="479"/>
        <item x="231"/>
        <item x="315"/>
        <item x="52"/>
        <item x="103"/>
        <item x="318"/>
        <item x="184"/>
        <item x="107"/>
        <item x="133"/>
        <item x="278"/>
        <item x="294"/>
        <item x="241"/>
        <item x="72"/>
        <item x="239"/>
        <item x="307"/>
        <item x="259"/>
        <item x="18"/>
        <item x="48"/>
        <item x="367"/>
        <item x="111"/>
        <item x="396"/>
        <item x="230"/>
        <item x="243"/>
        <item x="268"/>
        <item x="57"/>
        <item x="493"/>
        <item x="127"/>
        <item x="87"/>
        <item x="344"/>
        <item x="174"/>
        <item x="47"/>
        <item x="443"/>
        <item x="175"/>
        <item x="122"/>
        <item x="439"/>
        <item x="364"/>
        <item x="459"/>
        <item x="58"/>
        <item x="37"/>
        <item x="467"/>
        <item x="309"/>
        <item x="60"/>
        <item x="370"/>
        <item x="223"/>
        <item x="469"/>
        <item x="335"/>
        <item x="257"/>
        <item x="10"/>
        <item x="99"/>
        <item x="56"/>
        <item x="233"/>
        <item x="168"/>
        <item x="134"/>
        <item x="136"/>
        <item x="346"/>
        <item x="426"/>
        <item x="222"/>
        <item x="456"/>
        <item x="379"/>
        <item x="170"/>
        <item x="74"/>
        <item x="50"/>
        <item x="391"/>
        <item x="424"/>
        <item x="155"/>
        <item x="89"/>
        <item x="245"/>
        <item x="281"/>
        <item x="489"/>
        <item x="28"/>
        <item x="90"/>
        <item x="19"/>
        <item x="329"/>
        <item x="153"/>
        <item x="24"/>
        <item x="39"/>
        <item x="466"/>
        <item x="248"/>
        <item x="483"/>
        <item x="20"/>
        <item x="121"/>
        <item x="2"/>
        <item x="164"/>
        <item x="472"/>
        <item x="179"/>
        <item x="296"/>
        <item x="351"/>
        <item x="427"/>
        <item x="452"/>
        <item x="406"/>
        <item x="434"/>
        <item x="300"/>
        <item x="357"/>
        <item x="326"/>
        <item x="202"/>
        <item x="169"/>
        <item x="356"/>
        <item x="138"/>
        <item x="75"/>
        <item x="280"/>
        <item x="375"/>
        <item x="332"/>
        <item x="140"/>
        <item x="160"/>
        <item x="317"/>
        <item x="97"/>
        <item x="143"/>
        <item x="132"/>
        <item x="85"/>
        <item x="338"/>
        <item x="413"/>
        <item x="7"/>
        <item x="369"/>
        <item x="438"/>
        <item x="118"/>
        <item x="176"/>
        <item x="49"/>
        <item x="119"/>
        <item x="3"/>
        <item x="445"/>
        <item x="325"/>
        <item x="44"/>
        <item x="117"/>
        <item x="330"/>
        <item x="240"/>
        <item x="139"/>
        <item x="484"/>
        <item x="282"/>
        <item x="84"/>
        <item x="474"/>
        <item x="71"/>
        <item x="275"/>
        <item x="373"/>
        <item x="151"/>
        <item x="94"/>
        <item x="251"/>
        <item x="206"/>
        <item x="343"/>
        <item x="501"/>
        <item x="1"/>
        <item x="229"/>
        <item x="11"/>
        <item x="328"/>
        <item x="360"/>
        <item x="460"/>
        <item x="263"/>
        <item x="45"/>
        <item x="495"/>
        <item x="98"/>
        <item x="194"/>
        <item x="442"/>
        <item x="492"/>
        <item x="54"/>
        <item x="354"/>
        <item x="109"/>
        <item x="70"/>
        <item x="227"/>
        <item x="65"/>
        <item x="269"/>
        <item x="421"/>
        <item x="102"/>
        <item x="290"/>
        <item x="384"/>
        <item x="399"/>
        <item x="157"/>
        <item x="271"/>
        <item x="146"/>
        <item x="6"/>
        <item x="312"/>
        <item x="487"/>
        <item x="431"/>
        <item x="402"/>
        <item x="16"/>
        <item x="462"/>
        <item x="362"/>
        <item x="224"/>
        <item x="250"/>
        <item x="32"/>
        <item x="208"/>
        <item x="178"/>
        <item x="425"/>
        <item x="185"/>
        <item x="320"/>
        <item x="80"/>
        <item x="203"/>
        <item x="228"/>
        <item x="204"/>
        <item x="232"/>
        <item x="191"/>
        <item x="350"/>
        <item x="358"/>
        <item x="69"/>
        <item x="381"/>
        <item x="112"/>
        <item x="347"/>
        <item x="491"/>
        <item x="172"/>
        <item x="403"/>
        <item x="353"/>
        <item x="279"/>
        <item x="286"/>
        <item x="147"/>
        <item x="15"/>
        <item x="265"/>
        <item x="471"/>
        <item x="13"/>
        <item x="355"/>
        <item x="409"/>
        <item x="113"/>
        <item x="422"/>
        <item x="352"/>
        <item x="199"/>
        <item x="106"/>
        <item x="253"/>
        <item x="297"/>
        <item x="166"/>
        <item x="66"/>
        <item x="105"/>
        <item x="416"/>
        <item x="428"/>
        <item x="482"/>
        <item x="321"/>
        <item x="366"/>
        <item x="336"/>
        <item x="217"/>
        <item x="51"/>
        <item x="225"/>
        <item x="331"/>
        <item x="83"/>
        <item x="363"/>
        <item x="141"/>
        <item x="237"/>
        <item x="444"/>
        <item x="26"/>
        <item x="419"/>
        <item x="394"/>
        <item x="348"/>
        <item x="383"/>
        <item x="486"/>
        <item x="404"/>
        <item x="488"/>
        <item x="59"/>
        <item x="323"/>
        <item x="23"/>
        <item x="291"/>
        <item x="337"/>
        <item x="200"/>
        <item x="407"/>
        <item x="226"/>
        <item x="27"/>
        <item x="148"/>
        <item x="284"/>
        <item x="420"/>
        <item x="387"/>
        <item x="165"/>
        <item x="197"/>
        <item x="272"/>
        <item x="12"/>
        <item x="500"/>
        <item x="79"/>
        <item x="4"/>
        <item x="260"/>
        <item x="397"/>
        <item x="377"/>
        <item x="187"/>
        <item x="246"/>
        <item x="441"/>
        <item x="316"/>
        <item x="478"/>
        <item x="340"/>
        <item x="254"/>
        <item x="40"/>
        <item x="181"/>
        <item x="0"/>
        <item x="192"/>
        <item x="173"/>
        <item x="262"/>
        <item x="324"/>
        <item x="436"/>
        <item x="266"/>
        <item x="499"/>
        <item x="299"/>
        <item x="502"/>
        <item x="163"/>
        <item x="276"/>
        <item x="182"/>
        <item x="490"/>
        <item x="110"/>
        <item x="198"/>
        <item x="448"/>
        <item x="167"/>
        <item x="91"/>
        <item x="450"/>
        <item x="298"/>
        <item x="468"/>
        <item x="480"/>
        <item x="322"/>
        <item x="349"/>
        <item x="210"/>
        <item x="188"/>
        <item x="301"/>
        <item x="435"/>
        <item x="86"/>
        <item x="53"/>
        <item x="342"/>
        <item x="314"/>
        <item x="161"/>
        <item x="289"/>
        <item x="311"/>
        <item x="305"/>
        <item x="395"/>
        <item x="283"/>
        <item x="388"/>
        <item x="389"/>
        <item x="31"/>
        <item x="390"/>
        <item x="481"/>
        <item x="382"/>
        <item x="256"/>
        <item x="447"/>
        <item x="216"/>
        <item x="475"/>
        <item x="494"/>
        <item x="34"/>
        <item x="116"/>
        <item x="477"/>
        <item x="368"/>
        <item x="327"/>
        <item x="417"/>
        <item x="410"/>
        <item x="496"/>
        <item x="287"/>
        <item x="158"/>
        <item x="385"/>
        <item x="386"/>
        <item x="504"/>
        <item x="81"/>
        <item x="273"/>
        <item x="313"/>
        <item x="218"/>
        <item x="252"/>
        <item x="302"/>
        <item x="446"/>
        <item x="304"/>
        <item x="497"/>
        <item x="92"/>
        <item x="115"/>
        <item x="503"/>
        <item x="465"/>
        <item x="464"/>
        <item x="334"/>
        <item t="default"/>
      </items>
    </pivotField>
    <pivotField showAll="0"/>
    <pivotField showAll="0">
      <items count="23">
        <item x="5"/>
        <item x="19"/>
        <item x="0"/>
        <item x="18"/>
        <item x="4"/>
        <item x="10"/>
        <item x="3"/>
        <item x="15"/>
        <item x="17"/>
        <item x="21"/>
        <item x="9"/>
        <item x="1"/>
        <item x="8"/>
        <item x="11"/>
        <item x="12"/>
        <item x="20"/>
        <item x="13"/>
        <item x="6"/>
        <item x="2"/>
        <item x="14"/>
        <item x="16"/>
        <item x="7"/>
        <item t="default"/>
      </items>
    </pivotField>
    <pivotField showAll="0">
      <items count="5">
        <item x="2"/>
        <item x="1"/>
        <item x="0"/>
        <item x="3"/>
        <item t="default"/>
      </items>
    </pivotField>
    <pivotField axis="axisRow" showAll="0" sortType="ascending">
      <items count="15">
        <item x="12"/>
        <item x="7"/>
        <item x="8"/>
        <item x="1"/>
        <item x="13"/>
        <item x="5"/>
        <item x="0"/>
        <item x="2"/>
        <item x="10"/>
        <item x="6"/>
        <item x="11"/>
        <item x="4"/>
        <item x="9"/>
        <item x="3"/>
        <item t="default"/>
      </items>
      <autoSortScope>
        <pivotArea dataOnly="0" outline="0" fieldPosition="0">
          <references count="1">
            <reference field="4294967294" count="1" selected="0">
              <x v="0"/>
            </reference>
          </references>
        </pivotArea>
      </autoSortScope>
    </pivotField>
    <pivotField showAll="0">
      <items count="6">
        <item x="0"/>
        <item x="2"/>
        <item x="4"/>
        <item x="3"/>
        <item x="1"/>
        <item t="default"/>
      </items>
    </pivotField>
    <pivotField showAll="0">
      <items count="4">
        <item x="1"/>
        <item x="0"/>
        <item x="2"/>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18"/>
  </rowFields>
  <rowItems count="15">
    <i>
      <x v="12"/>
    </i>
    <i>
      <x v="4"/>
    </i>
    <i>
      <x v="8"/>
    </i>
    <i>
      <x v="9"/>
    </i>
    <i>
      <x/>
    </i>
    <i>
      <x v="10"/>
    </i>
    <i>
      <x v="13"/>
    </i>
    <i>
      <x v="5"/>
    </i>
    <i>
      <x v="11"/>
    </i>
    <i>
      <x v="1"/>
    </i>
    <i>
      <x v="2"/>
    </i>
    <i>
      <x v="7"/>
    </i>
    <i>
      <x v="6"/>
    </i>
    <i>
      <x v="3"/>
    </i>
    <i t="grand">
      <x/>
    </i>
  </rowItems>
  <colItems count="1">
    <i/>
  </colItems>
  <dataFields count="1">
    <dataField name="Count of Order ID" fld="0" subtotal="count" baseField="0" baseItem="0"/>
  </dataFields>
  <chartFormats count="1">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5536F6-5B34-42E8-90C8-CE269B1EE801}" name="PivotTable1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A51:F67" firstHeaderRow="1" firstDataRow="2" firstDataCol="1"/>
  <pivotFields count="23">
    <pivotField dataField="1" showAll="0"/>
    <pivotField numFmtId="164" showAll="0"/>
    <pivotField showAll="0"/>
    <pivotField showAll="0"/>
    <pivotField showAll="0"/>
    <pivotField showAll="0"/>
    <pivotField numFmtId="9" showAll="0"/>
    <pivotField showAll="0">
      <items count="4">
        <item x="0"/>
        <item x="1"/>
        <item x="2"/>
        <item t="default"/>
      </items>
    </pivotField>
    <pivotField showAll="0"/>
    <pivotField axis="axisCol" showAll="0">
      <items count="5">
        <item x="3"/>
        <item x="0"/>
        <item x="1"/>
        <item x="2"/>
        <item t="default"/>
      </items>
    </pivotField>
    <pivotField showAll="0"/>
    <pivotField showAll="0"/>
    <pivotField showAll="0"/>
    <pivotField showAll="0"/>
    <pivotField showAll="0"/>
    <pivotField showAll="0"/>
    <pivotField showAll="0">
      <items count="23">
        <item x="5"/>
        <item x="19"/>
        <item x="0"/>
        <item x="18"/>
        <item x="4"/>
        <item x="10"/>
        <item x="3"/>
        <item x="15"/>
        <item x="17"/>
        <item x="21"/>
        <item x="9"/>
        <item x="1"/>
        <item x="8"/>
        <item x="11"/>
        <item x="12"/>
        <item x="20"/>
        <item x="13"/>
        <item x="6"/>
        <item x="2"/>
        <item x="14"/>
        <item x="16"/>
        <item x="7"/>
        <item t="default"/>
      </items>
    </pivotField>
    <pivotField showAll="0">
      <items count="5">
        <item x="2"/>
        <item x="1"/>
        <item x="0"/>
        <item x="3"/>
        <item t="default"/>
      </items>
    </pivotField>
    <pivotField axis="axisRow" showAll="0">
      <items count="15">
        <item x="12"/>
        <item x="7"/>
        <item x="8"/>
        <item x="1"/>
        <item x="13"/>
        <item x="5"/>
        <item x="0"/>
        <item x="2"/>
        <item x="10"/>
        <item x="6"/>
        <item x="11"/>
        <item x="4"/>
        <item x="9"/>
        <item x="3"/>
        <item t="default"/>
      </items>
    </pivotField>
    <pivotField showAll="0">
      <items count="6">
        <item x="0"/>
        <item x="2"/>
        <item x="4"/>
        <item x="3"/>
        <item x="1"/>
        <item t="default"/>
      </items>
    </pivotField>
    <pivotField showAll="0">
      <items count="4">
        <item x="1"/>
        <item x="0"/>
        <item x="2"/>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18"/>
  </rowFields>
  <rowItems count="15">
    <i>
      <x/>
    </i>
    <i>
      <x v="1"/>
    </i>
    <i>
      <x v="2"/>
    </i>
    <i>
      <x v="3"/>
    </i>
    <i>
      <x v="4"/>
    </i>
    <i>
      <x v="5"/>
    </i>
    <i>
      <x v="6"/>
    </i>
    <i>
      <x v="7"/>
    </i>
    <i>
      <x v="8"/>
    </i>
    <i>
      <x v="9"/>
    </i>
    <i>
      <x v="10"/>
    </i>
    <i>
      <x v="11"/>
    </i>
    <i>
      <x v="12"/>
    </i>
    <i>
      <x v="13"/>
    </i>
    <i t="grand">
      <x/>
    </i>
  </rowItems>
  <colFields count="1">
    <field x="9"/>
  </colFields>
  <colItems count="5">
    <i>
      <x/>
    </i>
    <i>
      <x v="1"/>
    </i>
    <i>
      <x v="2"/>
    </i>
    <i>
      <x v="3"/>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241DD2-45E3-4F91-AD9C-D3909240132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H5" firstHeaderRow="1" firstDataRow="1" firstDataCol="1"/>
  <pivotFields count="23">
    <pivotField showAll="0"/>
    <pivotField numFmtId="164" showAll="0"/>
    <pivotField showAll="0"/>
    <pivotField showAll="0"/>
    <pivotField showAll="0"/>
    <pivotField showAll="0"/>
    <pivotField numFmtId="9" showAll="0"/>
    <pivotField showAll="0">
      <items count="4">
        <item x="0"/>
        <item x="1"/>
        <item x="2"/>
        <item t="default"/>
      </items>
    </pivotField>
    <pivotField showAll="0"/>
    <pivotField showAll="0">
      <items count="5">
        <item x="3"/>
        <item x="0"/>
        <item x="1"/>
        <item x="2"/>
        <item t="default"/>
      </items>
    </pivotField>
    <pivotField showAll="0"/>
    <pivotField showAll="0"/>
    <pivotField showAll="0"/>
    <pivotField showAll="0"/>
    <pivotField dataField="1" showAll="0"/>
    <pivotField showAll="0"/>
    <pivotField showAll="0">
      <items count="23">
        <item x="5"/>
        <item x="19"/>
        <item x="0"/>
        <item x="18"/>
        <item x="4"/>
        <item x="10"/>
        <item x="3"/>
        <item x="15"/>
        <item x="17"/>
        <item x="21"/>
        <item x="9"/>
        <item x="1"/>
        <item x="8"/>
        <item x="11"/>
        <item x="12"/>
        <item x="20"/>
        <item x="13"/>
        <item x="6"/>
        <item x="2"/>
        <item x="14"/>
        <item x="16"/>
        <item x="7"/>
        <item t="default"/>
      </items>
    </pivotField>
    <pivotField showAll="0">
      <items count="5">
        <item x="2"/>
        <item x="1"/>
        <item x="0"/>
        <item x="3"/>
        <item t="default"/>
      </items>
    </pivotField>
    <pivotField showAll="0">
      <items count="15">
        <item x="12"/>
        <item x="7"/>
        <item x="8"/>
        <item x="1"/>
        <item x="13"/>
        <item x="5"/>
        <item x="0"/>
        <item x="2"/>
        <item x="10"/>
        <item x="6"/>
        <item x="11"/>
        <item x="4"/>
        <item x="9"/>
        <item x="3"/>
        <item t="default"/>
      </items>
    </pivotField>
    <pivotField showAll="0">
      <items count="6">
        <item x="0"/>
        <item x="2"/>
        <item x="4"/>
        <item x="3"/>
        <item x="1"/>
        <item t="default"/>
      </items>
    </pivotField>
    <pivotField axis="axisRow" showAll="0">
      <items count="4">
        <item x="1"/>
        <item x="0"/>
        <item x="2"/>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20"/>
  </rowFields>
  <rowItems count="4">
    <i>
      <x/>
    </i>
    <i>
      <x v="1"/>
    </i>
    <i>
      <x v="2"/>
    </i>
    <i t="grand">
      <x/>
    </i>
  </rowItems>
  <colItems count="1">
    <i/>
  </colItems>
  <dataFields count="1">
    <dataField name="Sum of profit" fld="14"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0" count="1" selected="0">
            <x v="0"/>
          </reference>
        </references>
      </pivotArea>
    </chartFormat>
    <chartFormat chart="5" format="7">
      <pivotArea type="data" outline="0" fieldPosition="0">
        <references count="2">
          <reference field="4294967294" count="1" selected="0">
            <x v="0"/>
          </reference>
          <reference field="20" count="1" selected="0">
            <x v="1"/>
          </reference>
        </references>
      </pivotArea>
    </chartFormat>
    <chartFormat chart="5" format="8">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E9DE04-41BE-4AA7-83E8-94D5D2D8603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E7" firstHeaderRow="1" firstDataRow="1" firstDataCol="1"/>
  <pivotFields count="23">
    <pivotField dataField="1" showAll="0"/>
    <pivotField numFmtId="164" showAll="0"/>
    <pivotField showAll="0"/>
    <pivotField showAll="0"/>
    <pivotField showAll="0"/>
    <pivotField showAll="0"/>
    <pivotField numFmtId="9" showAll="0"/>
    <pivotField showAll="0">
      <items count="4">
        <item x="0"/>
        <item x="1"/>
        <item x="2"/>
        <item t="default"/>
      </items>
    </pivotField>
    <pivotField axis="axisRow" showAll="0">
      <items count="6">
        <item x="0"/>
        <item x="4"/>
        <item x="1"/>
        <item x="2"/>
        <item x="3"/>
        <item t="default"/>
      </items>
    </pivotField>
    <pivotField showAll="0">
      <items count="5">
        <item x="3"/>
        <item x="0"/>
        <item x="1"/>
        <item x="2"/>
        <item t="default"/>
      </items>
    </pivotField>
    <pivotField showAll="0"/>
    <pivotField showAll="0"/>
    <pivotField showAll="0"/>
    <pivotField showAll="0"/>
    <pivotField showAll="0"/>
    <pivotField showAll="0"/>
    <pivotField showAll="0">
      <items count="23">
        <item x="5"/>
        <item x="19"/>
        <item x="0"/>
        <item x="18"/>
        <item x="4"/>
        <item x="10"/>
        <item x="3"/>
        <item x="15"/>
        <item x="17"/>
        <item x="21"/>
        <item x="9"/>
        <item x="1"/>
        <item x="8"/>
        <item x="11"/>
        <item x="12"/>
        <item x="20"/>
        <item x="13"/>
        <item x="6"/>
        <item x="2"/>
        <item x="14"/>
        <item x="16"/>
        <item x="7"/>
        <item t="default"/>
      </items>
    </pivotField>
    <pivotField showAll="0">
      <items count="5">
        <item x="2"/>
        <item x="1"/>
        <item x="0"/>
        <item x="3"/>
        <item t="default"/>
      </items>
    </pivotField>
    <pivotField showAll="0">
      <items count="15">
        <item x="12"/>
        <item x="7"/>
        <item x="8"/>
        <item x="1"/>
        <item x="13"/>
        <item x="5"/>
        <item x="0"/>
        <item x="2"/>
        <item x="10"/>
        <item x="6"/>
        <item x="11"/>
        <item x="4"/>
        <item x="9"/>
        <item x="3"/>
        <item t="default"/>
      </items>
    </pivotField>
    <pivotField showAll="0">
      <items count="6">
        <item x="0"/>
        <item x="2"/>
        <item x="4"/>
        <item x="3"/>
        <item x="1"/>
        <item t="default"/>
      </items>
    </pivotField>
    <pivotField showAll="0">
      <items count="4">
        <item x="1"/>
        <item x="0"/>
        <item x="2"/>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8"/>
  </rowFields>
  <rowItems count="6">
    <i>
      <x/>
    </i>
    <i>
      <x v="1"/>
    </i>
    <i>
      <x v="2"/>
    </i>
    <i>
      <x v="3"/>
    </i>
    <i>
      <x v="4"/>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C05E666-376F-4EFA-A38A-9C540B408BE3}" name="PivotTable1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5">
  <location ref="G9:I24" firstHeaderRow="0" firstDataRow="1" firstDataCol="1"/>
  <pivotFields count="23">
    <pivotField showAll="0"/>
    <pivotField numFmtId="164" showAll="0"/>
    <pivotField showAll="0"/>
    <pivotField showAll="0"/>
    <pivotField showAll="0"/>
    <pivotField showAll="0"/>
    <pivotField numFmtId="9" showAll="0"/>
    <pivotField showAll="0">
      <items count="4">
        <item x="0"/>
        <item x="1"/>
        <item x="2"/>
        <item t="default"/>
      </items>
    </pivotField>
    <pivotField showAll="0"/>
    <pivotField showAll="0">
      <items count="5">
        <item x="3"/>
        <item x="0"/>
        <item x="1"/>
        <item x="2"/>
        <item t="default"/>
      </items>
    </pivotField>
    <pivotField showAll="0"/>
    <pivotField showAll="0"/>
    <pivotField dataField="1" showAll="0"/>
    <pivotField showAll="0"/>
    <pivotField dataField="1" showAll="0"/>
    <pivotField showAll="0"/>
    <pivotField showAll="0">
      <items count="23">
        <item x="5"/>
        <item x="19"/>
        <item x="0"/>
        <item x="18"/>
        <item x="4"/>
        <item x="10"/>
        <item x="3"/>
        <item x="15"/>
        <item x="17"/>
        <item x="21"/>
        <item x="9"/>
        <item x="1"/>
        <item x="8"/>
        <item x="11"/>
        <item x="12"/>
        <item x="20"/>
        <item x="13"/>
        <item x="6"/>
        <item x="2"/>
        <item x="14"/>
        <item x="16"/>
        <item x="7"/>
        <item t="default"/>
      </items>
    </pivotField>
    <pivotField showAll="0">
      <items count="5">
        <item x="2"/>
        <item x="1"/>
        <item x="0"/>
        <item x="3"/>
        <item t="default"/>
      </items>
    </pivotField>
    <pivotField axis="axisRow" showAll="0">
      <items count="15">
        <item x="12"/>
        <item x="7"/>
        <item x="8"/>
        <item x="1"/>
        <item x="13"/>
        <item x="5"/>
        <item x="0"/>
        <item x="2"/>
        <item x="10"/>
        <item x="6"/>
        <item x="11"/>
        <item x="4"/>
        <item x="9"/>
        <item x="3"/>
        <item t="default"/>
      </items>
    </pivotField>
    <pivotField showAll="0">
      <items count="6">
        <item x="0"/>
        <item x="2"/>
        <item x="4"/>
        <item x="3"/>
        <item x="1"/>
        <item t="default"/>
      </items>
    </pivotField>
    <pivotField showAll="0">
      <items count="4">
        <item x="1"/>
        <item x="0"/>
        <item x="2"/>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18"/>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um of profit" fld="14" baseField="0" baseItem="0"/>
    <dataField name="Sum of net_sales" fld="12" baseField="0" baseItem="0"/>
  </dataFields>
  <chartFormats count="2">
    <chartFormat chart="20"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C23A7E-EF53-44EF-BBDD-107610E0F74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I27:J33" firstHeaderRow="1" firstDataRow="1" firstDataCol="1"/>
  <pivotFields count="23">
    <pivotField showAll="0"/>
    <pivotField numFmtId="164" showAll="0"/>
    <pivotField showAll="0"/>
    <pivotField showAll="0"/>
    <pivotField showAll="0"/>
    <pivotField showAll="0"/>
    <pivotField numFmtId="9" showAll="0"/>
    <pivotField showAll="0">
      <items count="4">
        <item x="0"/>
        <item x="1"/>
        <item x="2"/>
        <item t="default"/>
      </items>
    </pivotField>
    <pivotField showAll="0"/>
    <pivotField showAll="0">
      <items count="5">
        <item x="3"/>
        <item x="0"/>
        <item x="1"/>
        <item x="2"/>
        <item t="default"/>
      </items>
    </pivotField>
    <pivotField showAll="0"/>
    <pivotField showAll="0"/>
    <pivotField showAll="0"/>
    <pivotField showAll="0"/>
    <pivotField dataField="1" showAll="0"/>
    <pivotField showAll="0"/>
    <pivotField showAll="0">
      <items count="23">
        <item x="5"/>
        <item x="19"/>
        <item x="0"/>
        <item x="18"/>
        <item x="4"/>
        <item x="10"/>
        <item x="3"/>
        <item x="15"/>
        <item x="17"/>
        <item x="21"/>
        <item x="9"/>
        <item x="1"/>
        <item x="8"/>
        <item x="11"/>
        <item x="12"/>
        <item x="20"/>
        <item x="13"/>
        <item x="6"/>
        <item x="2"/>
        <item x="14"/>
        <item x="16"/>
        <item x="7"/>
        <item t="default"/>
      </items>
    </pivotField>
    <pivotField showAll="0">
      <items count="5">
        <item x="2"/>
        <item x="1"/>
        <item x="0"/>
        <item x="3"/>
        <item t="default"/>
      </items>
    </pivotField>
    <pivotField showAll="0">
      <items count="15">
        <item x="12"/>
        <item x="7"/>
        <item x="8"/>
        <item x="1"/>
        <item x="13"/>
        <item x="5"/>
        <item x="0"/>
        <item x="2"/>
        <item x="10"/>
        <item x="6"/>
        <item x="11"/>
        <item x="4"/>
        <item x="9"/>
        <item x="3"/>
        <item t="default"/>
      </items>
    </pivotField>
    <pivotField axis="axisRow" showAll="0">
      <items count="6">
        <item x="0"/>
        <item x="2"/>
        <item x="4"/>
        <item x="3"/>
        <item x="1"/>
        <item t="default"/>
      </items>
    </pivotField>
    <pivotField showAll="0">
      <items count="4">
        <item x="1"/>
        <item x="0"/>
        <item x="2"/>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19"/>
  </rowFields>
  <rowItems count="6">
    <i>
      <x/>
    </i>
    <i>
      <x v="1"/>
    </i>
    <i>
      <x v="2"/>
    </i>
    <i>
      <x v="3"/>
    </i>
    <i>
      <x v="4"/>
    </i>
    <i t="grand">
      <x/>
    </i>
  </rowItems>
  <colItems count="1">
    <i/>
  </colItems>
  <dataFields count="1">
    <dataField name="Sum of profit" fld="14" baseField="0" baseItem="0"/>
  </dataFields>
  <chartFormats count="8">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19" count="1" selected="0">
            <x v="4"/>
          </reference>
        </references>
      </pivotArea>
    </chartFormat>
    <chartFormat chart="15" format="4">
      <pivotArea type="data" outline="0" fieldPosition="0">
        <references count="2">
          <reference field="4294967294" count="1" selected="0">
            <x v="0"/>
          </reference>
          <reference field="19" count="1" selected="0">
            <x v="3"/>
          </reference>
        </references>
      </pivotArea>
    </chartFormat>
    <chartFormat chart="15" format="5">
      <pivotArea type="data" outline="0" fieldPosition="0">
        <references count="2">
          <reference field="4294967294" count="1" selected="0">
            <x v="0"/>
          </reference>
          <reference field="19" count="1" selected="0">
            <x v="2"/>
          </reference>
        </references>
      </pivotArea>
    </chartFormat>
    <chartFormat chart="15" format="6">
      <pivotArea type="data" outline="0" fieldPosition="0">
        <references count="2">
          <reference field="4294967294" count="1" selected="0">
            <x v="0"/>
          </reference>
          <reference field="19" count="1" selected="0">
            <x v="1"/>
          </reference>
        </references>
      </pivotArea>
    </chartFormat>
    <chartFormat chart="15" format="7">
      <pivotArea type="data" outline="0" fieldPosition="0">
        <references count="2">
          <reference field="4294967294" count="1" selected="0">
            <x v="0"/>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30A447C-6774-4C64-AA00-F06C0AF71DB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7:B22" firstHeaderRow="1" firstDataRow="1" firstDataCol="1"/>
  <pivotFields count="23">
    <pivotField showAll="0"/>
    <pivotField numFmtId="164" showAll="0"/>
    <pivotField showAll="0"/>
    <pivotField showAll="0"/>
    <pivotField showAll="0"/>
    <pivotField showAll="0"/>
    <pivotField numFmtId="9" showAll="0"/>
    <pivotField showAll="0">
      <items count="4">
        <item x="0"/>
        <item x="1"/>
        <item x="2"/>
        <item t="default"/>
      </items>
    </pivotField>
    <pivotField showAll="0"/>
    <pivotField showAll="0">
      <items count="5">
        <item x="3"/>
        <item x="0"/>
        <item x="1"/>
        <item x="2"/>
        <item t="default"/>
      </items>
    </pivotField>
    <pivotField showAll="0"/>
    <pivotField showAll="0"/>
    <pivotField showAll="0"/>
    <pivotField showAll="0"/>
    <pivotField dataField="1" showAll="0"/>
    <pivotField showAll="0"/>
    <pivotField showAll="0"/>
    <pivotField axis="axisRow" showAll="0">
      <items count="5">
        <item x="2"/>
        <item x="1"/>
        <item x="0"/>
        <item x="3"/>
        <item t="default"/>
      </items>
    </pivotField>
    <pivotField showAll="0">
      <items count="15">
        <item x="12"/>
        <item x="7"/>
        <item x="8"/>
        <item x="1"/>
        <item x="13"/>
        <item x="5"/>
        <item x="0"/>
        <item x="2"/>
        <item x="10"/>
        <item x="6"/>
        <item x="11"/>
        <item x="4"/>
        <item x="9"/>
        <item x="3"/>
        <item t="default"/>
      </items>
    </pivotField>
    <pivotField showAll="0">
      <items count="6">
        <item x="0"/>
        <item x="2"/>
        <item x="4"/>
        <item x="3"/>
        <item x="1"/>
        <item t="default"/>
      </items>
    </pivotField>
    <pivotField showAll="0">
      <items count="4">
        <item x="1"/>
        <item x="0"/>
        <item x="2"/>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17"/>
  </rowFields>
  <rowItems count="5">
    <i>
      <x/>
    </i>
    <i>
      <x v="1"/>
    </i>
    <i>
      <x v="2"/>
    </i>
    <i>
      <x v="3"/>
    </i>
    <i t="grand">
      <x/>
    </i>
  </rowItems>
  <colItems count="1">
    <i/>
  </colItems>
  <dataFields count="1">
    <dataField name="Sum of profit" fld="14"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69E2B38-253A-4AE4-B198-F5272E876D29}"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I1:J6" firstHeaderRow="1" firstDataRow="1" firstDataCol="1"/>
  <pivotFields count="23">
    <pivotField dataField="1" showAll="0"/>
    <pivotField numFmtId="164" showAll="0"/>
    <pivotField showAll="0"/>
    <pivotField showAll="0"/>
    <pivotField showAll="0"/>
    <pivotField showAll="0"/>
    <pivotField numFmtId="9" showAll="0"/>
    <pivotField showAll="0">
      <items count="4">
        <item x="0"/>
        <item x="1"/>
        <item x="2"/>
        <item t="default"/>
      </items>
    </pivotField>
    <pivotField showAll="0"/>
    <pivotField axis="axisRow" showAll="0">
      <items count="5">
        <item x="3"/>
        <item x="0"/>
        <item x="1"/>
        <item x="2"/>
        <item t="default"/>
      </items>
    </pivotField>
    <pivotField showAll="0"/>
    <pivotField showAll="0"/>
    <pivotField showAll="0"/>
    <pivotField showAll="0"/>
    <pivotField showAll="0"/>
    <pivotField showAll="0"/>
    <pivotField showAll="0">
      <items count="23">
        <item x="5"/>
        <item x="19"/>
        <item x="0"/>
        <item x="18"/>
        <item x="4"/>
        <item x="10"/>
        <item x="3"/>
        <item x="15"/>
        <item x="17"/>
        <item x="21"/>
        <item x="9"/>
        <item x="1"/>
        <item x="8"/>
        <item x="11"/>
        <item x="12"/>
        <item x="20"/>
        <item x="13"/>
        <item x="6"/>
        <item x="2"/>
        <item x="14"/>
        <item x="16"/>
        <item x="7"/>
        <item t="default"/>
      </items>
    </pivotField>
    <pivotField showAll="0">
      <items count="5">
        <item x="2"/>
        <item x="1"/>
        <item x="0"/>
        <item x="3"/>
        <item t="default"/>
      </items>
    </pivotField>
    <pivotField showAll="0">
      <items count="15">
        <item x="12"/>
        <item x="7"/>
        <item x="8"/>
        <item x="1"/>
        <item x="13"/>
        <item x="5"/>
        <item x="0"/>
        <item x="2"/>
        <item x="10"/>
        <item x="6"/>
        <item x="11"/>
        <item x="4"/>
        <item x="9"/>
        <item x="3"/>
        <item t="default"/>
      </items>
    </pivotField>
    <pivotField showAll="0">
      <items count="6">
        <item x="0"/>
        <item x="2"/>
        <item x="4"/>
        <item x="3"/>
        <item x="1"/>
        <item t="default"/>
      </items>
    </pivotField>
    <pivotField showAll="0">
      <items count="4">
        <item x="1"/>
        <item x="0"/>
        <item x="2"/>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9"/>
  </rowFields>
  <rowItems count="5">
    <i>
      <x/>
    </i>
    <i>
      <x v="1"/>
    </i>
    <i>
      <x v="2"/>
    </i>
    <i>
      <x v="3"/>
    </i>
    <i t="grand">
      <x/>
    </i>
  </rowItems>
  <colItems count="1">
    <i/>
  </colItems>
  <dataFields count="1">
    <dataField name="Count of Order ID" fld="0" subtotal="count" baseField="0" baseItem="0"/>
  </dataFields>
  <chartFormats count="5">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9" count="1" selected="0">
            <x v="0"/>
          </reference>
        </references>
      </pivotArea>
    </chartFormat>
    <chartFormat chart="15" format="8">
      <pivotArea type="data" outline="0" fieldPosition="0">
        <references count="2">
          <reference field="4294967294" count="1" selected="0">
            <x v="0"/>
          </reference>
          <reference field="9" count="1" selected="0">
            <x v="1"/>
          </reference>
        </references>
      </pivotArea>
    </chartFormat>
    <chartFormat chart="15" format="9">
      <pivotArea type="data" outline="0" fieldPosition="0">
        <references count="2">
          <reference field="4294967294" count="1" selected="0">
            <x v="0"/>
          </reference>
          <reference field="9" count="1" selected="0">
            <x v="2"/>
          </reference>
        </references>
      </pivotArea>
    </chartFormat>
    <chartFormat chart="15"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B9A76F41-47A4-4CF1-B471-4D42B1387ADD}" sourceName="Months">
  <pivotTables>
    <pivotTable tabId="7" name="PivotTable1"/>
    <pivotTable tabId="7" name="PivotTable10"/>
    <pivotTable tabId="7" name="PivotTable11"/>
    <pivotTable tabId="7" name="PivotTable12"/>
    <pivotTable tabId="7" name="PivotTable13"/>
    <pivotTable tabId="7" name="PivotTable14"/>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1300055170">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01CE963-0A1B-4F67-B8AD-7B65AE22FC6C}" sourceName="year">
  <pivotTables>
    <pivotTable tabId="7" name="PivotTable1"/>
    <pivotTable tabId="7" name="PivotTable10"/>
    <pivotTable tabId="7" name="PivotTable11"/>
    <pivotTable tabId="7" name="PivotTable12"/>
    <pivotTable tabId="7" name="PivotTable13"/>
    <pivotTable tabId="7" name="PivotTable14"/>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130005517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0F95712-F62F-4DCE-82A7-4BD6428EFA9D}" sourceName="Region">
  <pivotTables>
    <pivotTable tabId="7" name="PivotTable1"/>
    <pivotTable tabId="7" name="PivotTable10"/>
    <pivotTable tabId="7" name="PivotTable11"/>
    <pivotTable tabId="7" name="PivotTable12"/>
    <pivotTable tabId="7" name="PivotTable13"/>
    <pivotTable tabId="7" name="PivotTable14"/>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1300055170">
      <items count="5">
        <i x="0" s="1"/>
        <i x="2" s="1"/>
        <i x="4"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913D6D50-2AF5-4E09-A4E0-A602A0D6C805}" sourceName="Status">
  <pivotTables>
    <pivotTable tabId="7" name="PivotTable1"/>
    <pivotTable tabId="7" name="PivotTable10"/>
    <pivotTable tabId="7" name="PivotTable11"/>
    <pivotTable tabId="7" name="PivotTable12"/>
    <pivotTable tabId="7" name="PivotTable13"/>
    <pivotTable tabId="7" name="PivotTable14"/>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1300055170">
      <items count="4">
        <i x="3" s="1"/>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D928B8F7-4E2E-4646-95C1-404F58ABAB3C}" sourceName="Ship Mode">
  <pivotTables>
    <pivotTable tabId="7" name="PivotTable1"/>
    <pivotTable tabId="7" name="PivotTable10"/>
    <pivotTable tabId="7" name="PivotTable11"/>
    <pivotTable tabId="7" name="PivotTable12"/>
    <pivotTable tabId="7" name="PivotTable13"/>
    <pivotTable tabId="7" name="PivotTable14"/>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1300055170">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EEE7EA8-7928-48E5-ACE6-39DF2E65995E}" sourceName="Category">
  <pivotTables>
    <pivotTable tabId="7" name="PivotTable1"/>
    <pivotTable tabId="7" name="PivotTable10"/>
    <pivotTable tabId="7" name="PivotTable11"/>
    <pivotTable tabId="7" name="PivotTable12"/>
    <pivotTable tabId="7" name="PivotTable13"/>
    <pivotTable tabId="7" name="PivotTable14"/>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1300055170">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EE4E0F6E-79DA-4A8D-B4F6-2FB9E857759A}" cache="Slicer_Months" caption="Months" startItem="3" rowHeight="241300"/>
  <slicer name="year" xr10:uid="{38AFBE7C-127C-45C8-A144-E4E1778599AE}" cache="Slicer_year" caption="year" rowHeight="360000"/>
  <slicer name="Region" xr10:uid="{6AEFE67B-0E9B-41F0-A06B-9C89EC164D19}" cache="Slicer_Region" caption="Region" rowHeight="241300"/>
  <slicer name="Status" xr10:uid="{689ECF54-6105-4DE6-8E72-361689E47240}" cache="Slicer_Status" caption="Status" rowHeight="241300"/>
  <slicer name="Ship Mode" xr10:uid="{8BEC8BFA-E708-4324-872D-A907552438DC}" cache="Slicer_Ship_Mode" caption="Ship Mode" rowHeight="241300"/>
  <slicer name="Category" xr10:uid="{782FD9E8-1517-4819-BAD8-3A52541CC4DD}" cache="Slicer_Category" caption="Category"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9B33A3-5523-4135-A67C-E4A06906822B}" name="Table1" displayName="Table1" ref="A1:W1201" totalsRowShown="0" headerRowDxfId="21">
  <autoFilter ref="A1:W1201" xr:uid="{869B33A3-5523-4135-A67C-E4A06906822B}"/>
  <tableColumns count="23">
    <tableColumn id="1" xr3:uid="{06817B66-2DCE-466D-A29C-25FEE2B47C8F}" name="Order ID" dataDxfId="20"/>
    <tableColumn id="2" xr3:uid="{E1C804CD-2C74-4E61-9CEC-4FC037B70D30}" name="Order Date" dataDxfId="19"/>
    <tableColumn id="3" xr3:uid="{529C76AA-3E8A-4BD4-BBC7-F644A4773853}" name="Customer ID" dataDxfId="18"/>
    <tableColumn id="21" xr3:uid="{EB9FD554-FE12-468F-A915-D5CB60319761}" name="Month" dataDxfId="17">
      <calculatedColumnFormula>TEXT(Table1[[#This Row],[Order Date]],"mmmm")</calculatedColumnFormula>
    </tableColumn>
    <tableColumn id="4" xr3:uid="{E5468AC2-7C7B-46E1-879D-ACFEA222E857}" name="Product ID" dataDxfId="16"/>
    <tableColumn id="5" xr3:uid="{9E97C29D-9815-490F-8668-F327916E91DC}" name="Quantity" dataDxfId="15"/>
    <tableColumn id="6" xr3:uid="{68F6518F-4B49-4A70-8F02-8629A9FE71BC}" name="Discount" dataDxfId="14"/>
    <tableColumn id="7" xr3:uid="{42C22803-15BA-484C-92C5-D5C6EF7537A9}" name="Ship Mode" dataDxfId="13"/>
    <tableColumn id="8" xr3:uid="{A3580BB0-459B-4937-9A96-18A8186B68D3}" name="Payment Mode" dataDxfId="12"/>
    <tableColumn id="9" xr3:uid="{8F63645D-FDE1-4260-AFC8-ADD037FE9D0E}" name="Status" dataDxfId="11"/>
    <tableColumn id="10" xr3:uid="{907E3BFB-25CA-4562-B0CD-BF6EF6268BE4}" name="unit_price">
      <calculatedColumnFormula>VLOOKUP(E2,Products!$A$2:$E$23,5,0)</calculatedColumnFormula>
    </tableColumn>
    <tableColumn id="11" xr3:uid="{55A55278-B658-4EA1-BBDE-9050A181B16C}" name="cost_price">
      <calculatedColumnFormula>VLOOKUP(E2,Products!$A$2:$E$23,4,0)</calculatedColumnFormula>
    </tableColumn>
    <tableColumn id="12" xr3:uid="{838E3141-2578-492A-80DA-67A1F3310EC5}" name="net_sales" dataDxfId="10">
      <calculatedColumnFormula>K2*F2-Table1[[#This Row],[discount_amount]]</calculatedColumnFormula>
    </tableColumn>
    <tableColumn id="13" xr3:uid="{AFC9E3CB-AEB0-4E94-A66E-D6A289DDE5C7}" name="total_cost">
      <calculatedColumnFormula>F2*L2</calculatedColumnFormula>
    </tableColumn>
    <tableColumn id="14" xr3:uid="{8A5328A7-99B0-49C0-BDD0-6BBD7B067BFC}" name="profit" dataDxfId="9">
      <calculatedColumnFormula>M2-N2</calculatedColumnFormula>
    </tableColumn>
    <tableColumn id="15" xr3:uid="{ADA97C62-AEA3-40C0-AA38-61DCEB911170}" name="discount_amount" dataDxfId="8">
      <calculatedColumnFormula>Table1[[#This Row],[Quantity]]*Table1[[#This Row],[unit_price]]*Table1[[#This Row],[Discount]]</calculatedColumnFormula>
    </tableColumn>
    <tableColumn id="16" xr3:uid="{FC84C65C-6639-4F98-857B-D110333A6D59}" name="Product Name" dataDxfId="7">
      <calculatedColumnFormula>VLOOKUP(E2,Products!$A$2:$E$23,2,0)</calculatedColumnFormula>
    </tableColumn>
    <tableColumn id="17" xr3:uid="{277E3CAF-91E6-4DB0-A28E-4F5BF2E4D2DC}" name="Category" dataDxfId="6">
      <calculatedColumnFormula>VLOOKUP(Table1[[#This Row],[Product ID]],Products!$A$2:$E$23,3,0)</calculatedColumnFormula>
    </tableColumn>
    <tableColumn id="18" xr3:uid="{906CE4BD-93DF-4185-852B-C04D634C46B5}" name="State" dataDxfId="5">
      <calculatedColumnFormula>VLOOKUP(C2,Customers!$A$2:$F$201,4,0)</calculatedColumnFormula>
    </tableColumn>
    <tableColumn id="19" xr3:uid="{718B06EC-45F2-4C38-AE94-EEB53A66DA43}" name="Region" dataDxfId="4">
      <calculatedColumnFormula>VLOOKUP(Table1[[#This Row],[Customer ID]],Customers!$A$2:$F$201,5,0)</calculatedColumnFormula>
    </tableColumn>
    <tableColumn id="20" xr3:uid="{01E5AE40-36BD-42F0-A64D-35CA5FB1DD0F}" name="segment" dataDxfId="3">
      <calculatedColumnFormula>VLOOKUP(Table1[[#This Row],[Customer ID]],Customers!$A$2:$F$201,6,0)</calculatedColumnFormula>
    </tableColumn>
    <tableColumn id="22" xr3:uid="{CAC75AE8-9FB0-44B4-91DB-D197620639C1}" name="Months" dataDxfId="2">
      <calculatedColumnFormula>TEXT(Table1[[#This Row],[Order Date]],"MMM")</calculatedColumnFormula>
    </tableColumn>
    <tableColumn id="23" xr3:uid="{787D9CE8-DB90-41F6-B795-26CFF8B270D0}" name="year" dataDxfId="1">
      <calculatedColumnFormula>TEXT(Table1[[#This Row],[Order Date]],"yyyy")</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206887-0EA4-48D8-8DE5-9094EFAA1D69}" name="Table2" displayName="Table2" ref="A1:W43" totalsRowShown="0">
  <autoFilter ref="A1:W43" xr:uid="{EE206887-0EA4-48D8-8DE5-9094EFAA1D69}"/>
  <tableColumns count="23">
    <tableColumn id="1" xr3:uid="{158F8899-6F5E-4D71-8311-A85D9637159F}" name="Order ID"/>
    <tableColumn id="2" xr3:uid="{628530A8-94BD-4150-897D-D7E8BF2B36BB}" name="Order Date" dataDxfId="0"/>
    <tableColumn id="3" xr3:uid="{A8F30DB9-B528-4299-95D4-A9160D294744}" name="Customer ID"/>
    <tableColumn id="4" xr3:uid="{FB96293A-7B44-4A7B-B94F-A57D04660828}" name="Month"/>
    <tableColumn id="5" xr3:uid="{535EA514-1E97-4906-A849-014DAFD3530C}" name="Product ID"/>
    <tableColumn id="6" xr3:uid="{0733C471-A506-45B6-A339-73788A1114F8}" name="Quantity"/>
    <tableColumn id="7" xr3:uid="{AB9D0F67-796E-4764-8F46-610E796F837A}" name="Discount"/>
    <tableColumn id="8" xr3:uid="{98D15452-BBA7-4525-9E86-C2E89C06C15B}" name="Ship Mode"/>
    <tableColumn id="9" xr3:uid="{5A125FFC-7EB9-40DC-9DDC-F14C59A044F1}" name="Payment Mode"/>
    <tableColumn id="10" xr3:uid="{D49FC5AF-85F3-456B-A3F3-6ADF933F4B99}" name="Status"/>
    <tableColumn id="11" xr3:uid="{AF413CDB-E1C6-45C8-8164-0D211932705E}" name="unit_price"/>
    <tableColumn id="12" xr3:uid="{00A993B7-2ED1-49E5-ABD3-9162FFBF8940}" name="cost_price"/>
    <tableColumn id="13" xr3:uid="{A3E4402F-91D3-4573-8B46-7B83C52545C6}" name="net_sales"/>
    <tableColumn id="14" xr3:uid="{13E029EB-0420-4834-96A7-6EA81A72B8C8}" name="total_cost"/>
    <tableColumn id="15" xr3:uid="{B5ED571A-4AA8-4CC8-A403-411A119EACA0}" name="profit"/>
    <tableColumn id="16" xr3:uid="{47536C6F-349E-4D91-A11E-1B5204133C11}" name="discount_amount"/>
    <tableColumn id="17" xr3:uid="{88C820C3-4306-416F-979F-477F37642A7F}" name="Product Name"/>
    <tableColumn id="18" xr3:uid="{140D6B80-54D9-4AC2-990C-4D2154BAF954}" name="Category"/>
    <tableColumn id="19" xr3:uid="{6F74D4DE-3411-4C8E-ADC4-501A7C013152}" name="State"/>
    <tableColumn id="20" xr3:uid="{6CD6664C-C2B7-4C3C-83D9-E6A28B3B26DB}" name="Region"/>
    <tableColumn id="21" xr3:uid="{0F3480B0-B894-4BFA-9A61-65F243B3DCB0}" name="segment"/>
    <tableColumn id="22" xr3:uid="{6CCAB100-C517-42F3-A4F9-F9943841E772}" name="Months"/>
    <tableColumn id="23" xr3:uid="{AF0DBA05-AEF2-44FC-B0F5-A8AEDAD000D6}" name="yea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
  <sheetViews>
    <sheetView zoomScale="190" zoomScaleNormal="190" workbookViewId="0">
      <selection activeCell="A5" sqref="A5:XFD5"/>
    </sheetView>
  </sheetViews>
  <sheetFormatPr defaultRowHeight="15" x14ac:dyDescent="0.25"/>
  <cols>
    <col min="1" max="1" width="110" customWidth="1"/>
  </cols>
  <sheetData>
    <row r="1" spans="1:1" ht="15.75" x14ac:dyDescent="0.25">
      <c r="A1" s="1" t="s">
        <v>0</v>
      </c>
    </row>
    <row r="2" spans="1:1" x14ac:dyDescent="0.25">
      <c r="A2" s="2"/>
    </row>
    <row r="3" spans="1:1" x14ac:dyDescent="0.25">
      <c r="A3" s="2" t="s">
        <v>1</v>
      </c>
    </row>
    <row r="4" spans="1:1" ht="17.25" customHeight="1" x14ac:dyDescent="0.25">
      <c r="A4" s="2" t="s">
        <v>2</v>
      </c>
    </row>
    <row r="5" spans="1:1" x14ac:dyDescent="0.25">
      <c r="A5" s="2" t="s">
        <v>3</v>
      </c>
    </row>
    <row r="6" spans="1:1" x14ac:dyDescent="0.25">
      <c r="A6" s="2" t="s">
        <v>4</v>
      </c>
    </row>
    <row r="7" spans="1:1" x14ac:dyDescent="0.25">
      <c r="A7" s="2"/>
    </row>
    <row r="8" spans="1:1" x14ac:dyDescent="0.25">
      <c r="A8" s="2" t="s">
        <v>5</v>
      </c>
    </row>
    <row r="9" spans="1:1" x14ac:dyDescent="0.25">
      <c r="A9" s="2" t="s">
        <v>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201"/>
  <sheetViews>
    <sheetView topLeftCell="F1" workbookViewId="0">
      <pane ySplit="1" topLeftCell="A2" activePane="bottomLeft" state="frozen"/>
      <selection pane="bottomLeft" activeCell="J7" sqref="J7"/>
    </sheetView>
  </sheetViews>
  <sheetFormatPr defaultRowHeight="15" x14ac:dyDescent="0.25"/>
  <cols>
    <col min="1" max="1" width="13.140625" bestFit="1" customWidth="1"/>
    <col min="2" max="2" width="15.42578125" bestFit="1" customWidth="1"/>
    <col min="3" max="3" width="16.5703125" bestFit="1" customWidth="1"/>
    <col min="4" max="4" width="16.5703125" customWidth="1"/>
    <col min="5" max="5" width="15" bestFit="1" customWidth="1"/>
    <col min="6" max="6" width="13.140625" bestFit="1" customWidth="1"/>
    <col min="7" max="7" width="13.28515625" bestFit="1" customWidth="1"/>
    <col min="8" max="8" width="15.28515625" bestFit="1" customWidth="1"/>
    <col min="9" max="9" width="19.28515625" bestFit="1" customWidth="1"/>
    <col min="10" max="10" width="11.140625" bestFit="1" customWidth="1"/>
    <col min="11" max="11" width="14.5703125" bestFit="1" customWidth="1"/>
    <col min="12" max="12" width="14.7109375" bestFit="1" customWidth="1"/>
    <col min="13" max="13" width="14" bestFit="1" customWidth="1"/>
    <col min="14" max="14" width="14.140625" bestFit="1" customWidth="1"/>
    <col min="15" max="15" width="10.28515625" bestFit="1" customWidth="1"/>
    <col min="16" max="16" width="21.140625" bestFit="1" customWidth="1"/>
    <col min="17" max="17" width="22" bestFit="1" customWidth="1"/>
    <col min="18" max="18" width="14.5703125" bestFit="1" customWidth="1"/>
    <col min="19" max="19" width="15.7109375" bestFit="1" customWidth="1"/>
    <col min="20" max="20" width="13.140625" bestFit="1" customWidth="1"/>
    <col min="21" max="21" width="13.28515625" bestFit="1" customWidth="1"/>
  </cols>
  <sheetData>
    <row r="1" spans="1:23" x14ac:dyDescent="0.25">
      <c r="A1" s="3" t="s">
        <v>7</v>
      </c>
      <c r="B1" s="3" t="s">
        <v>8</v>
      </c>
      <c r="C1" s="3" t="s">
        <v>9</v>
      </c>
      <c r="D1" s="3" t="s">
        <v>1686</v>
      </c>
      <c r="E1" s="3" t="s">
        <v>10</v>
      </c>
      <c r="F1" s="3" t="s">
        <v>11</v>
      </c>
      <c r="G1" s="3" t="s">
        <v>12</v>
      </c>
      <c r="H1" s="3" t="s">
        <v>13</v>
      </c>
      <c r="I1" s="3" t="s">
        <v>14</v>
      </c>
      <c r="J1" s="3" t="s">
        <v>15</v>
      </c>
      <c r="K1" s="3" t="s">
        <v>1679</v>
      </c>
      <c r="L1" s="3" t="s">
        <v>1680</v>
      </c>
      <c r="M1" s="3" t="s">
        <v>1682</v>
      </c>
      <c r="N1" s="3" t="s">
        <v>1683</v>
      </c>
      <c r="O1" s="3" t="s">
        <v>1684</v>
      </c>
      <c r="P1" s="3" t="s">
        <v>1681</v>
      </c>
      <c r="Q1" s="6" t="s">
        <v>1449</v>
      </c>
      <c r="R1" s="6" t="s">
        <v>1450</v>
      </c>
      <c r="S1" s="6" t="s">
        <v>1481</v>
      </c>
      <c r="T1" s="6" t="s">
        <v>1482</v>
      </c>
      <c r="U1" s="6" t="s">
        <v>1685</v>
      </c>
      <c r="V1" s="6" t="s">
        <v>1687</v>
      </c>
      <c r="W1" s="6" t="s">
        <v>1691</v>
      </c>
    </row>
    <row r="2" spans="1:23" x14ac:dyDescent="0.25">
      <c r="A2" s="2" t="s">
        <v>16</v>
      </c>
      <c r="B2" s="4">
        <v>45293</v>
      </c>
      <c r="C2" s="2" t="s">
        <v>17</v>
      </c>
      <c r="D2" s="2" t="str">
        <f>TEXT(Table1[[#This Row],[Order Date]],"mmmm")</f>
        <v>January</v>
      </c>
      <c r="E2" s="2" t="s">
        <v>18</v>
      </c>
      <c r="F2" s="2">
        <v>4</v>
      </c>
      <c r="G2" s="5">
        <v>0.05</v>
      </c>
      <c r="H2" s="2" t="s">
        <v>19</v>
      </c>
      <c r="I2" s="2" t="s">
        <v>20</v>
      </c>
      <c r="J2" s="2" t="s">
        <v>21</v>
      </c>
      <c r="K2">
        <f>VLOOKUP(E2,Products!$A$2:$E$23,5,0)</f>
        <v>4299</v>
      </c>
      <c r="L2">
        <f>VLOOKUP(E2,Products!$A$2:$E$23,4,0)</f>
        <v>2800</v>
      </c>
      <c r="M2" s="2">
        <f>K2*F2-Table1[[#This Row],[discount_amount]]</f>
        <v>16336.2</v>
      </c>
      <c r="N2">
        <f>F2*L2</f>
        <v>11200</v>
      </c>
      <c r="O2">
        <f t="shared" ref="O2:O65" si="0">M2-N2</f>
        <v>5136.2000000000007</v>
      </c>
      <c r="P2">
        <f>Table1[[#This Row],[Quantity]]*Table1[[#This Row],[unit_price]]*Table1[[#This Row],[Discount]]</f>
        <v>859.80000000000007</v>
      </c>
      <c r="Q2" t="str">
        <f>VLOOKUP(E2,Products!$A$2:$E$23,2,0)</f>
        <v>Bookshelf</v>
      </c>
      <c r="R2" t="str">
        <f>VLOOKUP(Table1[[#This Row],[Product ID]],Products!$A$2:$E$23,3,0)</f>
        <v>Furniture</v>
      </c>
      <c r="S2" t="str">
        <f>VLOOKUP(C2,Customers!$A$2:$F$201,4,0)</f>
        <v>Madhya Pradesh</v>
      </c>
      <c r="T2" t="str">
        <f>VLOOKUP(Table1[[#This Row],[Customer ID]],Customers!$A$2:$F$201,5,0)</f>
        <v>Central</v>
      </c>
      <c r="U2" t="str">
        <f>VLOOKUP(Table1[[#This Row],[Customer ID]],Customers!$A$2:$F$201,6,0)</f>
        <v>Corporate</v>
      </c>
      <c r="V2" t="str">
        <f>TEXT(Table1[[#This Row],[Order Date]],"MMM")</f>
        <v>Jan</v>
      </c>
      <c r="W2" t="str">
        <f>TEXT(Table1[[#This Row],[Order Date]],"yyyy")</f>
        <v>2024</v>
      </c>
    </row>
    <row r="3" spans="1:23" x14ac:dyDescent="0.25">
      <c r="A3" s="2" t="s">
        <v>22</v>
      </c>
      <c r="B3" s="4">
        <v>45293</v>
      </c>
      <c r="C3" s="2" t="s">
        <v>23</v>
      </c>
      <c r="D3" s="2" t="str">
        <f>TEXT(Table1[[#This Row],[Order Date]],"mmmm")</f>
        <v>January</v>
      </c>
      <c r="E3" s="2" t="s">
        <v>24</v>
      </c>
      <c r="F3" s="2">
        <v>6</v>
      </c>
      <c r="G3" s="5">
        <v>0.1</v>
      </c>
      <c r="H3" s="2" t="s">
        <v>25</v>
      </c>
      <c r="I3" s="2" t="s">
        <v>26</v>
      </c>
      <c r="J3" s="2" t="s">
        <v>21</v>
      </c>
      <c r="K3">
        <f>VLOOKUP(E3,Products!$A$2:$E$23,5,0)</f>
        <v>899</v>
      </c>
      <c r="L3">
        <f>VLOOKUP(E3,Products!$A$2:$E$23,4,0)</f>
        <v>500</v>
      </c>
      <c r="M3" s="2">
        <f>K3*F3-Table1[[#This Row],[discount_amount]]</f>
        <v>4854.6000000000004</v>
      </c>
      <c r="N3">
        <f t="shared" ref="N3:N66" si="1">F3*L3</f>
        <v>3000</v>
      </c>
      <c r="O3">
        <f t="shared" si="0"/>
        <v>1854.6000000000004</v>
      </c>
      <c r="P3">
        <f>Table1[[#This Row],[Quantity]]*Table1[[#This Row],[unit_price]]*Table1[[#This Row],[Discount]]</f>
        <v>539.4</v>
      </c>
      <c r="Q3" t="str">
        <f>VLOOKUP(E3,Products!$A$2:$E$23,2,0)</f>
        <v>Monitor Stand</v>
      </c>
      <c r="R3" t="str">
        <f>VLOOKUP(Table1[[#This Row],[Product ID]],Products!$A$2:$E$23,3,0)</f>
        <v>Furniture</v>
      </c>
      <c r="S3" t="str">
        <f>VLOOKUP(C3,Customers!$A$2:$F$201,4,0)</f>
        <v>Gujarat</v>
      </c>
      <c r="T3" t="str">
        <f>VLOOKUP(Table1[[#This Row],[Customer ID]],Customers!$A$2:$F$201,5,0)</f>
        <v>West</v>
      </c>
      <c r="U3" t="str">
        <f>VLOOKUP(Table1[[#This Row],[Customer ID]],Customers!$A$2:$F$201,6,0)</f>
        <v>Consumer</v>
      </c>
      <c r="V3" t="str">
        <f>TEXT(Table1[[#This Row],[Order Date]],"MMM")</f>
        <v>Jan</v>
      </c>
      <c r="W3" t="str">
        <f>TEXT(Table1[[#This Row],[Order Date]],"yyyy")</f>
        <v>2024</v>
      </c>
    </row>
    <row r="4" spans="1:23" x14ac:dyDescent="0.25">
      <c r="A4" s="2" t="s">
        <v>27</v>
      </c>
      <c r="B4" s="4">
        <v>45294</v>
      </c>
      <c r="C4" s="2" t="s">
        <v>28</v>
      </c>
      <c r="D4" s="2" t="str">
        <f>TEXT(Table1[[#This Row],[Order Date]],"mmmm")</f>
        <v>January</v>
      </c>
      <c r="E4" s="2" t="s">
        <v>29</v>
      </c>
      <c r="F4" s="2">
        <v>5</v>
      </c>
      <c r="G4" s="5">
        <v>0</v>
      </c>
      <c r="H4" s="2" t="s">
        <v>30</v>
      </c>
      <c r="I4" s="2" t="s">
        <v>31</v>
      </c>
      <c r="J4" s="2" t="s">
        <v>21</v>
      </c>
      <c r="K4">
        <f>VLOOKUP(E4,Products!$A$2:$E$23,5,0)</f>
        <v>599</v>
      </c>
      <c r="L4">
        <f>VLOOKUP(E4,Products!$A$2:$E$23,4,0)</f>
        <v>350</v>
      </c>
      <c r="M4" s="2">
        <f>K4*F4-Table1[[#This Row],[discount_amount]]</f>
        <v>2995</v>
      </c>
      <c r="N4">
        <f t="shared" si="1"/>
        <v>1750</v>
      </c>
      <c r="O4">
        <f t="shared" si="0"/>
        <v>1245</v>
      </c>
      <c r="P4">
        <f>Table1[[#This Row],[Quantity]]*Table1[[#This Row],[unit_price]]*Table1[[#This Row],[Discount]]</f>
        <v>0</v>
      </c>
      <c r="Q4" t="str">
        <f>VLOOKUP(E4,Products!$A$2:$E$23,2,0)</f>
        <v>USB Flash Drive 64GB</v>
      </c>
      <c r="R4" t="str">
        <f>VLOOKUP(Table1[[#This Row],[Product ID]],Products!$A$2:$E$23,3,0)</f>
        <v>Electronics</v>
      </c>
      <c r="S4" t="str">
        <f>VLOOKUP(C4,Customers!$A$2:$F$201,4,0)</f>
        <v>Maharashtra</v>
      </c>
      <c r="T4" t="str">
        <f>VLOOKUP(Table1[[#This Row],[Customer ID]],Customers!$A$2:$F$201,5,0)</f>
        <v>West</v>
      </c>
      <c r="U4" t="str">
        <f>VLOOKUP(Table1[[#This Row],[Customer ID]],Customers!$A$2:$F$201,6,0)</f>
        <v>Consumer</v>
      </c>
      <c r="V4" t="str">
        <f>TEXT(Table1[[#This Row],[Order Date]],"MMM")</f>
        <v>Jan</v>
      </c>
      <c r="W4" t="str">
        <f>TEXT(Table1[[#This Row],[Order Date]],"yyyy")</f>
        <v>2024</v>
      </c>
    </row>
    <row r="5" spans="1:23" x14ac:dyDescent="0.25">
      <c r="A5" s="2" t="s">
        <v>32</v>
      </c>
      <c r="B5" s="4">
        <v>45294</v>
      </c>
      <c r="C5" s="2" t="s">
        <v>33</v>
      </c>
      <c r="D5" s="2" t="str">
        <f>TEXT(Table1[[#This Row],[Order Date]],"mmmm")</f>
        <v>January</v>
      </c>
      <c r="E5" s="2" t="s">
        <v>34</v>
      </c>
      <c r="F5" s="2">
        <v>1</v>
      </c>
      <c r="G5" s="5">
        <v>0</v>
      </c>
      <c r="H5" s="2" t="s">
        <v>19</v>
      </c>
      <c r="I5" s="2" t="s">
        <v>20</v>
      </c>
      <c r="J5" s="2" t="s">
        <v>21</v>
      </c>
      <c r="K5">
        <f>VLOOKUP(E5,Products!$A$2:$E$23,5,0)</f>
        <v>4599</v>
      </c>
      <c r="L5">
        <f>VLOOKUP(E5,Products!$A$2:$E$23,4,0)</f>
        <v>3000</v>
      </c>
      <c r="M5" s="2">
        <f>K5*F5-Table1[[#This Row],[discount_amount]]</f>
        <v>4599</v>
      </c>
      <c r="N5">
        <f t="shared" si="1"/>
        <v>3000</v>
      </c>
      <c r="O5">
        <f t="shared" si="0"/>
        <v>1599</v>
      </c>
      <c r="P5">
        <f>Table1[[#This Row],[Quantity]]*Table1[[#This Row],[unit_price]]*Table1[[#This Row],[Discount]]</f>
        <v>0</v>
      </c>
      <c r="Q5" t="str">
        <f>VLOOKUP(E5,Products!$A$2:$E$23,2,0)</f>
        <v>Filing Cabinet</v>
      </c>
      <c r="R5" t="str">
        <f>VLOOKUP(Table1[[#This Row],[Product ID]],Products!$A$2:$E$23,3,0)</f>
        <v>Furniture</v>
      </c>
      <c r="S5" t="str">
        <f>VLOOKUP(C5,Customers!$A$2:$F$201,4,0)</f>
        <v>West Bengal</v>
      </c>
      <c r="T5" t="str">
        <f>VLOOKUP(Table1[[#This Row],[Customer ID]],Customers!$A$2:$F$201,5,0)</f>
        <v>East</v>
      </c>
      <c r="U5" t="str">
        <f>VLOOKUP(Table1[[#This Row],[Customer ID]],Customers!$A$2:$F$201,6,0)</f>
        <v>Consumer</v>
      </c>
      <c r="V5" t="str">
        <f>TEXT(Table1[[#This Row],[Order Date]],"MMM")</f>
        <v>Jan</v>
      </c>
      <c r="W5" t="str">
        <f>TEXT(Table1[[#This Row],[Order Date]],"yyyy")</f>
        <v>2024</v>
      </c>
    </row>
    <row r="6" spans="1:23" x14ac:dyDescent="0.25">
      <c r="A6" s="2" t="s">
        <v>35</v>
      </c>
      <c r="B6" s="4">
        <v>45294</v>
      </c>
      <c r="C6" s="2" t="s">
        <v>36</v>
      </c>
      <c r="D6" s="2" t="str">
        <f>TEXT(Table1[[#This Row],[Order Date]],"mmmm")</f>
        <v>January</v>
      </c>
      <c r="E6" s="2" t="s">
        <v>37</v>
      </c>
      <c r="F6" s="2">
        <v>5</v>
      </c>
      <c r="G6" s="5">
        <v>0</v>
      </c>
      <c r="H6" s="2" t="s">
        <v>19</v>
      </c>
      <c r="I6" s="2" t="s">
        <v>38</v>
      </c>
      <c r="J6" s="2" t="s">
        <v>21</v>
      </c>
      <c r="K6">
        <f>VLOOKUP(E6,Products!$A$2:$E$23,5,0)</f>
        <v>1799</v>
      </c>
      <c r="L6">
        <f>VLOOKUP(E6,Products!$A$2:$E$23,4,0)</f>
        <v>900</v>
      </c>
      <c r="M6" s="2">
        <f>K6*F6-Table1[[#This Row],[discount_amount]]</f>
        <v>8995</v>
      </c>
      <c r="N6">
        <f t="shared" si="1"/>
        <v>4500</v>
      </c>
      <c r="O6">
        <f t="shared" si="0"/>
        <v>4495</v>
      </c>
      <c r="P6">
        <f>Table1[[#This Row],[Quantity]]*Table1[[#This Row],[unit_price]]*Table1[[#This Row],[Discount]]</f>
        <v>0</v>
      </c>
      <c r="Q6" t="str">
        <f>VLOOKUP(E6,Products!$A$2:$E$23,2,0)</f>
        <v>Denim Jeans</v>
      </c>
      <c r="R6" t="str">
        <f>VLOOKUP(Table1[[#This Row],[Product ID]],Products!$A$2:$E$23,3,0)</f>
        <v>Clothing</v>
      </c>
      <c r="S6" t="str">
        <f>VLOOKUP(C6,Customers!$A$2:$F$201,4,0)</f>
        <v>Gujarat</v>
      </c>
      <c r="T6" t="str">
        <f>VLOOKUP(Table1[[#This Row],[Customer ID]],Customers!$A$2:$F$201,5,0)</f>
        <v>West</v>
      </c>
      <c r="U6" t="str">
        <f>VLOOKUP(Table1[[#This Row],[Customer ID]],Customers!$A$2:$F$201,6,0)</f>
        <v>Consumer</v>
      </c>
      <c r="V6" t="str">
        <f>TEXT(Table1[[#This Row],[Order Date]],"MMM")</f>
        <v>Jan</v>
      </c>
      <c r="W6" t="str">
        <f>TEXT(Table1[[#This Row],[Order Date]],"yyyy")</f>
        <v>2024</v>
      </c>
    </row>
    <row r="7" spans="1:23" x14ac:dyDescent="0.25">
      <c r="A7" s="2" t="s">
        <v>39</v>
      </c>
      <c r="B7" s="4">
        <v>45297</v>
      </c>
      <c r="C7" s="2" t="s">
        <v>40</v>
      </c>
      <c r="D7" s="2" t="str">
        <f>TEXT(Table1[[#This Row],[Order Date]],"mmmm")</f>
        <v>January</v>
      </c>
      <c r="E7" s="2" t="s">
        <v>41</v>
      </c>
      <c r="F7" s="2">
        <v>5</v>
      </c>
      <c r="G7" s="5">
        <v>0</v>
      </c>
      <c r="H7" s="2" t="s">
        <v>30</v>
      </c>
      <c r="I7" s="2" t="s">
        <v>38</v>
      </c>
      <c r="J7" s="2" t="s">
        <v>42</v>
      </c>
      <c r="K7">
        <f>VLOOKUP(E7,Products!$A$2:$E$23,5,0)</f>
        <v>320</v>
      </c>
      <c r="L7">
        <f>VLOOKUP(E7,Products!$A$2:$E$23,4,0)</f>
        <v>220</v>
      </c>
      <c r="M7" s="2">
        <f>K7*F7-Table1[[#This Row],[discount_amount]]</f>
        <v>1600</v>
      </c>
      <c r="N7">
        <f t="shared" si="1"/>
        <v>1100</v>
      </c>
      <c r="O7">
        <f t="shared" si="0"/>
        <v>500</v>
      </c>
      <c r="P7">
        <f>Table1[[#This Row],[Quantity]]*Table1[[#This Row],[unit_price]]*Table1[[#This Row],[Discount]]</f>
        <v>0</v>
      </c>
      <c r="Q7" t="str">
        <f>VLOOKUP(E7,Products!$A$2:$E$23,2,0)</f>
        <v>A4 Paper Ream</v>
      </c>
      <c r="R7" t="str">
        <f>VLOOKUP(Table1[[#This Row],[Product ID]],Products!$A$2:$E$23,3,0)</f>
        <v>Office Supplies</v>
      </c>
      <c r="S7" t="str">
        <f>VLOOKUP(C7,Customers!$A$2:$F$201,4,0)</f>
        <v>Telangana</v>
      </c>
      <c r="T7" t="str">
        <f>VLOOKUP(Table1[[#This Row],[Customer ID]],Customers!$A$2:$F$201,5,0)</f>
        <v>South</v>
      </c>
      <c r="U7" t="str">
        <f>VLOOKUP(Table1[[#This Row],[Customer ID]],Customers!$A$2:$F$201,6,0)</f>
        <v>Corporate</v>
      </c>
      <c r="V7" t="str">
        <f>TEXT(Table1[[#This Row],[Order Date]],"MMM")</f>
        <v>Jan</v>
      </c>
      <c r="W7" t="str">
        <f>TEXT(Table1[[#This Row],[Order Date]],"yyyy")</f>
        <v>2024</v>
      </c>
    </row>
    <row r="8" spans="1:23" x14ac:dyDescent="0.25">
      <c r="A8" s="2" t="s">
        <v>43</v>
      </c>
      <c r="B8" s="4">
        <v>45298</v>
      </c>
      <c r="C8" s="2" t="s">
        <v>44</v>
      </c>
      <c r="D8" s="2" t="str">
        <f>TEXT(Table1[[#This Row],[Order Date]],"mmmm")</f>
        <v>January</v>
      </c>
      <c r="E8" s="2" t="s">
        <v>45</v>
      </c>
      <c r="F8" s="2">
        <v>5</v>
      </c>
      <c r="G8" s="5">
        <v>0</v>
      </c>
      <c r="H8" s="2" t="s">
        <v>25</v>
      </c>
      <c r="I8" s="2" t="s">
        <v>46</v>
      </c>
      <c r="J8" s="2" t="s">
        <v>21</v>
      </c>
      <c r="K8">
        <f>VLOOKUP(E8,Products!$A$2:$E$23,5,0)</f>
        <v>899</v>
      </c>
      <c r="L8">
        <f>VLOOKUP(E8,Products!$A$2:$E$23,4,0)</f>
        <v>450</v>
      </c>
      <c r="M8" s="2">
        <f>K8*F8-Table1[[#This Row],[discount_amount]]</f>
        <v>4495</v>
      </c>
      <c r="N8">
        <f t="shared" si="1"/>
        <v>2250</v>
      </c>
      <c r="O8">
        <f t="shared" si="0"/>
        <v>2245</v>
      </c>
      <c r="P8">
        <f>Table1[[#This Row],[Quantity]]*Table1[[#This Row],[unit_price]]*Table1[[#This Row],[Discount]]</f>
        <v>0</v>
      </c>
      <c r="Q8" t="str">
        <f>VLOOKUP(E8,Products!$A$2:$E$23,2,0)</f>
        <v>Track Pants</v>
      </c>
      <c r="R8" t="str">
        <f>VLOOKUP(Table1[[#This Row],[Product ID]],Products!$A$2:$E$23,3,0)</f>
        <v>Clothing</v>
      </c>
      <c r="S8" t="str">
        <f>VLOOKUP(C8,Customers!$A$2:$F$201,4,0)</f>
        <v>Gujarat</v>
      </c>
      <c r="T8" t="str">
        <f>VLOOKUP(Table1[[#This Row],[Customer ID]],Customers!$A$2:$F$201,5,0)</f>
        <v>West</v>
      </c>
      <c r="U8" t="str">
        <f>VLOOKUP(Table1[[#This Row],[Customer ID]],Customers!$A$2:$F$201,6,0)</f>
        <v>Home Office</v>
      </c>
      <c r="V8" t="str">
        <f>TEXT(Table1[[#This Row],[Order Date]],"MMM")</f>
        <v>Jan</v>
      </c>
      <c r="W8" t="str">
        <f>TEXT(Table1[[#This Row],[Order Date]],"yyyy")</f>
        <v>2024</v>
      </c>
    </row>
    <row r="9" spans="1:23" x14ac:dyDescent="0.25">
      <c r="A9" s="2" t="s">
        <v>47</v>
      </c>
      <c r="B9" s="4">
        <v>45299</v>
      </c>
      <c r="C9" s="2" t="s">
        <v>48</v>
      </c>
      <c r="D9" s="2" t="str">
        <f>TEXT(Table1[[#This Row],[Order Date]],"mmmm")</f>
        <v>January</v>
      </c>
      <c r="E9" s="2" t="s">
        <v>49</v>
      </c>
      <c r="F9" s="2">
        <v>6</v>
      </c>
      <c r="G9" s="5">
        <v>0</v>
      </c>
      <c r="H9" s="2" t="s">
        <v>25</v>
      </c>
      <c r="I9" s="2" t="s">
        <v>26</v>
      </c>
      <c r="J9" s="2" t="s">
        <v>21</v>
      </c>
      <c r="K9">
        <f>VLOOKUP(E9,Products!$A$2:$E$23,5,0)</f>
        <v>700</v>
      </c>
      <c r="L9">
        <f>VLOOKUP(E9,Products!$A$2:$E$23,4,0)</f>
        <v>450</v>
      </c>
      <c r="M9" s="2">
        <f>K9*F9-Table1[[#This Row],[discount_amount]]</f>
        <v>4200</v>
      </c>
      <c r="N9">
        <f t="shared" si="1"/>
        <v>2700</v>
      </c>
      <c r="O9">
        <f t="shared" si="0"/>
        <v>1500</v>
      </c>
      <c r="P9">
        <f>Table1[[#This Row],[Quantity]]*Table1[[#This Row],[unit_price]]*Table1[[#This Row],[Discount]]</f>
        <v>0</v>
      </c>
      <c r="Q9" t="str">
        <f>VLOOKUP(E9,Products!$A$2:$E$23,2,0)</f>
        <v>Wireless Mouse</v>
      </c>
      <c r="R9" t="str">
        <f>VLOOKUP(Table1[[#This Row],[Product ID]],Products!$A$2:$E$23,3,0)</f>
        <v>Electronics</v>
      </c>
      <c r="S9" t="str">
        <f>VLOOKUP(C9,Customers!$A$2:$F$201,4,0)</f>
        <v>Maharashtra</v>
      </c>
      <c r="T9" t="str">
        <f>VLOOKUP(Table1[[#This Row],[Customer ID]],Customers!$A$2:$F$201,5,0)</f>
        <v>West</v>
      </c>
      <c r="U9" t="str">
        <f>VLOOKUP(Table1[[#This Row],[Customer ID]],Customers!$A$2:$F$201,6,0)</f>
        <v>Home Office</v>
      </c>
      <c r="V9" t="str">
        <f>TEXT(Table1[[#This Row],[Order Date]],"MMM")</f>
        <v>Jan</v>
      </c>
      <c r="W9" t="str">
        <f>TEXT(Table1[[#This Row],[Order Date]],"yyyy")</f>
        <v>2024</v>
      </c>
    </row>
    <row r="10" spans="1:23" x14ac:dyDescent="0.25">
      <c r="A10" s="2" t="s">
        <v>50</v>
      </c>
      <c r="B10" s="4">
        <v>45299</v>
      </c>
      <c r="C10" s="2" t="s">
        <v>51</v>
      </c>
      <c r="D10" s="2" t="str">
        <f>TEXT(Table1[[#This Row],[Order Date]],"mmmm")</f>
        <v>January</v>
      </c>
      <c r="E10" s="2" t="s">
        <v>41</v>
      </c>
      <c r="F10" s="2">
        <v>1</v>
      </c>
      <c r="G10" s="5">
        <v>0.05</v>
      </c>
      <c r="H10" s="2" t="s">
        <v>19</v>
      </c>
      <c r="I10" s="2" t="s">
        <v>26</v>
      </c>
      <c r="J10" s="2" t="s">
        <v>21</v>
      </c>
      <c r="K10">
        <f>VLOOKUP(E10,Products!$A$2:$E$23,5,0)</f>
        <v>320</v>
      </c>
      <c r="L10">
        <f>VLOOKUP(E10,Products!$A$2:$E$23,4,0)</f>
        <v>220</v>
      </c>
      <c r="M10" s="2">
        <f>K10*F10-Table1[[#This Row],[discount_amount]]</f>
        <v>304</v>
      </c>
      <c r="N10">
        <f t="shared" si="1"/>
        <v>220</v>
      </c>
      <c r="O10">
        <f t="shared" si="0"/>
        <v>84</v>
      </c>
      <c r="P10">
        <f>Table1[[#This Row],[Quantity]]*Table1[[#This Row],[unit_price]]*Table1[[#This Row],[Discount]]</f>
        <v>16</v>
      </c>
      <c r="Q10" t="str">
        <f>VLOOKUP(E10,Products!$A$2:$E$23,2,0)</f>
        <v>A4 Paper Ream</v>
      </c>
      <c r="R10" t="str">
        <f>VLOOKUP(Table1[[#This Row],[Product ID]],Products!$A$2:$E$23,3,0)</f>
        <v>Office Supplies</v>
      </c>
      <c r="S10" t="str">
        <f>VLOOKUP(C10,Customers!$A$2:$F$201,4,0)</f>
        <v>Kerala</v>
      </c>
      <c r="T10" t="str">
        <f>VLOOKUP(Table1[[#This Row],[Customer ID]],Customers!$A$2:$F$201,5,0)</f>
        <v>South</v>
      </c>
      <c r="U10" t="str">
        <f>VLOOKUP(Table1[[#This Row],[Customer ID]],Customers!$A$2:$F$201,6,0)</f>
        <v>Consumer</v>
      </c>
      <c r="V10" t="str">
        <f>TEXT(Table1[[#This Row],[Order Date]],"MMM")</f>
        <v>Jan</v>
      </c>
      <c r="W10" t="str">
        <f>TEXT(Table1[[#This Row],[Order Date]],"yyyy")</f>
        <v>2024</v>
      </c>
    </row>
    <row r="11" spans="1:23" x14ac:dyDescent="0.25">
      <c r="A11" s="2" t="s">
        <v>52</v>
      </c>
      <c r="B11" s="4">
        <v>45300</v>
      </c>
      <c r="C11" s="2" t="s">
        <v>53</v>
      </c>
      <c r="D11" s="2" t="str">
        <f>TEXT(Table1[[#This Row],[Order Date]],"mmmm")</f>
        <v>January</v>
      </c>
      <c r="E11" s="2" t="s">
        <v>54</v>
      </c>
      <c r="F11" s="2">
        <v>1</v>
      </c>
      <c r="G11" s="5">
        <v>0.05</v>
      </c>
      <c r="H11" s="2" t="s">
        <v>19</v>
      </c>
      <c r="I11" s="2" t="s">
        <v>26</v>
      </c>
      <c r="J11" s="2" t="s">
        <v>21</v>
      </c>
      <c r="K11">
        <f>VLOOKUP(E11,Products!$A$2:$E$23,5,0)</f>
        <v>299</v>
      </c>
      <c r="L11">
        <f>VLOOKUP(E11,Products!$A$2:$E$23,4,0)</f>
        <v>180</v>
      </c>
      <c r="M11" s="2">
        <f>K11*F11-Table1[[#This Row],[discount_amount]]</f>
        <v>284.05</v>
      </c>
      <c r="N11">
        <f t="shared" si="1"/>
        <v>180</v>
      </c>
      <c r="O11">
        <f t="shared" si="0"/>
        <v>104.05000000000001</v>
      </c>
      <c r="P11">
        <f>Table1[[#This Row],[Quantity]]*Table1[[#This Row],[unit_price]]*Table1[[#This Row],[Discount]]</f>
        <v>14.950000000000001</v>
      </c>
      <c r="Q11" t="str">
        <f>VLOOKUP(E11,Products!$A$2:$E$23,2,0)</f>
        <v>Notebook Pack of 5</v>
      </c>
      <c r="R11" t="str">
        <f>VLOOKUP(Table1[[#This Row],[Product ID]],Products!$A$2:$E$23,3,0)</f>
        <v>Office Supplies</v>
      </c>
      <c r="S11" t="str">
        <f>VLOOKUP(C11,Customers!$A$2:$F$201,4,0)</f>
        <v>Madhya Pradesh</v>
      </c>
      <c r="T11" t="str">
        <f>VLOOKUP(Table1[[#This Row],[Customer ID]],Customers!$A$2:$F$201,5,0)</f>
        <v>Central</v>
      </c>
      <c r="U11" t="str">
        <f>VLOOKUP(Table1[[#This Row],[Customer ID]],Customers!$A$2:$F$201,6,0)</f>
        <v>Corporate</v>
      </c>
      <c r="V11" t="str">
        <f>TEXT(Table1[[#This Row],[Order Date]],"MMM")</f>
        <v>Jan</v>
      </c>
      <c r="W11" t="str">
        <f>TEXT(Table1[[#This Row],[Order Date]],"yyyy")</f>
        <v>2024</v>
      </c>
    </row>
    <row r="12" spans="1:23" x14ac:dyDescent="0.25">
      <c r="A12" s="2" t="s">
        <v>55</v>
      </c>
      <c r="B12" s="4">
        <v>45301</v>
      </c>
      <c r="C12" s="2" t="s">
        <v>56</v>
      </c>
      <c r="D12" s="2" t="str">
        <f>TEXT(Table1[[#This Row],[Order Date]],"mmmm")</f>
        <v>January</v>
      </c>
      <c r="E12" s="2" t="s">
        <v>57</v>
      </c>
      <c r="F12" s="2">
        <v>2</v>
      </c>
      <c r="G12" s="5">
        <v>0.2</v>
      </c>
      <c r="H12" s="2" t="s">
        <v>30</v>
      </c>
      <c r="I12" s="2" t="s">
        <v>20</v>
      </c>
      <c r="J12" s="2" t="s">
        <v>21</v>
      </c>
      <c r="K12">
        <f>VLOOKUP(E12,Products!$A$2:$E$23,5,0)</f>
        <v>1599</v>
      </c>
      <c r="L12">
        <f>VLOOKUP(E12,Products!$A$2:$E$23,4,0)</f>
        <v>800</v>
      </c>
      <c r="M12" s="2">
        <f>K12*F12-Table1[[#This Row],[discount_amount]]</f>
        <v>2558.4</v>
      </c>
      <c r="N12">
        <f t="shared" si="1"/>
        <v>1600</v>
      </c>
      <c r="O12">
        <f t="shared" si="0"/>
        <v>958.40000000000009</v>
      </c>
      <c r="P12">
        <f>Table1[[#This Row],[Quantity]]*Table1[[#This Row],[unit_price]]*Table1[[#This Row],[Discount]]</f>
        <v>639.6</v>
      </c>
      <c r="Q12" t="str">
        <f>VLOOKUP(E12,Products!$A$2:$E$23,2,0)</f>
        <v>Hoodie</v>
      </c>
      <c r="R12" t="str">
        <f>VLOOKUP(Table1[[#This Row],[Product ID]],Products!$A$2:$E$23,3,0)</f>
        <v>Clothing</v>
      </c>
      <c r="S12" t="str">
        <f>VLOOKUP(C12,Customers!$A$2:$F$201,4,0)</f>
        <v>Maharashtra</v>
      </c>
      <c r="T12" t="str">
        <f>VLOOKUP(Table1[[#This Row],[Customer ID]],Customers!$A$2:$F$201,5,0)</f>
        <v>West</v>
      </c>
      <c r="U12" t="str">
        <f>VLOOKUP(Table1[[#This Row],[Customer ID]],Customers!$A$2:$F$201,6,0)</f>
        <v>Consumer</v>
      </c>
      <c r="V12" t="str">
        <f>TEXT(Table1[[#This Row],[Order Date]],"MMM")</f>
        <v>Jan</v>
      </c>
      <c r="W12" t="str">
        <f>TEXT(Table1[[#This Row],[Order Date]],"yyyy")</f>
        <v>2024</v>
      </c>
    </row>
    <row r="13" spans="1:23" x14ac:dyDescent="0.25">
      <c r="A13" s="2" t="s">
        <v>58</v>
      </c>
      <c r="B13" s="4">
        <v>45304</v>
      </c>
      <c r="C13" s="2" t="s">
        <v>59</v>
      </c>
      <c r="D13" s="2" t="str">
        <f>TEXT(Table1[[#This Row],[Order Date]],"mmmm")</f>
        <v>January</v>
      </c>
      <c r="E13" s="2" t="s">
        <v>60</v>
      </c>
      <c r="F13" s="2">
        <v>10</v>
      </c>
      <c r="G13" s="5">
        <v>0</v>
      </c>
      <c r="H13" s="2" t="s">
        <v>25</v>
      </c>
      <c r="I13" s="2" t="s">
        <v>20</v>
      </c>
      <c r="J13" s="2" t="s">
        <v>21</v>
      </c>
      <c r="K13">
        <f>VLOOKUP(E13,Products!$A$2:$E$23,5,0)</f>
        <v>449</v>
      </c>
      <c r="L13">
        <f>VLOOKUP(E13,Products!$A$2:$E$23,4,0)</f>
        <v>260</v>
      </c>
      <c r="M13" s="2">
        <f>K13*F13-Table1[[#This Row],[discount_amount]]</f>
        <v>4490</v>
      </c>
      <c r="N13">
        <f t="shared" si="1"/>
        <v>2600</v>
      </c>
      <c r="O13">
        <f t="shared" si="0"/>
        <v>1890</v>
      </c>
      <c r="P13">
        <f>Table1[[#This Row],[Quantity]]*Table1[[#This Row],[unit_price]]*Table1[[#This Row],[Discount]]</f>
        <v>0</v>
      </c>
      <c r="Q13" t="str">
        <f>VLOOKUP(E13,Products!$A$2:$E$23,2,0)</f>
        <v>Desk Organizer</v>
      </c>
      <c r="R13" t="str">
        <f>VLOOKUP(Table1[[#This Row],[Product ID]],Products!$A$2:$E$23,3,0)</f>
        <v>Office Supplies</v>
      </c>
      <c r="S13" t="str">
        <f>VLOOKUP(C13,Customers!$A$2:$F$201,4,0)</f>
        <v>Rajasthan</v>
      </c>
      <c r="T13" t="str">
        <f>VLOOKUP(Table1[[#This Row],[Customer ID]],Customers!$A$2:$F$201,5,0)</f>
        <v>North</v>
      </c>
      <c r="U13" t="str">
        <f>VLOOKUP(Table1[[#This Row],[Customer ID]],Customers!$A$2:$F$201,6,0)</f>
        <v>Corporate</v>
      </c>
      <c r="V13" t="str">
        <f>TEXT(Table1[[#This Row],[Order Date]],"MMM")</f>
        <v>Jan</v>
      </c>
      <c r="W13" t="str">
        <f>TEXT(Table1[[#This Row],[Order Date]],"yyyy")</f>
        <v>2024</v>
      </c>
    </row>
    <row r="14" spans="1:23" x14ac:dyDescent="0.25">
      <c r="A14" s="2" t="s">
        <v>61</v>
      </c>
      <c r="B14" s="4">
        <v>45306</v>
      </c>
      <c r="C14" s="2" t="s">
        <v>62</v>
      </c>
      <c r="D14" s="2" t="str">
        <f>TEXT(Table1[[#This Row],[Order Date]],"mmmm")</f>
        <v>January</v>
      </c>
      <c r="E14" s="2" t="s">
        <v>63</v>
      </c>
      <c r="F14" s="2">
        <v>3</v>
      </c>
      <c r="G14" s="5">
        <v>0.1</v>
      </c>
      <c r="H14" s="2" t="s">
        <v>30</v>
      </c>
      <c r="I14" s="2" t="s">
        <v>38</v>
      </c>
      <c r="J14" s="2" t="s">
        <v>42</v>
      </c>
      <c r="K14">
        <f>VLOOKUP(E14,Products!$A$2:$E$23,5,0)</f>
        <v>5499</v>
      </c>
      <c r="L14">
        <f>VLOOKUP(E14,Products!$A$2:$E$23,4,0)</f>
        <v>3500</v>
      </c>
      <c r="M14" s="2">
        <f>K14*F14-Table1[[#This Row],[discount_amount]]</f>
        <v>14847.3</v>
      </c>
      <c r="N14">
        <f t="shared" si="1"/>
        <v>10500</v>
      </c>
      <c r="O14">
        <f t="shared" si="0"/>
        <v>4347.2999999999993</v>
      </c>
      <c r="P14">
        <f>Table1[[#This Row],[Quantity]]*Table1[[#This Row],[unit_price]]*Table1[[#This Row],[Discount]]</f>
        <v>1649.7</v>
      </c>
      <c r="Q14" t="str">
        <f>VLOOKUP(E14,Products!$A$2:$E$23,2,0)</f>
        <v>Office Chair</v>
      </c>
      <c r="R14" t="str">
        <f>VLOOKUP(Table1[[#This Row],[Product ID]],Products!$A$2:$E$23,3,0)</f>
        <v>Furniture</v>
      </c>
      <c r="S14" t="str">
        <f>VLOOKUP(C14,Customers!$A$2:$F$201,4,0)</f>
        <v>Maharashtra</v>
      </c>
      <c r="T14" t="str">
        <f>VLOOKUP(Table1[[#This Row],[Customer ID]],Customers!$A$2:$F$201,5,0)</f>
        <v>West</v>
      </c>
      <c r="U14" t="str">
        <f>VLOOKUP(Table1[[#This Row],[Customer ID]],Customers!$A$2:$F$201,6,0)</f>
        <v>Consumer</v>
      </c>
      <c r="V14" t="str">
        <f>TEXT(Table1[[#This Row],[Order Date]],"MMM")</f>
        <v>Jan</v>
      </c>
      <c r="W14" t="str">
        <f>TEXT(Table1[[#This Row],[Order Date]],"yyyy")</f>
        <v>2024</v>
      </c>
    </row>
    <row r="15" spans="1:23" x14ac:dyDescent="0.25">
      <c r="A15" s="2" t="s">
        <v>64</v>
      </c>
      <c r="B15" s="4">
        <v>45306</v>
      </c>
      <c r="C15" s="2" t="s">
        <v>65</v>
      </c>
      <c r="D15" s="2" t="str">
        <f>TEXT(Table1[[#This Row],[Order Date]],"mmmm")</f>
        <v>January</v>
      </c>
      <c r="E15" s="2" t="s">
        <v>66</v>
      </c>
      <c r="F15" s="2">
        <v>6</v>
      </c>
      <c r="G15" s="5">
        <v>0</v>
      </c>
      <c r="H15" s="2" t="s">
        <v>30</v>
      </c>
      <c r="I15" s="2" t="s">
        <v>26</v>
      </c>
      <c r="J15" s="2" t="s">
        <v>21</v>
      </c>
      <c r="K15">
        <f>VLOOKUP(E15,Products!$A$2:$E$23,5,0)</f>
        <v>1299</v>
      </c>
      <c r="L15">
        <f>VLOOKUP(E15,Products!$A$2:$E$23,4,0)</f>
        <v>800</v>
      </c>
      <c r="M15" s="2">
        <f>K15*F15-Table1[[#This Row],[discount_amount]]</f>
        <v>7794</v>
      </c>
      <c r="N15">
        <f t="shared" si="1"/>
        <v>4800</v>
      </c>
      <c r="O15">
        <f t="shared" si="0"/>
        <v>2994</v>
      </c>
      <c r="P15">
        <f>Table1[[#This Row],[Quantity]]*Table1[[#This Row],[unit_price]]*Table1[[#This Row],[Discount]]</f>
        <v>0</v>
      </c>
      <c r="Q15" t="str">
        <f>VLOOKUP(E15,Products!$A$2:$E$23,2,0)</f>
        <v>Power Bank 10000mAh</v>
      </c>
      <c r="R15" t="str">
        <f>VLOOKUP(Table1[[#This Row],[Product ID]],Products!$A$2:$E$23,3,0)</f>
        <v>Electronics</v>
      </c>
      <c r="S15" t="str">
        <f>VLOOKUP(C15,Customers!$A$2:$F$201,4,0)</f>
        <v>Madhya Pradesh</v>
      </c>
      <c r="T15" t="str">
        <f>VLOOKUP(Table1[[#This Row],[Customer ID]],Customers!$A$2:$F$201,5,0)</f>
        <v>Central</v>
      </c>
      <c r="U15" t="str">
        <f>VLOOKUP(Table1[[#This Row],[Customer ID]],Customers!$A$2:$F$201,6,0)</f>
        <v>Consumer</v>
      </c>
      <c r="V15" t="str">
        <f>TEXT(Table1[[#This Row],[Order Date]],"MMM")</f>
        <v>Jan</v>
      </c>
      <c r="W15" t="str">
        <f>TEXT(Table1[[#This Row],[Order Date]],"yyyy")</f>
        <v>2024</v>
      </c>
    </row>
    <row r="16" spans="1:23" x14ac:dyDescent="0.25">
      <c r="A16" s="2" t="s">
        <v>67</v>
      </c>
      <c r="B16" s="4">
        <v>45306</v>
      </c>
      <c r="C16" s="2" t="s">
        <v>68</v>
      </c>
      <c r="D16" s="2" t="str">
        <f>TEXT(Table1[[#This Row],[Order Date]],"mmmm")</f>
        <v>January</v>
      </c>
      <c r="E16" s="2" t="s">
        <v>45</v>
      </c>
      <c r="F16" s="2">
        <v>1</v>
      </c>
      <c r="G16" s="5">
        <v>0.05</v>
      </c>
      <c r="H16" s="2" t="s">
        <v>19</v>
      </c>
      <c r="I16" s="2" t="s">
        <v>46</v>
      </c>
      <c r="J16" s="2" t="s">
        <v>21</v>
      </c>
      <c r="K16">
        <f>VLOOKUP(E16,Products!$A$2:$E$23,5,0)</f>
        <v>899</v>
      </c>
      <c r="L16">
        <f>VLOOKUP(E16,Products!$A$2:$E$23,4,0)</f>
        <v>450</v>
      </c>
      <c r="M16" s="2">
        <f>K16*F16-Table1[[#This Row],[discount_amount]]</f>
        <v>854.05</v>
      </c>
      <c r="N16">
        <f t="shared" si="1"/>
        <v>450</v>
      </c>
      <c r="O16">
        <f t="shared" si="0"/>
        <v>404.04999999999995</v>
      </c>
      <c r="P16">
        <f>Table1[[#This Row],[Quantity]]*Table1[[#This Row],[unit_price]]*Table1[[#This Row],[Discount]]</f>
        <v>44.95</v>
      </c>
      <c r="Q16" t="str">
        <f>VLOOKUP(E16,Products!$A$2:$E$23,2,0)</f>
        <v>Track Pants</v>
      </c>
      <c r="R16" t="str">
        <f>VLOOKUP(Table1[[#This Row],[Product ID]],Products!$A$2:$E$23,3,0)</f>
        <v>Clothing</v>
      </c>
      <c r="S16" t="str">
        <f>VLOOKUP(C16,Customers!$A$2:$F$201,4,0)</f>
        <v>Chandigarh</v>
      </c>
      <c r="T16" t="str">
        <f>VLOOKUP(Table1[[#This Row],[Customer ID]],Customers!$A$2:$F$201,5,0)</f>
        <v>North</v>
      </c>
      <c r="U16" t="str">
        <f>VLOOKUP(Table1[[#This Row],[Customer ID]],Customers!$A$2:$F$201,6,0)</f>
        <v>Consumer</v>
      </c>
      <c r="V16" t="str">
        <f>TEXT(Table1[[#This Row],[Order Date]],"MMM")</f>
        <v>Jan</v>
      </c>
      <c r="W16" t="str">
        <f>TEXT(Table1[[#This Row],[Order Date]],"yyyy")</f>
        <v>2024</v>
      </c>
    </row>
    <row r="17" spans="1:23" x14ac:dyDescent="0.25">
      <c r="A17" s="2" t="s">
        <v>69</v>
      </c>
      <c r="B17" s="4">
        <v>45307</v>
      </c>
      <c r="C17" s="2" t="s">
        <v>70</v>
      </c>
      <c r="D17" s="2" t="str">
        <f>TEXT(Table1[[#This Row],[Order Date]],"mmmm")</f>
        <v>January</v>
      </c>
      <c r="E17" s="2" t="s">
        <v>57</v>
      </c>
      <c r="F17" s="2">
        <v>4</v>
      </c>
      <c r="G17" s="5">
        <v>0.05</v>
      </c>
      <c r="H17" s="2" t="s">
        <v>30</v>
      </c>
      <c r="I17" s="2" t="s">
        <v>46</v>
      </c>
      <c r="J17" s="2" t="s">
        <v>21</v>
      </c>
      <c r="K17">
        <f>VLOOKUP(E17,Products!$A$2:$E$23,5,0)</f>
        <v>1599</v>
      </c>
      <c r="L17">
        <f>VLOOKUP(E17,Products!$A$2:$E$23,4,0)</f>
        <v>800</v>
      </c>
      <c r="M17" s="2">
        <f>K17*F17-Table1[[#This Row],[discount_amount]]</f>
        <v>6076.2</v>
      </c>
      <c r="N17">
        <f t="shared" si="1"/>
        <v>3200</v>
      </c>
      <c r="O17">
        <f t="shared" si="0"/>
        <v>2876.2</v>
      </c>
      <c r="P17">
        <f>Table1[[#This Row],[Quantity]]*Table1[[#This Row],[unit_price]]*Table1[[#This Row],[Discount]]</f>
        <v>319.8</v>
      </c>
      <c r="Q17" t="str">
        <f>VLOOKUP(E17,Products!$A$2:$E$23,2,0)</f>
        <v>Hoodie</v>
      </c>
      <c r="R17" t="str">
        <f>VLOOKUP(Table1[[#This Row],[Product ID]],Products!$A$2:$E$23,3,0)</f>
        <v>Clothing</v>
      </c>
      <c r="S17" t="str">
        <f>VLOOKUP(C17,Customers!$A$2:$F$201,4,0)</f>
        <v>Delhi</v>
      </c>
      <c r="T17" t="str">
        <f>VLOOKUP(Table1[[#This Row],[Customer ID]],Customers!$A$2:$F$201,5,0)</f>
        <v>North</v>
      </c>
      <c r="U17" t="str">
        <f>VLOOKUP(Table1[[#This Row],[Customer ID]],Customers!$A$2:$F$201,6,0)</f>
        <v>Home Office</v>
      </c>
      <c r="V17" t="str">
        <f>TEXT(Table1[[#This Row],[Order Date]],"MMM")</f>
        <v>Jan</v>
      </c>
      <c r="W17" t="str">
        <f>TEXT(Table1[[#This Row],[Order Date]],"yyyy")</f>
        <v>2024</v>
      </c>
    </row>
    <row r="18" spans="1:23" x14ac:dyDescent="0.25">
      <c r="A18" s="2" t="s">
        <v>71</v>
      </c>
      <c r="B18" s="4">
        <v>45307</v>
      </c>
      <c r="C18" s="2" t="s">
        <v>72</v>
      </c>
      <c r="D18" s="2" t="str">
        <f>TEXT(Table1[[#This Row],[Order Date]],"mmmm")</f>
        <v>January</v>
      </c>
      <c r="E18" s="2" t="s">
        <v>73</v>
      </c>
      <c r="F18" s="2">
        <v>1</v>
      </c>
      <c r="G18" s="5">
        <v>0</v>
      </c>
      <c r="H18" s="2" t="s">
        <v>19</v>
      </c>
      <c r="I18" s="2" t="s">
        <v>31</v>
      </c>
      <c r="J18" s="2" t="s">
        <v>21</v>
      </c>
      <c r="K18">
        <f>VLOOKUP(E18,Products!$A$2:$E$23,5,0)</f>
        <v>6499</v>
      </c>
      <c r="L18">
        <f>VLOOKUP(E18,Products!$A$2:$E$23,4,0)</f>
        <v>4200</v>
      </c>
      <c r="M18" s="2">
        <f>K18*F18-Table1[[#This Row],[discount_amount]]</f>
        <v>6499</v>
      </c>
      <c r="N18">
        <f t="shared" si="1"/>
        <v>4200</v>
      </c>
      <c r="O18">
        <f t="shared" si="0"/>
        <v>2299</v>
      </c>
      <c r="P18">
        <f>Table1[[#This Row],[Quantity]]*Table1[[#This Row],[unit_price]]*Table1[[#This Row],[Discount]]</f>
        <v>0</v>
      </c>
      <c r="Q18" t="str">
        <f>VLOOKUP(E18,Products!$A$2:$E$23,2,0)</f>
        <v>Study Table</v>
      </c>
      <c r="R18" t="str">
        <f>VLOOKUP(Table1[[#This Row],[Product ID]],Products!$A$2:$E$23,3,0)</f>
        <v>Furniture</v>
      </c>
      <c r="S18" t="str">
        <f>VLOOKUP(C18,Customers!$A$2:$F$201,4,0)</f>
        <v>Maharashtra</v>
      </c>
      <c r="T18" t="str">
        <f>VLOOKUP(Table1[[#This Row],[Customer ID]],Customers!$A$2:$F$201,5,0)</f>
        <v>West</v>
      </c>
      <c r="U18" t="str">
        <f>VLOOKUP(Table1[[#This Row],[Customer ID]],Customers!$A$2:$F$201,6,0)</f>
        <v>Consumer</v>
      </c>
      <c r="V18" t="str">
        <f>TEXT(Table1[[#This Row],[Order Date]],"MMM")</f>
        <v>Jan</v>
      </c>
      <c r="W18" t="str">
        <f>TEXT(Table1[[#This Row],[Order Date]],"yyyy")</f>
        <v>2024</v>
      </c>
    </row>
    <row r="19" spans="1:23" x14ac:dyDescent="0.25">
      <c r="A19" s="2" t="s">
        <v>74</v>
      </c>
      <c r="B19" s="4">
        <v>45308</v>
      </c>
      <c r="C19" s="2" t="s">
        <v>62</v>
      </c>
      <c r="D19" s="2" t="str">
        <f>TEXT(Table1[[#This Row],[Order Date]],"mmmm")</f>
        <v>January</v>
      </c>
      <c r="E19" s="2" t="s">
        <v>66</v>
      </c>
      <c r="F19" s="2">
        <v>1</v>
      </c>
      <c r="G19" s="5">
        <v>0</v>
      </c>
      <c r="H19" s="2" t="s">
        <v>25</v>
      </c>
      <c r="I19" s="2" t="s">
        <v>20</v>
      </c>
      <c r="J19" s="2" t="s">
        <v>21</v>
      </c>
      <c r="K19">
        <f>VLOOKUP(E19,Products!$A$2:$E$23,5,0)</f>
        <v>1299</v>
      </c>
      <c r="L19">
        <f>VLOOKUP(E19,Products!$A$2:$E$23,4,0)</f>
        <v>800</v>
      </c>
      <c r="M19" s="2">
        <f>K19*F19-Table1[[#This Row],[discount_amount]]</f>
        <v>1299</v>
      </c>
      <c r="N19">
        <f t="shared" si="1"/>
        <v>800</v>
      </c>
      <c r="O19">
        <f t="shared" si="0"/>
        <v>499</v>
      </c>
      <c r="P19">
        <f>Table1[[#This Row],[Quantity]]*Table1[[#This Row],[unit_price]]*Table1[[#This Row],[Discount]]</f>
        <v>0</v>
      </c>
      <c r="Q19" t="str">
        <f>VLOOKUP(E19,Products!$A$2:$E$23,2,0)</f>
        <v>Power Bank 10000mAh</v>
      </c>
      <c r="R19" t="str">
        <f>VLOOKUP(Table1[[#This Row],[Product ID]],Products!$A$2:$E$23,3,0)</f>
        <v>Electronics</v>
      </c>
      <c r="S19" t="str">
        <f>VLOOKUP(C19,Customers!$A$2:$F$201,4,0)</f>
        <v>Maharashtra</v>
      </c>
      <c r="T19" t="str">
        <f>VLOOKUP(Table1[[#This Row],[Customer ID]],Customers!$A$2:$F$201,5,0)</f>
        <v>West</v>
      </c>
      <c r="U19" t="str">
        <f>VLOOKUP(Table1[[#This Row],[Customer ID]],Customers!$A$2:$F$201,6,0)</f>
        <v>Consumer</v>
      </c>
      <c r="V19" t="str">
        <f>TEXT(Table1[[#This Row],[Order Date]],"MMM")</f>
        <v>Jan</v>
      </c>
      <c r="W19" t="str">
        <f>TEXT(Table1[[#This Row],[Order Date]],"yyyy")</f>
        <v>2024</v>
      </c>
    </row>
    <row r="20" spans="1:23" x14ac:dyDescent="0.25">
      <c r="A20" s="2" t="s">
        <v>75</v>
      </c>
      <c r="B20" s="4">
        <v>45308</v>
      </c>
      <c r="C20" s="2" t="s">
        <v>76</v>
      </c>
      <c r="D20" s="2" t="str">
        <f>TEXT(Table1[[#This Row],[Order Date]],"mmmm")</f>
        <v>January</v>
      </c>
      <c r="E20" s="2" t="s">
        <v>60</v>
      </c>
      <c r="F20" s="2">
        <v>5</v>
      </c>
      <c r="G20" s="5">
        <v>0.1</v>
      </c>
      <c r="H20" s="2" t="s">
        <v>19</v>
      </c>
      <c r="I20" s="2" t="s">
        <v>38</v>
      </c>
      <c r="J20" s="2" t="s">
        <v>21</v>
      </c>
      <c r="K20">
        <f>VLOOKUP(E20,Products!$A$2:$E$23,5,0)</f>
        <v>449</v>
      </c>
      <c r="L20">
        <f>VLOOKUP(E20,Products!$A$2:$E$23,4,0)</f>
        <v>260</v>
      </c>
      <c r="M20" s="2">
        <f>K20*F20-Table1[[#This Row],[discount_amount]]</f>
        <v>2020.5</v>
      </c>
      <c r="N20">
        <f t="shared" si="1"/>
        <v>1300</v>
      </c>
      <c r="O20">
        <f t="shared" si="0"/>
        <v>720.5</v>
      </c>
      <c r="P20">
        <f>Table1[[#This Row],[Quantity]]*Table1[[#This Row],[unit_price]]*Table1[[#This Row],[Discount]]</f>
        <v>224.5</v>
      </c>
      <c r="Q20" t="str">
        <f>VLOOKUP(E20,Products!$A$2:$E$23,2,0)</f>
        <v>Desk Organizer</v>
      </c>
      <c r="R20" t="str">
        <f>VLOOKUP(Table1[[#This Row],[Product ID]],Products!$A$2:$E$23,3,0)</f>
        <v>Office Supplies</v>
      </c>
      <c r="S20" t="str">
        <f>VLOOKUP(C20,Customers!$A$2:$F$201,4,0)</f>
        <v>West Bengal</v>
      </c>
      <c r="T20" t="str">
        <f>VLOOKUP(Table1[[#This Row],[Customer ID]],Customers!$A$2:$F$201,5,0)</f>
        <v>East</v>
      </c>
      <c r="U20" t="str">
        <f>VLOOKUP(Table1[[#This Row],[Customer ID]],Customers!$A$2:$F$201,6,0)</f>
        <v>Corporate</v>
      </c>
      <c r="V20" t="str">
        <f>TEXT(Table1[[#This Row],[Order Date]],"MMM")</f>
        <v>Jan</v>
      </c>
      <c r="W20" t="str">
        <f>TEXT(Table1[[#This Row],[Order Date]],"yyyy")</f>
        <v>2024</v>
      </c>
    </row>
    <row r="21" spans="1:23" x14ac:dyDescent="0.25">
      <c r="A21" s="2" t="s">
        <v>77</v>
      </c>
      <c r="B21" s="4">
        <v>45308</v>
      </c>
      <c r="C21" s="2" t="s">
        <v>78</v>
      </c>
      <c r="D21" s="2" t="str">
        <f>TEXT(Table1[[#This Row],[Order Date]],"mmmm")</f>
        <v>January</v>
      </c>
      <c r="E21" s="2" t="s">
        <v>54</v>
      </c>
      <c r="F21" s="2">
        <v>10</v>
      </c>
      <c r="G21" s="5">
        <v>0</v>
      </c>
      <c r="H21" s="2" t="s">
        <v>25</v>
      </c>
      <c r="I21" s="2" t="s">
        <v>31</v>
      </c>
      <c r="J21" s="2" t="s">
        <v>79</v>
      </c>
      <c r="K21">
        <f>VLOOKUP(E21,Products!$A$2:$E$23,5,0)</f>
        <v>299</v>
      </c>
      <c r="L21">
        <f>VLOOKUP(E21,Products!$A$2:$E$23,4,0)</f>
        <v>180</v>
      </c>
      <c r="M21" s="2">
        <f>K21*F21-Table1[[#This Row],[discount_amount]]</f>
        <v>2990</v>
      </c>
      <c r="N21">
        <f t="shared" si="1"/>
        <v>1800</v>
      </c>
      <c r="O21">
        <f t="shared" si="0"/>
        <v>1190</v>
      </c>
      <c r="P21">
        <f>Table1[[#This Row],[Quantity]]*Table1[[#This Row],[unit_price]]*Table1[[#This Row],[Discount]]</f>
        <v>0</v>
      </c>
      <c r="Q21" t="str">
        <f>VLOOKUP(E21,Products!$A$2:$E$23,2,0)</f>
        <v>Notebook Pack of 5</v>
      </c>
      <c r="R21" t="str">
        <f>VLOOKUP(Table1[[#This Row],[Product ID]],Products!$A$2:$E$23,3,0)</f>
        <v>Office Supplies</v>
      </c>
      <c r="S21" t="str">
        <f>VLOOKUP(C21,Customers!$A$2:$F$201,4,0)</f>
        <v>Kerala</v>
      </c>
      <c r="T21" t="str">
        <f>VLOOKUP(Table1[[#This Row],[Customer ID]],Customers!$A$2:$F$201,5,0)</f>
        <v>South</v>
      </c>
      <c r="U21" t="str">
        <f>VLOOKUP(Table1[[#This Row],[Customer ID]],Customers!$A$2:$F$201,6,0)</f>
        <v>Corporate</v>
      </c>
      <c r="V21" t="str">
        <f>TEXT(Table1[[#This Row],[Order Date]],"MMM")</f>
        <v>Jan</v>
      </c>
      <c r="W21" t="str">
        <f>TEXT(Table1[[#This Row],[Order Date]],"yyyy")</f>
        <v>2024</v>
      </c>
    </row>
    <row r="22" spans="1:23" x14ac:dyDescent="0.25">
      <c r="A22" s="2" t="s">
        <v>80</v>
      </c>
      <c r="B22" s="4">
        <v>45310</v>
      </c>
      <c r="C22" s="2" t="s">
        <v>81</v>
      </c>
      <c r="D22" s="2" t="str">
        <f>TEXT(Table1[[#This Row],[Order Date]],"mmmm")</f>
        <v>January</v>
      </c>
      <c r="E22" s="2" t="s">
        <v>82</v>
      </c>
      <c r="F22" s="2">
        <v>2</v>
      </c>
      <c r="G22" s="5">
        <v>0.05</v>
      </c>
      <c r="H22" s="2" t="s">
        <v>30</v>
      </c>
      <c r="I22" s="2" t="s">
        <v>38</v>
      </c>
      <c r="J22" s="2" t="s">
        <v>79</v>
      </c>
      <c r="K22">
        <f>VLOOKUP(E22,Products!$A$2:$E$23,5,0)</f>
        <v>1799</v>
      </c>
      <c r="L22">
        <f>VLOOKUP(E22,Products!$A$2:$E$23,4,0)</f>
        <v>1100</v>
      </c>
      <c r="M22" s="2">
        <f>K22*F22-Table1[[#This Row],[discount_amount]]</f>
        <v>3418.1</v>
      </c>
      <c r="N22">
        <f t="shared" si="1"/>
        <v>2200</v>
      </c>
      <c r="O22">
        <f t="shared" si="0"/>
        <v>1218.0999999999999</v>
      </c>
      <c r="P22">
        <f>Table1[[#This Row],[Quantity]]*Table1[[#This Row],[unit_price]]*Table1[[#This Row],[Discount]]</f>
        <v>179.9</v>
      </c>
      <c r="Q22" t="str">
        <f>VLOOKUP(E22,Products!$A$2:$E$23,2,0)</f>
        <v>Webcam HD</v>
      </c>
      <c r="R22" t="str">
        <f>VLOOKUP(Table1[[#This Row],[Product ID]],Products!$A$2:$E$23,3,0)</f>
        <v>Electronics</v>
      </c>
      <c r="S22" t="str">
        <f>VLOOKUP(C22,Customers!$A$2:$F$201,4,0)</f>
        <v>Chandigarh</v>
      </c>
      <c r="T22" t="str">
        <f>VLOOKUP(Table1[[#This Row],[Customer ID]],Customers!$A$2:$F$201,5,0)</f>
        <v>North</v>
      </c>
      <c r="U22" t="str">
        <f>VLOOKUP(Table1[[#This Row],[Customer ID]],Customers!$A$2:$F$201,6,0)</f>
        <v>Consumer</v>
      </c>
      <c r="V22" t="str">
        <f>TEXT(Table1[[#This Row],[Order Date]],"MMM")</f>
        <v>Jan</v>
      </c>
      <c r="W22" t="str">
        <f>TEXT(Table1[[#This Row],[Order Date]],"yyyy")</f>
        <v>2024</v>
      </c>
    </row>
    <row r="23" spans="1:23" x14ac:dyDescent="0.25">
      <c r="A23" s="2" t="s">
        <v>83</v>
      </c>
      <c r="B23" s="4">
        <v>45311</v>
      </c>
      <c r="C23" s="2" t="s">
        <v>84</v>
      </c>
      <c r="D23" s="2" t="str">
        <f>TEXT(Table1[[#This Row],[Order Date]],"mmmm")</f>
        <v>January</v>
      </c>
      <c r="E23" s="2" t="s">
        <v>60</v>
      </c>
      <c r="F23" s="2">
        <v>3</v>
      </c>
      <c r="G23" s="5">
        <v>0</v>
      </c>
      <c r="H23" s="2" t="s">
        <v>25</v>
      </c>
      <c r="I23" s="2" t="s">
        <v>46</v>
      </c>
      <c r="J23" s="2" t="s">
        <v>21</v>
      </c>
      <c r="K23">
        <f>VLOOKUP(E23,Products!$A$2:$E$23,5,0)</f>
        <v>449</v>
      </c>
      <c r="L23">
        <f>VLOOKUP(E23,Products!$A$2:$E$23,4,0)</f>
        <v>260</v>
      </c>
      <c r="M23" s="2">
        <f>K23*F23-Table1[[#This Row],[discount_amount]]</f>
        <v>1347</v>
      </c>
      <c r="N23">
        <f t="shared" si="1"/>
        <v>780</v>
      </c>
      <c r="O23">
        <f t="shared" si="0"/>
        <v>567</v>
      </c>
      <c r="P23">
        <f>Table1[[#This Row],[Quantity]]*Table1[[#This Row],[unit_price]]*Table1[[#This Row],[Discount]]</f>
        <v>0</v>
      </c>
      <c r="Q23" t="str">
        <f>VLOOKUP(E23,Products!$A$2:$E$23,2,0)</f>
        <v>Desk Organizer</v>
      </c>
      <c r="R23" t="str">
        <f>VLOOKUP(Table1[[#This Row],[Product ID]],Products!$A$2:$E$23,3,0)</f>
        <v>Office Supplies</v>
      </c>
      <c r="S23" t="str">
        <f>VLOOKUP(C23,Customers!$A$2:$F$201,4,0)</f>
        <v>Uttar Pradesh</v>
      </c>
      <c r="T23" t="str">
        <f>VLOOKUP(Table1[[#This Row],[Customer ID]],Customers!$A$2:$F$201,5,0)</f>
        <v>North</v>
      </c>
      <c r="U23" t="str">
        <f>VLOOKUP(Table1[[#This Row],[Customer ID]],Customers!$A$2:$F$201,6,0)</f>
        <v>Consumer</v>
      </c>
      <c r="V23" t="str">
        <f>TEXT(Table1[[#This Row],[Order Date]],"MMM")</f>
        <v>Jan</v>
      </c>
      <c r="W23" t="str">
        <f>TEXT(Table1[[#This Row],[Order Date]],"yyyy")</f>
        <v>2024</v>
      </c>
    </row>
    <row r="24" spans="1:23" x14ac:dyDescent="0.25">
      <c r="A24" s="2" t="s">
        <v>85</v>
      </c>
      <c r="B24" s="4">
        <v>45311</v>
      </c>
      <c r="C24" s="2" t="s">
        <v>86</v>
      </c>
      <c r="D24" s="2" t="str">
        <f>TEXT(Table1[[#This Row],[Order Date]],"mmmm")</f>
        <v>January</v>
      </c>
      <c r="E24" s="2" t="s">
        <v>41</v>
      </c>
      <c r="F24" s="2">
        <v>3</v>
      </c>
      <c r="G24" s="5">
        <v>0.1</v>
      </c>
      <c r="H24" s="2" t="s">
        <v>25</v>
      </c>
      <c r="I24" s="2" t="s">
        <v>31</v>
      </c>
      <c r="J24" s="2" t="s">
        <v>21</v>
      </c>
      <c r="K24">
        <f>VLOOKUP(E24,Products!$A$2:$E$23,5,0)</f>
        <v>320</v>
      </c>
      <c r="L24">
        <f>VLOOKUP(E24,Products!$A$2:$E$23,4,0)</f>
        <v>220</v>
      </c>
      <c r="M24" s="2">
        <f>K24*F24-Table1[[#This Row],[discount_amount]]</f>
        <v>864</v>
      </c>
      <c r="N24">
        <f t="shared" si="1"/>
        <v>660</v>
      </c>
      <c r="O24">
        <f t="shared" si="0"/>
        <v>204</v>
      </c>
      <c r="P24">
        <f>Table1[[#This Row],[Quantity]]*Table1[[#This Row],[unit_price]]*Table1[[#This Row],[Discount]]</f>
        <v>96</v>
      </c>
      <c r="Q24" t="str">
        <f>VLOOKUP(E24,Products!$A$2:$E$23,2,0)</f>
        <v>A4 Paper Ream</v>
      </c>
      <c r="R24" t="str">
        <f>VLOOKUP(Table1[[#This Row],[Product ID]],Products!$A$2:$E$23,3,0)</f>
        <v>Office Supplies</v>
      </c>
      <c r="S24" t="str">
        <f>VLOOKUP(C24,Customers!$A$2:$F$201,4,0)</f>
        <v>Delhi</v>
      </c>
      <c r="T24" t="str">
        <f>VLOOKUP(Table1[[#This Row],[Customer ID]],Customers!$A$2:$F$201,5,0)</f>
        <v>North</v>
      </c>
      <c r="U24" t="str">
        <f>VLOOKUP(Table1[[#This Row],[Customer ID]],Customers!$A$2:$F$201,6,0)</f>
        <v>Consumer</v>
      </c>
      <c r="V24" t="str">
        <f>TEXT(Table1[[#This Row],[Order Date]],"MMM")</f>
        <v>Jan</v>
      </c>
      <c r="W24" t="str">
        <f>TEXT(Table1[[#This Row],[Order Date]],"yyyy")</f>
        <v>2024</v>
      </c>
    </row>
    <row r="25" spans="1:23" x14ac:dyDescent="0.25">
      <c r="A25" s="2" t="s">
        <v>87</v>
      </c>
      <c r="B25" s="4">
        <v>45312</v>
      </c>
      <c r="C25" s="2" t="s">
        <v>88</v>
      </c>
      <c r="D25" s="2" t="str">
        <f>TEXT(Table1[[#This Row],[Order Date]],"mmmm")</f>
        <v>January</v>
      </c>
      <c r="E25" s="2" t="s">
        <v>18</v>
      </c>
      <c r="F25" s="2">
        <v>3</v>
      </c>
      <c r="G25" s="5">
        <v>0.05</v>
      </c>
      <c r="H25" s="2" t="s">
        <v>25</v>
      </c>
      <c r="I25" s="2" t="s">
        <v>46</v>
      </c>
      <c r="J25" s="2" t="s">
        <v>21</v>
      </c>
      <c r="K25">
        <f>VLOOKUP(E25,Products!$A$2:$E$23,5,0)</f>
        <v>4299</v>
      </c>
      <c r="L25">
        <f>VLOOKUP(E25,Products!$A$2:$E$23,4,0)</f>
        <v>2800</v>
      </c>
      <c r="M25" s="2">
        <f>K25*F25-Table1[[#This Row],[discount_amount]]</f>
        <v>12252.15</v>
      </c>
      <c r="N25">
        <f t="shared" si="1"/>
        <v>8400</v>
      </c>
      <c r="O25">
        <f t="shared" si="0"/>
        <v>3852.1499999999996</v>
      </c>
      <c r="P25">
        <f>Table1[[#This Row],[Quantity]]*Table1[[#This Row],[unit_price]]*Table1[[#This Row],[Discount]]</f>
        <v>644.85</v>
      </c>
      <c r="Q25" t="str">
        <f>VLOOKUP(E25,Products!$A$2:$E$23,2,0)</f>
        <v>Bookshelf</v>
      </c>
      <c r="R25" t="str">
        <f>VLOOKUP(Table1[[#This Row],[Product ID]],Products!$A$2:$E$23,3,0)</f>
        <v>Furniture</v>
      </c>
      <c r="S25" t="str">
        <f>VLOOKUP(C25,Customers!$A$2:$F$201,4,0)</f>
        <v>Gujarat</v>
      </c>
      <c r="T25" t="str">
        <f>VLOOKUP(Table1[[#This Row],[Customer ID]],Customers!$A$2:$F$201,5,0)</f>
        <v>West</v>
      </c>
      <c r="U25" t="str">
        <f>VLOOKUP(Table1[[#This Row],[Customer ID]],Customers!$A$2:$F$201,6,0)</f>
        <v>Consumer</v>
      </c>
      <c r="V25" t="str">
        <f>TEXT(Table1[[#This Row],[Order Date]],"MMM")</f>
        <v>Jan</v>
      </c>
      <c r="W25" t="str">
        <f>TEXT(Table1[[#This Row],[Order Date]],"yyyy")</f>
        <v>2024</v>
      </c>
    </row>
    <row r="26" spans="1:23" x14ac:dyDescent="0.25">
      <c r="A26" s="2" t="s">
        <v>89</v>
      </c>
      <c r="B26" s="4">
        <v>45313</v>
      </c>
      <c r="C26" s="2" t="s">
        <v>90</v>
      </c>
      <c r="D26" s="2" t="str">
        <f>TEXT(Table1[[#This Row],[Order Date]],"mmmm")</f>
        <v>January</v>
      </c>
      <c r="E26" s="2" t="s">
        <v>91</v>
      </c>
      <c r="F26" s="2">
        <v>2</v>
      </c>
      <c r="G26" s="5">
        <v>0</v>
      </c>
      <c r="H26" s="2" t="s">
        <v>25</v>
      </c>
      <c r="I26" s="2" t="s">
        <v>26</v>
      </c>
      <c r="J26" s="2" t="s">
        <v>21</v>
      </c>
      <c r="K26">
        <f>VLOOKUP(E26,Products!$A$2:$E$23,5,0)</f>
        <v>1199</v>
      </c>
      <c r="L26">
        <f>VLOOKUP(E26,Products!$A$2:$E$23,4,0)</f>
        <v>600</v>
      </c>
      <c r="M26" s="2">
        <f>K26*F26-Table1[[#This Row],[discount_amount]]</f>
        <v>2398</v>
      </c>
      <c r="N26">
        <f t="shared" si="1"/>
        <v>1200</v>
      </c>
      <c r="O26">
        <f t="shared" si="0"/>
        <v>1198</v>
      </c>
      <c r="P26">
        <f>Table1[[#This Row],[Quantity]]*Table1[[#This Row],[unit_price]]*Table1[[#This Row],[Discount]]</f>
        <v>0</v>
      </c>
      <c r="Q26" t="str">
        <f>VLOOKUP(E26,Products!$A$2:$E$23,2,0)</f>
        <v>Formal Shirt</v>
      </c>
      <c r="R26" t="str">
        <f>VLOOKUP(Table1[[#This Row],[Product ID]],Products!$A$2:$E$23,3,0)</f>
        <v>Clothing</v>
      </c>
      <c r="S26" t="str">
        <f>VLOOKUP(C26,Customers!$A$2:$F$201,4,0)</f>
        <v>Kerala</v>
      </c>
      <c r="T26" t="str">
        <f>VLOOKUP(Table1[[#This Row],[Customer ID]],Customers!$A$2:$F$201,5,0)</f>
        <v>South</v>
      </c>
      <c r="U26" t="str">
        <f>VLOOKUP(Table1[[#This Row],[Customer ID]],Customers!$A$2:$F$201,6,0)</f>
        <v>Corporate</v>
      </c>
      <c r="V26" t="str">
        <f>TEXT(Table1[[#This Row],[Order Date]],"MMM")</f>
        <v>Jan</v>
      </c>
      <c r="W26" t="str">
        <f>TEXT(Table1[[#This Row],[Order Date]],"yyyy")</f>
        <v>2024</v>
      </c>
    </row>
    <row r="27" spans="1:23" x14ac:dyDescent="0.25">
      <c r="A27" s="2" t="s">
        <v>92</v>
      </c>
      <c r="B27" s="4">
        <v>45313</v>
      </c>
      <c r="C27" s="2" t="s">
        <v>93</v>
      </c>
      <c r="D27" s="2" t="str">
        <f>TEXT(Table1[[#This Row],[Order Date]],"mmmm")</f>
        <v>January</v>
      </c>
      <c r="E27" s="2" t="s">
        <v>91</v>
      </c>
      <c r="F27" s="2">
        <v>1</v>
      </c>
      <c r="G27" s="5">
        <v>0</v>
      </c>
      <c r="H27" s="2" t="s">
        <v>25</v>
      </c>
      <c r="I27" s="2" t="s">
        <v>26</v>
      </c>
      <c r="J27" s="2" t="s">
        <v>94</v>
      </c>
      <c r="K27">
        <f>VLOOKUP(E27,Products!$A$2:$E$23,5,0)</f>
        <v>1199</v>
      </c>
      <c r="L27">
        <f>VLOOKUP(E27,Products!$A$2:$E$23,4,0)</f>
        <v>600</v>
      </c>
      <c r="M27" s="2">
        <f>K27*F27-Table1[[#This Row],[discount_amount]]</f>
        <v>1199</v>
      </c>
      <c r="N27">
        <f t="shared" si="1"/>
        <v>600</v>
      </c>
      <c r="O27">
        <f t="shared" si="0"/>
        <v>599</v>
      </c>
      <c r="P27">
        <f>Table1[[#This Row],[Quantity]]*Table1[[#This Row],[unit_price]]*Table1[[#This Row],[Discount]]</f>
        <v>0</v>
      </c>
      <c r="Q27" t="str">
        <f>VLOOKUP(E27,Products!$A$2:$E$23,2,0)</f>
        <v>Formal Shirt</v>
      </c>
      <c r="R27" t="str">
        <f>VLOOKUP(Table1[[#This Row],[Product ID]],Products!$A$2:$E$23,3,0)</f>
        <v>Clothing</v>
      </c>
      <c r="S27" t="str">
        <f>VLOOKUP(C27,Customers!$A$2:$F$201,4,0)</f>
        <v>Gujarat</v>
      </c>
      <c r="T27" t="str">
        <f>VLOOKUP(Table1[[#This Row],[Customer ID]],Customers!$A$2:$F$201,5,0)</f>
        <v>West</v>
      </c>
      <c r="U27" t="str">
        <f>VLOOKUP(Table1[[#This Row],[Customer ID]],Customers!$A$2:$F$201,6,0)</f>
        <v>Consumer</v>
      </c>
      <c r="V27" t="str">
        <f>TEXT(Table1[[#This Row],[Order Date]],"MMM")</f>
        <v>Jan</v>
      </c>
      <c r="W27" t="str">
        <f>TEXT(Table1[[#This Row],[Order Date]],"yyyy")</f>
        <v>2024</v>
      </c>
    </row>
    <row r="28" spans="1:23" x14ac:dyDescent="0.25">
      <c r="A28" s="2" t="s">
        <v>95</v>
      </c>
      <c r="B28" s="4">
        <v>45313</v>
      </c>
      <c r="C28" s="2" t="s">
        <v>96</v>
      </c>
      <c r="D28" s="2" t="str">
        <f>TEXT(Table1[[#This Row],[Order Date]],"mmmm")</f>
        <v>January</v>
      </c>
      <c r="E28" s="2" t="s">
        <v>57</v>
      </c>
      <c r="F28" s="2">
        <v>5</v>
      </c>
      <c r="G28" s="5">
        <v>0.05</v>
      </c>
      <c r="H28" s="2" t="s">
        <v>25</v>
      </c>
      <c r="I28" s="2" t="s">
        <v>31</v>
      </c>
      <c r="J28" s="2" t="s">
        <v>21</v>
      </c>
      <c r="K28">
        <f>VLOOKUP(E28,Products!$A$2:$E$23,5,0)</f>
        <v>1599</v>
      </c>
      <c r="L28">
        <f>VLOOKUP(E28,Products!$A$2:$E$23,4,0)</f>
        <v>800</v>
      </c>
      <c r="M28" s="2">
        <f>K28*F28-Table1[[#This Row],[discount_amount]]</f>
        <v>7595.25</v>
      </c>
      <c r="N28">
        <f t="shared" si="1"/>
        <v>4000</v>
      </c>
      <c r="O28">
        <f t="shared" si="0"/>
        <v>3595.25</v>
      </c>
      <c r="P28">
        <f>Table1[[#This Row],[Quantity]]*Table1[[#This Row],[unit_price]]*Table1[[#This Row],[Discount]]</f>
        <v>399.75</v>
      </c>
      <c r="Q28" t="str">
        <f>VLOOKUP(E28,Products!$A$2:$E$23,2,0)</f>
        <v>Hoodie</v>
      </c>
      <c r="R28" t="str">
        <f>VLOOKUP(Table1[[#This Row],[Product ID]],Products!$A$2:$E$23,3,0)</f>
        <v>Clothing</v>
      </c>
      <c r="S28" t="str">
        <f>VLOOKUP(C28,Customers!$A$2:$F$201,4,0)</f>
        <v>Odisha</v>
      </c>
      <c r="T28" t="str">
        <f>VLOOKUP(Table1[[#This Row],[Customer ID]],Customers!$A$2:$F$201,5,0)</f>
        <v>East</v>
      </c>
      <c r="U28" t="str">
        <f>VLOOKUP(Table1[[#This Row],[Customer ID]],Customers!$A$2:$F$201,6,0)</f>
        <v>Consumer</v>
      </c>
      <c r="V28" t="str">
        <f>TEXT(Table1[[#This Row],[Order Date]],"MMM")</f>
        <v>Jan</v>
      </c>
      <c r="W28" t="str">
        <f>TEXT(Table1[[#This Row],[Order Date]],"yyyy")</f>
        <v>2024</v>
      </c>
    </row>
    <row r="29" spans="1:23" x14ac:dyDescent="0.25">
      <c r="A29" s="2" t="s">
        <v>97</v>
      </c>
      <c r="B29" s="4">
        <v>45314</v>
      </c>
      <c r="C29" s="2" t="s">
        <v>98</v>
      </c>
      <c r="D29" s="2" t="str">
        <f>TEXT(Table1[[#This Row],[Order Date]],"mmmm")</f>
        <v>January</v>
      </c>
      <c r="E29" s="2" t="s">
        <v>34</v>
      </c>
      <c r="F29" s="2">
        <v>3</v>
      </c>
      <c r="G29" s="5">
        <v>0.05</v>
      </c>
      <c r="H29" s="2" t="s">
        <v>25</v>
      </c>
      <c r="I29" s="2" t="s">
        <v>20</v>
      </c>
      <c r="J29" s="2" t="s">
        <v>21</v>
      </c>
      <c r="K29">
        <f>VLOOKUP(E29,Products!$A$2:$E$23,5,0)</f>
        <v>4599</v>
      </c>
      <c r="L29">
        <f>VLOOKUP(E29,Products!$A$2:$E$23,4,0)</f>
        <v>3000</v>
      </c>
      <c r="M29" s="2">
        <f>K29*F29-Table1[[#This Row],[discount_amount]]</f>
        <v>13107.15</v>
      </c>
      <c r="N29">
        <f t="shared" si="1"/>
        <v>9000</v>
      </c>
      <c r="O29">
        <f t="shared" si="0"/>
        <v>4107.1499999999996</v>
      </c>
      <c r="P29">
        <f>Table1[[#This Row],[Quantity]]*Table1[[#This Row],[unit_price]]*Table1[[#This Row],[Discount]]</f>
        <v>689.85</v>
      </c>
      <c r="Q29" t="str">
        <f>VLOOKUP(E29,Products!$A$2:$E$23,2,0)</f>
        <v>Filing Cabinet</v>
      </c>
      <c r="R29" t="str">
        <f>VLOOKUP(Table1[[#This Row],[Product ID]],Products!$A$2:$E$23,3,0)</f>
        <v>Furniture</v>
      </c>
      <c r="S29" t="str">
        <f>VLOOKUP(C29,Customers!$A$2:$F$201,4,0)</f>
        <v>Tamil Nadu</v>
      </c>
      <c r="T29" t="str">
        <f>VLOOKUP(Table1[[#This Row],[Customer ID]],Customers!$A$2:$F$201,5,0)</f>
        <v>South</v>
      </c>
      <c r="U29" t="str">
        <f>VLOOKUP(Table1[[#This Row],[Customer ID]],Customers!$A$2:$F$201,6,0)</f>
        <v>Consumer</v>
      </c>
      <c r="V29" t="str">
        <f>TEXT(Table1[[#This Row],[Order Date]],"MMM")</f>
        <v>Jan</v>
      </c>
      <c r="W29" t="str">
        <f>TEXT(Table1[[#This Row],[Order Date]],"yyyy")</f>
        <v>2024</v>
      </c>
    </row>
    <row r="30" spans="1:23" x14ac:dyDescent="0.25">
      <c r="A30" s="2" t="s">
        <v>99</v>
      </c>
      <c r="B30" s="4">
        <v>45317</v>
      </c>
      <c r="C30" s="2" t="s">
        <v>100</v>
      </c>
      <c r="D30" s="2" t="str">
        <f>TEXT(Table1[[#This Row],[Order Date]],"mmmm")</f>
        <v>January</v>
      </c>
      <c r="E30" s="2" t="s">
        <v>34</v>
      </c>
      <c r="F30" s="2">
        <v>1</v>
      </c>
      <c r="G30" s="5">
        <v>0.1</v>
      </c>
      <c r="H30" s="2" t="s">
        <v>19</v>
      </c>
      <c r="I30" s="2" t="s">
        <v>20</v>
      </c>
      <c r="J30" s="2" t="s">
        <v>21</v>
      </c>
      <c r="K30">
        <f>VLOOKUP(E30,Products!$A$2:$E$23,5,0)</f>
        <v>4599</v>
      </c>
      <c r="L30">
        <f>VLOOKUP(E30,Products!$A$2:$E$23,4,0)</f>
        <v>3000</v>
      </c>
      <c r="M30" s="2">
        <f>K30*F30-Table1[[#This Row],[discount_amount]]</f>
        <v>4139.1000000000004</v>
      </c>
      <c r="N30">
        <f t="shared" si="1"/>
        <v>3000</v>
      </c>
      <c r="O30">
        <f t="shared" si="0"/>
        <v>1139.1000000000004</v>
      </c>
      <c r="P30">
        <f>Table1[[#This Row],[Quantity]]*Table1[[#This Row],[unit_price]]*Table1[[#This Row],[Discount]]</f>
        <v>459.90000000000003</v>
      </c>
      <c r="Q30" t="str">
        <f>VLOOKUP(E30,Products!$A$2:$E$23,2,0)</f>
        <v>Filing Cabinet</v>
      </c>
      <c r="R30" t="str">
        <f>VLOOKUP(Table1[[#This Row],[Product ID]],Products!$A$2:$E$23,3,0)</f>
        <v>Furniture</v>
      </c>
      <c r="S30" t="str">
        <f>VLOOKUP(C30,Customers!$A$2:$F$201,4,0)</f>
        <v>Delhi</v>
      </c>
      <c r="T30" t="str">
        <f>VLOOKUP(Table1[[#This Row],[Customer ID]],Customers!$A$2:$F$201,5,0)</f>
        <v>North</v>
      </c>
      <c r="U30" t="str">
        <f>VLOOKUP(Table1[[#This Row],[Customer ID]],Customers!$A$2:$F$201,6,0)</f>
        <v>Consumer</v>
      </c>
      <c r="V30" t="str">
        <f>TEXT(Table1[[#This Row],[Order Date]],"MMM")</f>
        <v>Jan</v>
      </c>
      <c r="W30" t="str">
        <f>TEXT(Table1[[#This Row],[Order Date]],"yyyy")</f>
        <v>2024</v>
      </c>
    </row>
    <row r="31" spans="1:23" x14ac:dyDescent="0.25">
      <c r="A31" s="2" t="s">
        <v>101</v>
      </c>
      <c r="B31" s="4">
        <v>45318</v>
      </c>
      <c r="C31" s="2" t="s">
        <v>102</v>
      </c>
      <c r="D31" s="2" t="str">
        <f>TEXT(Table1[[#This Row],[Order Date]],"mmmm")</f>
        <v>January</v>
      </c>
      <c r="E31" s="2" t="s">
        <v>54</v>
      </c>
      <c r="F31" s="2">
        <v>4</v>
      </c>
      <c r="G31" s="5">
        <v>0.05</v>
      </c>
      <c r="H31" s="2" t="s">
        <v>25</v>
      </c>
      <c r="I31" s="2" t="s">
        <v>26</v>
      </c>
      <c r="J31" s="2" t="s">
        <v>21</v>
      </c>
      <c r="K31">
        <f>VLOOKUP(E31,Products!$A$2:$E$23,5,0)</f>
        <v>299</v>
      </c>
      <c r="L31">
        <f>VLOOKUP(E31,Products!$A$2:$E$23,4,0)</f>
        <v>180</v>
      </c>
      <c r="M31" s="2">
        <f>K31*F31-Table1[[#This Row],[discount_amount]]</f>
        <v>1136.2</v>
      </c>
      <c r="N31">
        <f t="shared" si="1"/>
        <v>720</v>
      </c>
      <c r="O31">
        <f t="shared" si="0"/>
        <v>416.20000000000005</v>
      </c>
      <c r="P31">
        <f>Table1[[#This Row],[Quantity]]*Table1[[#This Row],[unit_price]]*Table1[[#This Row],[Discount]]</f>
        <v>59.800000000000004</v>
      </c>
      <c r="Q31" t="str">
        <f>VLOOKUP(E31,Products!$A$2:$E$23,2,0)</f>
        <v>Notebook Pack of 5</v>
      </c>
      <c r="R31" t="str">
        <f>VLOOKUP(Table1[[#This Row],[Product ID]],Products!$A$2:$E$23,3,0)</f>
        <v>Office Supplies</v>
      </c>
      <c r="S31" t="str">
        <f>VLOOKUP(C31,Customers!$A$2:$F$201,4,0)</f>
        <v>Madhya Pradesh</v>
      </c>
      <c r="T31" t="str">
        <f>VLOOKUP(Table1[[#This Row],[Customer ID]],Customers!$A$2:$F$201,5,0)</f>
        <v>Central</v>
      </c>
      <c r="U31" t="str">
        <f>VLOOKUP(Table1[[#This Row],[Customer ID]],Customers!$A$2:$F$201,6,0)</f>
        <v>Consumer</v>
      </c>
      <c r="V31" t="str">
        <f>TEXT(Table1[[#This Row],[Order Date]],"MMM")</f>
        <v>Jan</v>
      </c>
      <c r="W31" t="str">
        <f>TEXT(Table1[[#This Row],[Order Date]],"yyyy")</f>
        <v>2024</v>
      </c>
    </row>
    <row r="32" spans="1:23" x14ac:dyDescent="0.25">
      <c r="A32" s="2" t="s">
        <v>103</v>
      </c>
      <c r="B32" s="4">
        <v>45318</v>
      </c>
      <c r="C32" s="2" t="s">
        <v>104</v>
      </c>
      <c r="D32" s="2" t="str">
        <f>TEXT(Table1[[#This Row],[Order Date]],"mmmm")</f>
        <v>January</v>
      </c>
      <c r="E32" s="2" t="s">
        <v>41</v>
      </c>
      <c r="F32" s="2">
        <v>2</v>
      </c>
      <c r="G32" s="5">
        <v>0.1</v>
      </c>
      <c r="H32" s="2" t="s">
        <v>30</v>
      </c>
      <c r="I32" s="2" t="s">
        <v>26</v>
      </c>
      <c r="J32" s="2" t="s">
        <v>21</v>
      </c>
      <c r="K32">
        <f>VLOOKUP(E32,Products!$A$2:$E$23,5,0)</f>
        <v>320</v>
      </c>
      <c r="L32">
        <f>VLOOKUP(E32,Products!$A$2:$E$23,4,0)</f>
        <v>220</v>
      </c>
      <c r="M32" s="2">
        <f>K32*F32-Table1[[#This Row],[discount_amount]]</f>
        <v>576</v>
      </c>
      <c r="N32">
        <f t="shared" si="1"/>
        <v>440</v>
      </c>
      <c r="O32">
        <f t="shared" si="0"/>
        <v>136</v>
      </c>
      <c r="P32">
        <f>Table1[[#This Row],[Quantity]]*Table1[[#This Row],[unit_price]]*Table1[[#This Row],[Discount]]</f>
        <v>64</v>
      </c>
      <c r="Q32" t="str">
        <f>VLOOKUP(E32,Products!$A$2:$E$23,2,0)</f>
        <v>A4 Paper Ream</v>
      </c>
      <c r="R32" t="str">
        <f>VLOOKUP(Table1[[#This Row],[Product ID]],Products!$A$2:$E$23,3,0)</f>
        <v>Office Supplies</v>
      </c>
      <c r="S32" t="str">
        <f>VLOOKUP(C32,Customers!$A$2:$F$201,4,0)</f>
        <v>Rajasthan</v>
      </c>
      <c r="T32" t="str">
        <f>VLOOKUP(Table1[[#This Row],[Customer ID]],Customers!$A$2:$F$201,5,0)</f>
        <v>North</v>
      </c>
      <c r="U32" t="str">
        <f>VLOOKUP(Table1[[#This Row],[Customer ID]],Customers!$A$2:$F$201,6,0)</f>
        <v>Corporate</v>
      </c>
      <c r="V32" t="str">
        <f>TEXT(Table1[[#This Row],[Order Date]],"MMM")</f>
        <v>Jan</v>
      </c>
      <c r="W32" t="str">
        <f>TEXT(Table1[[#This Row],[Order Date]],"yyyy")</f>
        <v>2024</v>
      </c>
    </row>
    <row r="33" spans="1:23" x14ac:dyDescent="0.25">
      <c r="A33" s="2" t="s">
        <v>105</v>
      </c>
      <c r="B33" s="4">
        <v>45318</v>
      </c>
      <c r="C33" s="2" t="s">
        <v>78</v>
      </c>
      <c r="D33" s="2" t="str">
        <f>TEXT(Table1[[#This Row],[Order Date]],"mmmm")</f>
        <v>January</v>
      </c>
      <c r="E33" s="2" t="s">
        <v>73</v>
      </c>
      <c r="F33" s="2">
        <v>1</v>
      </c>
      <c r="G33" s="5">
        <v>0</v>
      </c>
      <c r="H33" s="2" t="s">
        <v>30</v>
      </c>
      <c r="I33" s="2" t="s">
        <v>38</v>
      </c>
      <c r="J33" s="2" t="s">
        <v>21</v>
      </c>
      <c r="K33">
        <f>VLOOKUP(E33,Products!$A$2:$E$23,5,0)</f>
        <v>6499</v>
      </c>
      <c r="L33">
        <f>VLOOKUP(E33,Products!$A$2:$E$23,4,0)</f>
        <v>4200</v>
      </c>
      <c r="M33" s="2">
        <f>K33*F33-Table1[[#This Row],[discount_amount]]</f>
        <v>6499</v>
      </c>
      <c r="N33">
        <f t="shared" si="1"/>
        <v>4200</v>
      </c>
      <c r="O33">
        <f t="shared" si="0"/>
        <v>2299</v>
      </c>
      <c r="P33">
        <f>Table1[[#This Row],[Quantity]]*Table1[[#This Row],[unit_price]]*Table1[[#This Row],[Discount]]</f>
        <v>0</v>
      </c>
      <c r="Q33" t="str">
        <f>VLOOKUP(E33,Products!$A$2:$E$23,2,0)</f>
        <v>Study Table</v>
      </c>
      <c r="R33" t="str">
        <f>VLOOKUP(Table1[[#This Row],[Product ID]],Products!$A$2:$E$23,3,0)</f>
        <v>Furniture</v>
      </c>
      <c r="S33" t="str">
        <f>VLOOKUP(C33,Customers!$A$2:$F$201,4,0)</f>
        <v>Kerala</v>
      </c>
      <c r="T33" t="str">
        <f>VLOOKUP(Table1[[#This Row],[Customer ID]],Customers!$A$2:$F$201,5,0)</f>
        <v>South</v>
      </c>
      <c r="U33" t="str">
        <f>VLOOKUP(Table1[[#This Row],[Customer ID]],Customers!$A$2:$F$201,6,0)</f>
        <v>Corporate</v>
      </c>
      <c r="V33" t="str">
        <f>TEXT(Table1[[#This Row],[Order Date]],"MMM")</f>
        <v>Jan</v>
      </c>
      <c r="W33" t="str">
        <f>TEXT(Table1[[#This Row],[Order Date]],"yyyy")</f>
        <v>2024</v>
      </c>
    </row>
    <row r="34" spans="1:23" x14ac:dyDescent="0.25">
      <c r="A34" s="2" t="s">
        <v>106</v>
      </c>
      <c r="B34" s="4">
        <v>45319</v>
      </c>
      <c r="C34" s="2" t="s">
        <v>51</v>
      </c>
      <c r="D34" s="2" t="str">
        <f>TEXT(Table1[[#This Row],[Order Date]],"mmmm")</f>
        <v>January</v>
      </c>
      <c r="E34" s="2" t="s">
        <v>34</v>
      </c>
      <c r="F34" s="2">
        <v>5</v>
      </c>
      <c r="G34" s="5">
        <v>0</v>
      </c>
      <c r="H34" s="2" t="s">
        <v>30</v>
      </c>
      <c r="I34" s="2" t="s">
        <v>26</v>
      </c>
      <c r="J34" s="2" t="s">
        <v>79</v>
      </c>
      <c r="K34">
        <f>VLOOKUP(E34,Products!$A$2:$E$23,5,0)</f>
        <v>4599</v>
      </c>
      <c r="L34">
        <f>VLOOKUP(E34,Products!$A$2:$E$23,4,0)</f>
        <v>3000</v>
      </c>
      <c r="M34" s="2">
        <f>K34*F34-Table1[[#This Row],[discount_amount]]</f>
        <v>22995</v>
      </c>
      <c r="N34">
        <f t="shared" si="1"/>
        <v>15000</v>
      </c>
      <c r="O34">
        <f t="shared" si="0"/>
        <v>7995</v>
      </c>
      <c r="P34">
        <f>Table1[[#This Row],[Quantity]]*Table1[[#This Row],[unit_price]]*Table1[[#This Row],[Discount]]</f>
        <v>0</v>
      </c>
      <c r="Q34" t="str">
        <f>VLOOKUP(E34,Products!$A$2:$E$23,2,0)</f>
        <v>Filing Cabinet</v>
      </c>
      <c r="R34" t="str">
        <f>VLOOKUP(Table1[[#This Row],[Product ID]],Products!$A$2:$E$23,3,0)</f>
        <v>Furniture</v>
      </c>
      <c r="S34" t="str">
        <f>VLOOKUP(C34,Customers!$A$2:$F$201,4,0)</f>
        <v>Kerala</v>
      </c>
      <c r="T34" t="str">
        <f>VLOOKUP(Table1[[#This Row],[Customer ID]],Customers!$A$2:$F$201,5,0)</f>
        <v>South</v>
      </c>
      <c r="U34" t="str">
        <f>VLOOKUP(Table1[[#This Row],[Customer ID]],Customers!$A$2:$F$201,6,0)</f>
        <v>Consumer</v>
      </c>
      <c r="V34" t="str">
        <f>TEXT(Table1[[#This Row],[Order Date]],"MMM")</f>
        <v>Jan</v>
      </c>
      <c r="W34" t="str">
        <f>TEXT(Table1[[#This Row],[Order Date]],"yyyy")</f>
        <v>2024</v>
      </c>
    </row>
    <row r="35" spans="1:23" x14ac:dyDescent="0.25">
      <c r="A35" s="2" t="s">
        <v>107</v>
      </c>
      <c r="B35" s="4">
        <v>45320</v>
      </c>
      <c r="C35" s="2" t="s">
        <v>108</v>
      </c>
      <c r="D35" s="2" t="str">
        <f>TEXT(Table1[[#This Row],[Order Date]],"mmmm")</f>
        <v>January</v>
      </c>
      <c r="E35" s="2" t="s">
        <v>91</v>
      </c>
      <c r="F35" s="2">
        <v>4</v>
      </c>
      <c r="G35" s="5">
        <v>0</v>
      </c>
      <c r="H35" s="2" t="s">
        <v>25</v>
      </c>
      <c r="I35" s="2" t="s">
        <v>20</v>
      </c>
      <c r="J35" s="2" t="s">
        <v>21</v>
      </c>
      <c r="K35">
        <f>VLOOKUP(E35,Products!$A$2:$E$23,5,0)</f>
        <v>1199</v>
      </c>
      <c r="L35">
        <f>VLOOKUP(E35,Products!$A$2:$E$23,4,0)</f>
        <v>600</v>
      </c>
      <c r="M35" s="2">
        <f>K35*F35-Table1[[#This Row],[discount_amount]]</f>
        <v>4796</v>
      </c>
      <c r="N35">
        <f t="shared" si="1"/>
        <v>2400</v>
      </c>
      <c r="O35">
        <f t="shared" si="0"/>
        <v>2396</v>
      </c>
      <c r="P35">
        <f>Table1[[#This Row],[Quantity]]*Table1[[#This Row],[unit_price]]*Table1[[#This Row],[Discount]]</f>
        <v>0</v>
      </c>
      <c r="Q35" t="str">
        <f>VLOOKUP(E35,Products!$A$2:$E$23,2,0)</f>
        <v>Formal Shirt</v>
      </c>
      <c r="R35" t="str">
        <f>VLOOKUP(Table1[[#This Row],[Product ID]],Products!$A$2:$E$23,3,0)</f>
        <v>Clothing</v>
      </c>
      <c r="S35" t="str">
        <f>VLOOKUP(C35,Customers!$A$2:$F$201,4,0)</f>
        <v>West Bengal</v>
      </c>
      <c r="T35" t="str">
        <f>VLOOKUP(Table1[[#This Row],[Customer ID]],Customers!$A$2:$F$201,5,0)</f>
        <v>East</v>
      </c>
      <c r="U35" t="str">
        <f>VLOOKUP(Table1[[#This Row],[Customer ID]],Customers!$A$2:$F$201,6,0)</f>
        <v>Corporate</v>
      </c>
      <c r="V35" t="str">
        <f>TEXT(Table1[[#This Row],[Order Date]],"MMM")</f>
        <v>Jan</v>
      </c>
      <c r="W35" t="str">
        <f>TEXT(Table1[[#This Row],[Order Date]],"yyyy")</f>
        <v>2024</v>
      </c>
    </row>
    <row r="36" spans="1:23" x14ac:dyDescent="0.25">
      <c r="A36" s="2" t="s">
        <v>109</v>
      </c>
      <c r="B36" s="4">
        <v>45321</v>
      </c>
      <c r="C36" s="2" t="s">
        <v>110</v>
      </c>
      <c r="D36" s="2" t="str">
        <f>TEXT(Table1[[#This Row],[Order Date]],"mmmm")</f>
        <v>January</v>
      </c>
      <c r="E36" s="2" t="s">
        <v>111</v>
      </c>
      <c r="F36" s="2">
        <v>6</v>
      </c>
      <c r="G36" s="5">
        <v>0</v>
      </c>
      <c r="H36" s="2" t="s">
        <v>25</v>
      </c>
      <c r="I36" s="2" t="s">
        <v>20</v>
      </c>
      <c r="J36" s="2" t="s">
        <v>94</v>
      </c>
      <c r="K36">
        <f>VLOOKUP(E36,Products!$A$2:$E$23,5,0)</f>
        <v>240</v>
      </c>
      <c r="L36">
        <f>VLOOKUP(E36,Products!$A$2:$E$23,4,0)</f>
        <v>140</v>
      </c>
      <c r="M36" s="2">
        <f>K36*F36-Table1[[#This Row],[discount_amount]]</f>
        <v>1440</v>
      </c>
      <c r="N36">
        <f t="shared" si="1"/>
        <v>840</v>
      </c>
      <c r="O36">
        <f t="shared" si="0"/>
        <v>600</v>
      </c>
      <c r="P36">
        <f>Table1[[#This Row],[Quantity]]*Table1[[#This Row],[unit_price]]*Table1[[#This Row],[Discount]]</f>
        <v>0</v>
      </c>
      <c r="Q36" t="str">
        <f>VLOOKUP(E36,Products!$A$2:$E$23,2,0)</f>
        <v>Whiteboard Marker Set</v>
      </c>
      <c r="R36" t="str">
        <f>VLOOKUP(Table1[[#This Row],[Product ID]],Products!$A$2:$E$23,3,0)</f>
        <v>Office Supplies</v>
      </c>
      <c r="S36" t="str">
        <f>VLOOKUP(C36,Customers!$A$2:$F$201,4,0)</f>
        <v>Gujarat</v>
      </c>
      <c r="T36" t="str">
        <f>VLOOKUP(Table1[[#This Row],[Customer ID]],Customers!$A$2:$F$201,5,0)</f>
        <v>West</v>
      </c>
      <c r="U36" t="str">
        <f>VLOOKUP(Table1[[#This Row],[Customer ID]],Customers!$A$2:$F$201,6,0)</f>
        <v>Corporate</v>
      </c>
      <c r="V36" t="str">
        <f>TEXT(Table1[[#This Row],[Order Date]],"MMM")</f>
        <v>Jan</v>
      </c>
      <c r="W36" t="str">
        <f>TEXT(Table1[[#This Row],[Order Date]],"yyyy")</f>
        <v>2024</v>
      </c>
    </row>
    <row r="37" spans="1:23" x14ac:dyDescent="0.25">
      <c r="A37" s="2" t="s">
        <v>112</v>
      </c>
      <c r="B37" s="4">
        <v>45321</v>
      </c>
      <c r="C37" s="2" t="s">
        <v>113</v>
      </c>
      <c r="D37" s="2" t="str">
        <f>TEXT(Table1[[#This Row],[Order Date]],"mmmm")</f>
        <v>January</v>
      </c>
      <c r="E37" s="2" t="s">
        <v>73</v>
      </c>
      <c r="F37" s="2">
        <v>4</v>
      </c>
      <c r="G37" s="5">
        <v>0</v>
      </c>
      <c r="H37" s="2" t="s">
        <v>25</v>
      </c>
      <c r="I37" s="2" t="s">
        <v>20</v>
      </c>
      <c r="J37" s="2" t="s">
        <v>21</v>
      </c>
      <c r="K37">
        <f>VLOOKUP(E37,Products!$A$2:$E$23,5,0)</f>
        <v>6499</v>
      </c>
      <c r="L37">
        <f>VLOOKUP(E37,Products!$A$2:$E$23,4,0)</f>
        <v>4200</v>
      </c>
      <c r="M37" s="2">
        <f>K37*F37-Table1[[#This Row],[discount_amount]]</f>
        <v>25996</v>
      </c>
      <c r="N37">
        <f t="shared" si="1"/>
        <v>16800</v>
      </c>
      <c r="O37">
        <f t="shared" si="0"/>
        <v>9196</v>
      </c>
      <c r="P37">
        <f>Table1[[#This Row],[Quantity]]*Table1[[#This Row],[unit_price]]*Table1[[#This Row],[Discount]]</f>
        <v>0</v>
      </c>
      <c r="Q37" t="str">
        <f>VLOOKUP(E37,Products!$A$2:$E$23,2,0)</f>
        <v>Study Table</v>
      </c>
      <c r="R37" t="str">
        <f>VLOOKUP(Table1[[#This Row],[Product ID]],Products!$A$2:$E$23,3,0)</f>
        <v>Furniture</v>
      </c>
      <c r="S37" t="str">
        <f>VLOOKUP(C37,Customers!$A$2:$F$201,4,0)</f>
        <v>Gujarat</v>
      </c>
      <c r="T37" t="str">
        <f>VLOOKUP(Table1[[#This Row],[Customer ID]],Customers!$A$2:$F$201,5,0)</f>
        <v>West</v>
      </c>
      <c r="U37" t="str">
        <f>VLOOKUP(Table1[[#This Row],[Customer ID]],Customers!$A$2:$F$201,6,0)</f>
        <v>Consumer</v>
      </c>
      <c r="V37" t="str">
        <f>TEXT(Table1[[#This Row],[Order Date]],"MMM")</f>
        <v>Jan</v>
      </c>
      <c r="W37" t="str">
        <f>TEXT(Table1[[#This Row],[Order Date]],"yyyy")</f>
        <v>2024</v>
      </c>
    </row>
    <row r="38" spans="1:23" x14ac:dyDescent="0.25">
      <c r="A38" s="2" t="s">
        <v>114</v>
      </c>
      <c r="B38" s="4">
        <v>45321</v>
      </c>
      <c r="C38" s="2" t="s">
        <v>115</v>
      </c>
      <c r="D38" s="2" t="str">
        <f>TEXT(Table1[[#This Row],[Order Date]],"mmmm")</f>
        <v>January</v>
      </c>
      <c r="E38" s="2" t="s">
        <v>34</v>
      </c>
      <c r="F38" s="2">
        <v>1</v>
      </c>
      <c r="G38" s="5">
        <v>0.1</v>
      </c>
      <c r="H38" s="2" t="s">
        <v>19</v>
      </c>
      <c r="I38" s="2" t="s">
        <v>26</v>
      </c>
      <c r="J38" s="2" t="s">
        <v>21</v>
      </c>
      <c r="K38">
        <f>VLOOKUP(E38,Products!$A$2:$E$23,5,0)</f>
        <v>4599</v>
      </c>
      <c r="L38">
        <f>VLOOKUP(E38,Products!$A$2:$E$23,4,0)</f>
        <v>3000</v>
      </c>
      <c r="M38" s="2">
        <f>K38*F38-Table1[[#This Row],[discount_amount]]</f>
        <v>4139.1000000000004</v>
      </c>
      <c r="N38">
        <f t="shared" si="1"/>
        <v>3000</v>
      </c>
      <c r="O38">
        <f t="shared" si="0"/>
        <v>1139.1000000000004</v>
      </c>
      <c r="P38">
        <f>Table1[[#This Row],[Quantity]]*Table1[[#This Row],[unit_price]]*Table1[[#This Row],[Discount]]</f>
        <v>459.90000000000003</v>
      </c>
      <c r="Q38" t="str">
        <f>VLOOKUP(E38,Products!$A$2:$E$23,2,0)</f>
        <v>Filing Cabinet</v>
      </c>
      <c r="R38" t="str">
        <f>VLOOKUP(Table1[[#This Row],[Product ID]],Products!$A$2:$E$23,3,0)</f>
        <v>Furniture</v>
      </c>
      <c r="S38" t="str">
        <f>VLOOKUP(C38,Customers!$A$2:$F$201,4,0)</f>
        <v>Bihar</v>
      </c>
      <c r="T38" t="str">
        <f>VLOOKUP(Table1[[#This Row],[Customer ID]],Customers!$A$2:$F$201,5,0)</f>
        <v>East</v>
      </c>
      <c r="U38" t="str">
        <f>VLOOKUP(Table1[[#This Row],[Customer ID]],Customers!$A$2:$F$201,6,0)</f>
        <v>Consumer</v>
      </c>
      <c r="V38" t="str">
        <f>TEXT(Table1[[#This Row],[Order Date]],"MMM")</f>
        <v>Jan</v>
      </c>
      <c r="W38" t="str">
        <f>TEXT(Table1[[#This Row],[Order Date]],"yyyy")</f>
        <v>2024</v>
      </c>
    </row>
    <row r="39" spans="1:23" x14ac:dyDescent="0.25">
      <c r="A39" s="2" t="s">
        <v>116</v>
      </c>
      <c r="B39" s="4">
        <v>45323</v>
      </c>
      <c r="C39" s="2" t="s">
        <v>117</v>
      </c>
      <c r="D39" s="2" t="str">
        <f>TEXT(Table1[[#This Row],[Order Date]],"mmmm")</f>
        <v>February</v>
      </c>
      <c r="E39" s="2" t="s">
        <v>118</v>
      </c>
      <c r="F39" s="2">
        <v>1</v>
      </c>
      <c r="G39" s="5">
        <v>0.05</v>
      </c>
      <c r="H39" s="2" t="s">
        <v>30</v>
      </c>
      <c r="I39" s="2" t="s">
        <v>26</v>
      </c>
      <c r="J39" s="2" t="s">
        <v>21</v>
      </c>
      <c r="K39">
        <f>VLOOKUP(E39,Products!$A$2:$E$23,5,0)</f>
        <v>150</v>
      </c>
      <c r="L39">
        <f>VLOOKUP(E39,Products!$A$2:$E$23,4,0)</f>
        <v>90</v>
      </c>
      <c r="M39" s="2">
        <f>K39*F39-Table1[[#This Row],[discount_amount]]</f>
        <v>142.5</v>
      </c>
      <c r="N39">
        <f t="shared" si="1"/>
        <v>90</v>
      </c>
      <c r="O39">
        <f t="shared" si="0"/>
        <v>52.5</v>
      </c>
      <c r="P39">
        <f>Table1[[#This Row],[Quantity]]*Table1[[#This Row],[unit_price]]*Table1[[#This Row],[Discount]]</f>
        <v>7.5</v>
      </c>
      <c r="Q39" t="str">
        <f>VLOOKUP(E39,Products!$A$2:$E$23,2,0)</f>
        <v>Gel Pen Box</v>
      </c>
      <c r="R39" t="str">
        <f>VLOOKUP(Table1[[#This Row],[Product ID]],Products!$A$2:$E$23,3,0)</f>
        <v>Office Supplies</v>
      </c>
      <c r="S39" t="str">
        <f>VLOOKUP(C39,Customers!$A$2:$F$201,4,0)</f>
        <v>Gujarat</v>
      </c>
      <c r="T39" t="str">
        <f>VLOOKUP(Table1[[#This Row],[Customer ID]],Customers!$A$2:$F$201,5,0)</f>
        <v>West</v>
      </c>
      <c r="U39" t="str">
        <f>VLOOKUP(Table1[[#This Row],[Customer ID]],Customers!$A$2:$F$201,6,0)</f>
        <v>Consumer</v>
      </c>
      <c r="V39" t="str">
        <f>TEXT(Table1[[#This Row],[Order Date]],"MMM")</f>
        <v>Feb</v>
      </c>
      <c r="W39" t="str">
        <f>TEXT(Table1[[#This Row],[Order Date]],"yyyy")</f>
        <v>2024</v>
      </c>
    </row>
    <row r="40" spans="1:23" x14ac:dyDescent="0.25">
      <c r="A40" s="2" t="s">
        <v>119</v>
      </c>
      <c r="B40" s="4">
        <v>45323</v>
      </c>
      <c r="C40" s="2" t="s">
        <v>120</v>
      </c>
      <c r="D40" s="2" t="str">
        <f>TEXT(Table1[[#This Row],[Order Date]],"mmmm")</f>
        <v>February</v>
      </c>
      <c r="E40" s="2" t="s">
        <v>121</v>
      </c>
      <c r="F40" s="2">
        <v>1</v>
      </c>
      <c r="G40" s="5">
        <v>0</v>
      </c>
      <c r="H40" s="2" t="s">
        <v>25</v>
      </c>
      <c r="I40" s="2" t="s">
        <v>26</v>
      </c>
      <c r="J40" s="2" t="s">
        <v>21</v>
      </c>
      <c r="K40">
        <f>VLOOKUP(E40,Products!$A$2:$E$23,5,0)</f>
        <v>499</v>
      </c>
      <c r="L40">
        <f>VLOOKUP(E40,Products!$A$2:$E$23,4,0)</f>
        <v>250</v>
      </c>
      <c r="M40" s="2">
        <f>K40*F40-Table1[[#This Row],[discount_amount]]</f>
        <v>499</v>
      </c>
      <c r="N40">
        <f t="shared" si="1"/>
        <v>250</v>
      </c>
      <c r="O40">
        <f t="shared" si="0"/>
        <v>249</v>
      </c>
      <c r="P40">
        <f>Table1[[#This Row],[Quantity]]*Table1[[#This Row],[unit_price]]*Table1[[#This Row],[Discount]]</f>
        <v>0</v>
      </c>
      <c r="Q40" t="str">
        <f>VLOOKUP(E40,Products!$A$2:$E$23,2,0)</f>
        <v>Cotton T-Shirt</v>
      </c>
      <c r="R40" t="str">
        <f>VLOOKUP(Table1[[#This Row],[Product ID]],Products!$A$2:$E$23,3,0)</f>
        <v>Clothing</v>
      </c>
      <c r="S40" t="str">
        <f>VLOOKUP(C40,Customers!$A$2:$F$201,4,0)</f>
        <v>Madhya Pradesh</v>
      </c>
      <c r="T40" t="str">
        <f>VLOOKUP(Table1[[#This Row],[Customer ID]],Customers!$A$2:$F$201,5,0)</f>
        <v>Central</v>
      </c>
      <c r="U40" t="str">
        <f>VLOOKUP(Table1[[#This Row],[Customer ID]],Customers!$A$2:$F$201,6,0)</f>
        <v>Corporate</v>
      </c>
      <c r="V40" t="str">
        <f>TEXT(Table1[[#This Row],[Order Date]],"MMM")</f>
        <v>Feb</v>
      </c>
      <c r="W40" t="str">
        <f>TEXT(Table1[[#This Row],[Order Date]],"yyyy")</f>
        <v>2024</v>
      </c>
    </row>
    <row r="41" spans="1:23" x14ac:dyDescent="0.25">
      <c r="A41" s="2" t="s">
        <v>122</v>
      </c>
      <c r="B41" s="4">
        <v>45325</v>
      </c>
      <c r="C41" s="2" t="s">
        <v>123</v>
      </c>
      <c r="D41" s="2" t="str">
        <f>TEXT(Table1[[#This Row],[Order Date]],"mmmm")</f>
        <v>February</v>
      </c>
      <c r="E41" s="2" t="s">
        <v>37</v>
      </c>
      <c r="F41" s="2">
        <v>1</v>
      </c>
      <c r="G41" s="5">
        <v>0</v>
      </c>
      <c r="H41" s="2" t="s">
        <v>19</v>
      </c>
      <c r="I41" s="2" t="s">
        <v>26</v>
      </c>
      <c r="J41" s="2" t="s">
        <v>21</v>
      </c>
      <c r="K41">
        <f>VLOOKUP(E41,Products!$A$2:$E$23,5,0)</f>
        <v>1799</v>
      </c>
      <c r="L41">
        <f>VLOOKUP(E41,Products!$A$2:$E$23,4,0)</f>
        <v>900</v>
      </c>
      <c r="M41" s="2">
        <f>K41*F41-Table1[[#This Row],[discount_amount]]</f>
        <v>1799</v>
      </c>
      <c r="N41">
        <f t="shared" si="1"/>
        <v>900</v>
      </c>
      <c r="O41">
        <f t="shared" si="0"/>
        <v>899</v>
      </c>
      <c r="P41">
        <f>Table1[[#This Row],[Quantity]]*Table1[[#This Row],[unit_price]]*Table1[[#This Row],[Discount]]</f>
        <v>0</v>
      </c>
      <c r="Q41" t="str">
        <f>VLOOKUP(E41,Products!$A$2:$E$23,2,0)</f>
        <v>Denim Jeans</v>
      </c>
      <c r="R41" t="str">
        <f>VLOOKUP(Table1[[#This Row],[Product ID]],Products!$A$2:$E$23,3,0)</f>
        <v>Clothing</v>
      </c>
      <c r="S41" t="str">
        <f>VLOOKUP(C41,Customers!$A$2:$F$201,4,0)</f>
        <v>Uttar Pradesh</v>
      </c>
      <c r="T41" t="str">
        <f>VLOOKUP(Table1[[#This Row],[Customer ID]],Customers!$A$2:$F$201,5,0)</f>
        <v>North</v>
      </c>
      <c r="U41" t="str">
        <f>VLOOKUP(Table1[[#This Row],[Customer ID]],Customers!$A$2:$F$201,6,0)</f>
        <v>Consumer</v>
      </c>
      <c r="V41" t="str">
        <f>TEXT(Table1[[#This Row],[Order Date]],"MMM")</f>
        <v>Feb</v>
      </c>
      <c r="W41" t="str">
        <f>TEXT(Table1[[#This Row],[Order Date]],"yyyy")</f>
        <v>2024</v>
      </c>
    </row>
    <row r="42" spans="1:23" x14ac:dyDescent="0.25">
      <c r="A42" s="2" t="s">
        <v>124</v>
      </c>
      <c r="B42" s="4">
        <v>45325</v>
      </c>
      <c r="C42" s="2" t="s">
        <v>117</v>
      </c>
      <c r="D42" s="2" t="str">
        <f>TEXT(Table1[[#This Row],[Order Date]],"mmmm")</f>
        <v>February</v>
      </c>
      <c r="E42" s="2" t="s">
        <v>121</v>
      </c>
      <c r="F42" s="2">
        <v>2</v>
      </c>
      <c r="G42" s="5">
        <v>0</v>
      </c>
      <c r="H42" s="2" t="s">
        <v>25</v>
      </c>
      <c r="I42" s="2" t="s">
        <v>38</v>
      </c>
      <c r="J42" s="2" t="s">
        <v>21</v>
      </c>
      <c r="K42">
        <f>VLOOKUP(E42,Products!$A$2:$E$23,5,0)</f>
        <v>499</v>
      </c>
      <c r="L42">
        <f>VLOOKUP(E42,Products!$A$2:$E$23,4,0)</f>
        <v>250</v>
      </c>
      <c r="M42" s="2">
        <f>K42*F42-Table1[[#This Row],[discount_amount]]</f>
        <v>998</v>
      </c>
      <c r="N42">
        <f t="shared" si="1"/>
        <v>500</v>
      </c>
      <c r="O42">
        <f t="shared" si="0"/>
        <v>498</v>
      </c>
      <c r="P42">
        <f>Table1[[#This Row],[Quantity]]*Table1[[#This Row],[unit_price]]*Table1[[#This Row],[Discount]]</f>
        <v>0</v>
      </c>
      <c r="Q42" t="str">
        <f>VLOOKUP(E42,Products!$A$2:$E$23,2,0)</f>
        <v>Cotton T-Shirt</v>
      </c>
      <c r="R42" t="str">
        <f>VLOOKUP(Table1[[#This Row],[Product ID]],Products!$A$2:$E$23,3,0)</f>
        <v>Clothing</v>
      </c>
      <c r="S42" t="str">
        <f>VLOOKUP(C42,Customers!$A$2:$F$201,4,0)</f>
        <v>Gujarat</v>
      </c>
      <c r="T42" t="str">
        <f>VLOOKUP(Table1[[#This Row],[Customer ID]],Customers!$A$2:$F$201,5,0)</f>
        <v>West</v>
      </c>
      <c r="U42" t="str">
        <f>VLOOKUP(Table1[[#This Row],[Customer ID]],Customers!$A$2:$F$201,6,0)</f>
        <v>Consumer</v>
      </c>
      <c r="V42" t="str">
        <f>TEXT(Table1[[#This Row],[Order Date]],"MMM")</f>
        <v>Feb</v>
      </c>
      <c r="W42" t="str">
        <f>TEXT(Table1[[#This Row],[Order Date]],"yyyy")</f>
        <v>2024</v>
      </c>
    </row>
    <row r="43" spans="1:23" x14ac:dyDescent="0.25">
      <c r="A43" s="2" t="s">
        <v>125</v>
      </c>
      <c r="B43" s="4">
        <v>45326</v>
      </c>
      <c r="C43" s="2" t="s">
        <v>126</v>
      </c>
      <c r="D43" s="2" t="str">
        <f>TEXT(Table1[[#This Row],[Order Date]],"mmmm")</f>
        <v>February</v>
      </c>
      <c r="E43" s="2" t="s">
        <v>127</v>
      </c>
      <c r="F43" s="2">
        <v>2</v>
      </c>
      <c r="G43" s="5">
        <v>0.1</v>
      </c>
      <c r="H43" s="2" t="s">
        <v>25</v>
      </c>
      <c r="I43" s="2" t="s">
        <v>20</v>
      </c>
      <c r="J43" s="2" t="s">
        <v>21</v>
      </c>
      <c r="K43">
        <f>VLOOKUP(E43,Products!$A$2:$E$23,5,0)</f>
        <v>1999</v>
      </c>
      <c r="L43">
        <f>VLOOKUP(E43,Products!$A$2:$E$23,4,0)</f>
        <v>1200</v>
      </c>
      <c r="M43" s="2">
        <f>K43*F43-Table1[[#This Row],[discount_amount]]</f>
        <v>3598.2</v>
      </c>
      <c r="N43">
        <f t="shared" si="1"/>
        <v>2400</v>
      </c>
      <c r="O43">
        <f t="shared" si="0"/>
        <v>1198.1999999999998</v>
      </c>
      <c r="P43">
        <f>Table1[[#This Row],[Quantity]]*Table1[[#This Row],[unit_price]]*Table1[[#This Row],[Discount]]</f>
        <v>399.8</v>
      </c>
      <c r="Q43" t="str">
        <f>VLOOKUP(E43,Products!$A$2:$E$23,2,0)</f>
        <v>Bluetooth Speaker</v>
      </c>
      <c r="R43" t="str">
        <f>VLOOKUP(Table1[[#This Row],[Product ID]],Products!$A$2:$E$23,3,0)</f>
        <v>Electronics</v>
      </c>
      <c r="S43" t="str">
        <f>VLOOKUP(C43,Customers!$A$2:$F$201,4,0)</f>
        <v>Tamil Nadu</v>
      </c>
      <c r="T43" t="str">
        <f>VLOOKUP(Table1[[#This Row],[Customer ID]],Customers!$A$2:$F$201,5,0)</f>
        <v>South</v>
      </c>
      <c r="U43" t="str">
        <f>VLOOKUP(Table1[[#This Row],[Customer ID]],Customers!$A$2:$F$201,6,0)</f>
        <v>Consumer</v>
      </c>
      <c r="V43" t="str">
        <f>TEXT(Table1[[#This Row],[Order Date]],"MMM")</f>
        <v>Feb</v>
      </c>
      <c r="W43" t="str">
        <f>TEXT(Table1[[#This Row],[Order Date]],"yyyy")</f>
        <v>2024</v>
      </c>
    </row>
    <row r="44" spans="1:23" x14ac:dyDescent="0.25">
      <c r="A44" s="2" t="s">
        <v>128</v>
      </c>
      <c r="B44" s="4">
        <v>45328</v>
      </c>
      <c r="C44" s="2" t="s">
        <v>129</v>
      </c>
      <c r="D44" s="2" t="str">
        <f>TEXT(Table1[[#This Row],[Order Date]],"mmmm")</f>
        <v>February</v>
      </c>
      <c r="E44" s="2" t="s">
        <v>66</v>
      </c>
      <c r="F44" s="2">
        <v>10</v>
      </c>
      <c r="G44" s="5">
        <v>0</v>
      </c>
      <c r="H44" s="2" t="s">
        <v>19</v>
      </c>
      <c r="I44" s="2" t="s">
        <v>46</v>
      </c>
      <c r="J44" s="2" t="s">
        <v>94</v>
      </c>
      <c r="K44">
        <f>VLOOKUP(E44,Products!$A$2:$E$23,5,0)</f>
        <v>1299</v>
      </c>
      <c r="L44">
        <f>VLOOKUP(E44,Products!$A$2:$E$23,4,0)</f>
        <v>800</v>
      </c>
      <c r="M44" s="2">
        <f>K44*F44-Table1[[#This Row],[discount_amount]]</f>
        <v>12990</v>
      </c>
      <c r="N44">
        <f t="shared" si="1"/>
        <v>8000</v>
      </c>
      <c r="O44">
        <f t="shared" si="0"/>
        <v>4990</v>
      </c>
      <c r="P44">
        <f>Table1[[#This Row],[Quantity]]*Table1[[#This Row],[unit_price]]*Table1[[#This Row],[Discount]]</f>
        <v>0</v>
      </c>
      <c r="Q44" t="str">
        <f>VLOOKUP(E44,Products!$A$2:$E$23,2,0)</f>
        <v>Power Bank 10000mAh</v>
      </c>
      <c r="R44" t="str">
        <f>VLOOKUP(Table1[[#This Row],[Product ID]],Products!$A$2:$E$23,3,0)</f>
        <v>Electronics</v>
      </c>
      <c r="S44" t="str">
        <f>VLOOKUP(C44,Customers!$A$2:$F$201,4,0)</f>
        <v>Telangana</v>
      </c>
      <c r="T44" t="str">
        <f>VLOOKUP(Table1[[#This Row],[Customer ID]],Customers!$A$2:$F$201,5,0)</f>
        <v>South</v>
      </c>
      <c r="U44" t="str">
        <f>VLOOKUP(Table1[[#This Row],[Customer ID]],Customers!$A$2:$F$201,6,0)</f>
        <v>Consumer</v>
      </c>
      <c r="V44" t="str">
        <f>TEXT(Table1[[#This Row],[Order Date]],"MMM")</f>
        <v>Feb</v>
      </c>
      <c r="W44" t="str">
        <f>TEXT(Table1[[#This Row],[Order Date]],"yyyy")</f>
        <v>2024</v>
      </c>
    </row>
    <row r="45" spans="1:23" x14ac:dyDescent="0.25">
      <c r="A45" s="2" t="s">
        <v>130</v>
      </c>
      <c r="B45" s="4">
        <v>45329</v>
      </c>
      <c r="C45" s="2" t="s">
        <v>40</v>
      </c>
      <c r="D45" s="2" t="str">
        <f>TEXT(Table1[[#This Row],[Order Date]],"mmmm")</f>
        <v>February</v>
      </c>
      <c r="E45" s="2" t="s">
        <v>118</v>
      </c>
      <c r="F45" s="2">
        <v>3</v>
      </c>
      <c r="G45" s="5">
        <v>0.05</v>
      </c>
      <c r="H45" s="2" t="s">
        <v>25</v>
      </c>
      <c r="I45" s="2" t="s">
        <v>31</v>
      </c>
      <c r="J45" s="2" t="s">
        <v>21</v>
      </c>
      <c r="K45">
        <f>VLOOKUP(E45,Products!$A$2:$E$23,5,0)</f>
        <v>150</v>
      </c>
      <c r="L45">
        <f>VLOOKUP(E45,Products!$A$2:$E$23,4,0)</f>
        <v>90</v>
      </c>
      <c r="M45" s="2">
        <f>K45*F45-Table1[[#This Row],[discount_amount]]</f>
        <v>427.5</v>
      </c>
      <c r="N45">
        <f t="shared" si="1"/>
        <v>270</v>
      </c>
      <c r="O45">
        <f t="shared" si="0"/>
        <v>157.5</v>
      </c>
      <c r="P45">
        <f>Table1[[#This Row],[Quantity]]*Table1[[#This Row],[unit_price]]*Table1[[#This Row],[Discount]]</f>
        <v>22.5</v>
      </c>
      <c r="Q45" t="str">
        <f>VLOOKUP(E45,Products!$A$2:$E$23,2,0)</f>
        <v>Gel Pen Box</v>
      </c>
      <c r="R45" t="str">
        <f>VLOOKUP(Table1[[#This Row],[Product ID]],Products!$A$2:$E$23,3,0)</f>
        <v>Office Supplies</v>
      </c>
      <c r="S45" t="str">
        <f>VLOOKUP(C45,Customers!$A$2:$F$201,4,0)</f>
        <v>Telangana</v>
      </c>
      <c r="T45" t="str">
        <f>VLOOKUP(Table1[[#This Row],[Customer ID]],Customers!$A$2:$F$201,5,0)</f>
        <v>South</v>
      </c>
      <c r="U45" t="str">
        <f>VLOOKUP(Table1[[#This Row],[Customer ID]],Customers!$A$2:$F$201,6,0)</f>
        <v>Corporate</v>
      </c>
      <c r="V45" t="str">
        <f>TEXT(Table1[[#This Row],[Order Date]],"MMM")</f>
        <v>Feb</v>
      </c>
      <c r="W45" t="str">
        <f>TEXT(Table1[[#This Row],[Order Date]],"yyyy")</f>
        <v>2024</v>
      </c>
    </row>
    <row r="46" spans="1:23" x14ac:dyDescent="0.25">
      <c r="A46" s="2" t="s">
        <v>131</v>
      </c>
      <c r="B46" s="4">
        <v>45329</v>
      </c>
      <c r="C46" s="2" t="s">
        <v>132</v>
      </c>
      <c r="D46" s="2" t="str">
        <f>TEXT(Table1[[#This Row],[Order Date]],"mmmm")</f>
        <v>February</v>
      </c>
      <c r="E46" s="2" t="s">
        <v>111</v>
      </c>
      <c r="F46" s="2">
        <v>3</v>
      </c>
      <c r="G46" s="5">
        <v>0.05</v>
      </c>
      <c r="H46" s="2" t="s">
        <v>19</v>
      </c>
      <c r="I46" s="2" t="s">
        <v>38</v>
      </c>
      <c r="J46" s="2" t="s">
        <v>21</v>
      </c>
      <c r="K46">
        <f>VLOOKUP(E46,Products!$A$2:$E$23,5,0)</f>
        <v>240</v>
      </c>
      <c r="L46">
        <f>VLOOKUP(E46,Products!$A$2:$E$23,4,0)</f>
        <v>140</v>
      </c>
      <c r="M46" s="2">
        <f>K46*F46-Table1[[#This Row],[discount_amount]]</f>
        <v>684</v>
      </c>
      <c r="N46">
        <f t="shared" si="1"/>
        <v>420</v>
      </c>
      <c r="O46">
        <f t="shared" si="0"/>
        <v>264</v>
      </c>
      <c r="P46">
        <f>Table1[[#This Row],[Quantity]]*Table1[[#This Row],[unit_price]]*Table1[[#This Row],[Discount]]</f>
        <v>36</v>
      </c>
      <c r="Q46" t="str">
        <f>VLOOKUP(E46,Products!$A$2:$E$23,2,0)</f>
        <v>Whiteboard Marker Set</v>
      </c>
      <c r="R46" t="str">
        <f>VLOOKUP(Table1[[#This Row],[Product ID]],Products!$A$2:$E$23,3,0)</f>
        <v>Office Supplies</v>
      </c>
      <c r="S46" t="str">
        <f>VLOOKUP(C46,Customers!$A$2:$F$201,4,0)</f>
        <v>Madhya Pradesh</v>
      </c>
      <c r="T46" t="str">
        <f>VLOOKUP(Table1[[#This Row],[Customer ID]],Customers!$A$2:$F$201,5,0)</f>
        <v>Central</v>
      </c>
      <c r="U46" t="str">
        <f>VLOOKUP(Table1[[#This Row],[Customer ID]],Customers!$A$2:$F$201,6,0)</f>
        <v>Consumer</v>
      </c>
      <c r="V46" t="str">
        <f>TEXT(Table1[[#This Row],[Order Date]],"MMM")</f>
        <v>Feb</v>
      </c>
      <c r="W46" t="str">
        <f>TEXT(Table1[[#This Row],[Order Date]],"yyyy")</f>
        <v>2024</v>
      </c>
    </row>
    <row r="47" spans="1:23" x14ac:dyDescent="0.25">
      <c r="A47" s="2" t="s">
        <v>133</v>
      </c>
      <c r="B47" s="4">
        <v>45329</v>
      </c>
      <c r="C47" s="2" t="s">
        <v>134</v>
      </c>
      <c r="D47" s="2" t="str">
        <f>TEXT(Table1[[#This Row],[Order Date]],"mmmm")</f>
        <v>February</v>
      </c>
      <c r="E47" s="2" t="s">
        <v>135</v>
      </c>
      <c r="F47" s="2">
        <v>3</v>
      </c>
      <c r="G47" s="5">
        <v>0.1</v>
      </c>
      <c r="H47" s="2" t="s">
        <v>25</v>
      </c>
      <c r="I47" s="2" t="s">
        <v>38</v>
      </c>
      <c r="J47" s="2" t="s">
        <v>21</v>
      </c>
      <c r="K47">
        <f>VLOOKUP(E47,Products!$A$2:$E$23,5,0)</f>
        <v>220</v>
      </c>
      <c r="L47">
        <f>VLOOKUP(E47,Products!$A$2:$E$23,4,0)</f>
        <v>120</v>
      </c>
      <c r="M47" s="2">
        <f>K47*F47-Table1[[#This Row],[discount_amount]]</f>
        <v>594</v>
      </c>
      <c r="N47">
        <f t="shared" si="1"/>
        <v>360</v>
      </c>
      <c r="O47">
        <f t="shared" si="0"/>
        <v>234</v>
      </c>
      <c r="P47">
        <f>Table1[[#This Row],[Quantity]]*Table1[[#This Row],[unit_price]]*Table1[[#This Row],[Discount]]</f>
        <v>66</v>
      </c>
      <c r="Q47" t="str">
        <f>VLOOKUP(E47,Products!$A$2:$E$23,2,0)</f>
        <v>Stapler</v>
      </c>
      <c r="R47" t="str">
        <f>VLOOKUP(Table1[[#This Row],[Product ID]],Products!$A$2:$E$23,3,0)</f>
        <v>Office Supplies</v>
      </c>
      <c r="S47" t="str">
        <f>VLOOKUP(C47,Customers!$A$2:$F$201,4,0)</f>
        <v>Telangana</v>
      </c>
      <c r="T47" t="str">
        <f>VLOOKUP(Table1[[#This Row],[Customer ID]],Customers!$A$2:$F$201,5,0)</f>
        <v>South</v>
      </c>
      <c r="U47" t="str">
        <f>VLOOKUP(Table1[[#This Row],[Customer ID]],Customers!$A$2:$F$201,6,0)</f>
        <v>Consumer</v>
      </c>
      <c r="V47" t="str">
        <f>TEXT(Table1[[#This Row],[Order Date]],"MMM")</f>
        <v>Feb</v>
      </c>
      <c r="W47" t="str">
        <f>TEXT(Table1[[#This Row],[Order Date]],"yyyy")</f>
        <v>2024</v>
      </c>
    </row>
    <row r="48" spans="1:23" x14ac:dyDescent="0.25">
      <c r="A48" s="2" t="s">
        <v>136</v>
      </c>
      <c r="B48" s="4">
        <v>45329</v>
      </c>
      <c r="C48" s="2" t="s">
        <v>137</v>
      </c>
      <c r="D48" s="2" t="str">
        <f>TEXT(Table1[[#This Row],[Order Date]],"mmmm")</f>
        <v>February</v>
      </c>
      <c r="E48" s="2" t="s">
        <v>37</v>
      </c>
      <c r="F48" s="2">
        <v>3</v>
      </c>
      <c r="G48" s="5">
        <v>0.2</v>
      </c>
      <c r="H48" s="2" t="s">
        <v>25</v>
      </c>
      <c r="I48" s="2" t="s">
        <v>31</v>
      </c>
      <c r="J48" s="2" t="s">
        <v>21</v>
      </c>
      <c r="K48">
        <f>VLOOKUP(E48,Products!$A$2:$E$23,5,0)</f>
        <v>1799</v>
      </c>
      <c r="L48">
        <f>VLOOKUP(E48,Products!$A$2:$E$23,4,0)</f>
        <v>900</v>
      </c>
      <c r="M48" s="2">
        <f>K48*F48-Table1[[#This Row],[discount_amount]]</f>
        <v>4317.6000000000004</v>
      </c>
      <c r="N48">
        <f t="shared" si="1"/>
        <v>2700</v>
      </c>
      <c r="O48">
        <f t="shared" si="0"/>
        <v>1617.6000000000004</v>
      </c>
      <c r="P48">
        <f>Table1[[#This Row],[Quantity]]*Table1[[#This Row],[unit_price]]*Table1[[#This Row],[Discount]]</f>
        <v>1079.4000000000001</v>
      </c>
      <c r="Q48" t="str">
        <f>VLOOKUP(E48,Products!$A$2:$E$23,2,0)</f>
        <v>Denim Jeans</v>
      </c>
      <c r="R48" t="str">
        <f>VLOOKUP(Table1[[#This Row],[Product ID]],Products!$A$2:$E$23,3,0)</f>
        <v>Clothing</v>
      </c>
      <c r="S48" t="str">
        <f>VLOOKUP(C48,Customers!$A$2:$F$201,4,0)</f>
        <v>Telangana</v>
      </c>
      <c r="T48" t="str">
        <f>VLOOKUP(Table1[[#This Row],[Customer ID]],Customers!$A$2:$F$201,5,0)</f>
        <v>South</v>
      </c>
      <c r="U48" t="str">
        <f>VLOOKUP(Table1[[#This Row],[Customer ID]],Customers!$A$2:$F$201,6,0)</f>
        <v>Corporate</v>
      </c>
      <c r="V48" t="str">
        <f>TEXT(Table1[[#This Row],[Order Date]],"MMM")</f>
        <v>Feb</v>
      </c>
      <c r="W48" t="str">
        <f>TEXT(Table1[[#This Row],[Order Date]],"yyyy")</f>
        <v>2024</v>
      </c>
    </row>
    <row r="49" spans="1:23" x14ac:dyDescent="0.25">
      <c r="A49" s="2" t="s">
        <v>138</v>
      </c>
      <c r="B49" s="4">
        <v>45330</v>
      </c>
      <c r="C49" s="2" t="s">
        <v>108</v>
      </c>
      <c r="D49" s="2" t="str">
        <f>TEXT(Table1[[#This Row],[Order Date]],"mmmm")</f>
        <v>February</v>
      </c>
      <c r="E49" s="2" t="s">
        <v>73</v>
      </c>
      <c r="F49" s="2">
        <v>1</v>
      </c>
      <c r="G49" s="5">
        <v>0.05</v>
      </c>
      <c r="H49" s="2" t="s">
        <v>25</v>
      </c>
      <c r="I49" s="2" t="s">
        <v>31</v>
      </c>
      <c r="J49" s="2" t="s">
        <v>21</v>
      </c>
      <c r="K49">
        <f>VLOOKUP(E49,Products!$A$2:$E$23,5,0)</f>
        <v>6499</v>
      </c>
      <c r="L49">
        <f>VLOOKUP(E49,Products!$A$2:$E$23,4,0)</f>
        <v>4200</v>
      </c>
      <c r="M49" s="2">
        <f>K49*F49-Table1[[#This Row],[discount_amount]]</f>
        <v>6174.05</v>
      </c>
      <c r="N49">
        <f t="shared" si="1"/>
        <v>4200</v>
      </c>
      <c r="O49">
        <f t="shared" si="0"/>
        <v>1974.0500000000002</v>
      </c>
      <c r="P49">
        <f>Table1[[#This Row],[Quantity]]*Table1[[#This Row],[unit_price]]*Table1[[#This Row],[Discount]]</f>
        <v>324.95000000000005</v>
      </c>
      <c r="Q49" t="str">
        <f>VLOOKUP(E49,Products!$A$2:$E$23,2,0)</f>
        <v>Study Table</v>
      </c>
      <c r="R49" t="str">
        <f>VLOOKUP(Table1[[#This Row],[Product ID]],Products!$A$2:$E$23,3,0)</f>
        <v>Furniture</v>
      </c>
      <c r="S49" t="str">
        <f>VLOOKUP(C49,Customers!$A$2:$F$201,4,0)</f>
        <v>West Bengal</v>
      </c>
      <c r="T49" t="str">
        <f>VLOOKUP(Table1[[#This Row],[Customer ID]],Customers!$A$2:$F$201,5,0)</f>
        <v>East</v>
      </c>
      <c r="U49" t="str">
        <f>VLOOKUP(Table1[[#This Row],[Customer ID]],Customers!$A$2:$F$201,6,0)</f>
        <v>Corporate</v>
      </c>
      <c r="V49" t="str">
        <f>TEXT(Table1[[#This Row],[Order Date]],"MMM")</f>
        <v>Feb</v>
      </c>
      <c r="W49" t="str">
        <f>TEXT(Table1[[#This Row],[Order Date]],"yyyy")</f>
        <v>2024</v>
      </c>
    </row>
    <row r="50" spans="1:23" x14ac:dyDescent="0.25">
      <c r="A50" s="2" t="s">
        <v>139</v>
      </c>
      <c r="B50" s="4">
        <v>45330</v>
      </c>
      <c r="C50" s="2" t="s">
        <v>140</v>
      </c>
      <c r="D50" s="2" t="str">
        <f>TEXT(Table1[[#This Row],[Order Date]],"mmmm")</f>
        <v>February</v>
      </c>
      <c r="E50" s="2" t="s">
        <v>118</v>
      </c>
      <c r="F50" s="2">
        <v>2</v>
      </c>
      <c r="G50" s="5">
        <v>0</v>
      </c>
      <c r="H50" s="2" t="s">
        <v>30</v>
      </c>
      <c r="I50" s="2" t="s">
        <v>46</v>
      </c>
      <c r="J50" s="2" t="s">
        <v>94</v>
      </c>
      <c r="K50">
        <f>VLOOKUP(E50,Products!$A$2:$E$23,5,0)</f>
        <v>150</v>
      </c>
      <c r="L50">
        <f>VLOOKUP(E50,Products!$A$2:$E$23,4,0)</f>
        <v>90</v>
      </c>
      <c r="M50" s="2">
        <f>K50*F50-Table1[[#This Row],[discount_amount]]</f>
        <v>300</v>
      </c>
      <c r="N50">
        <f t="shared" si="1"/>
        <v>180</v>
      </c>
      <c r="O50">
        <f t="shared" si="0"/>
        <v>120</v>
      </c>
      <c r="P50">
        <f>Table1[[#This Row],[Quantity]]*Table1[[#This Row],[unit_price]]*Table1[[#This Row],[Discount]]</f>
        <v>0</v>
      </c>
      <c r="Q50" t="str">
        <f>VLOOKUP(E50,Products!$A$2:$E$23,2,0)</f>
        <v>Gel Pen Box</v>
      </c>
      <c r="R50" t="str">
        <f>VLOOKUP(Table1[[#This Row],[Product ID]],Products!$A$2:$E$23,3,0)</f>
        <v>Office Supplies</v>
      </c>
      <c r="S50" t="str">
        <f>VLOOKUP(C50,Customers!$A$2:$F$201,4,0)</f>
        <v>Gujarat</v>
      </c>
      <c r="T50" t="str">
        <f>VLOOKUP(Table1[[#This Row],[Customer ID]],Customers!$A$2:$F$201,5,0)</f>
        <v>West</v>
      </c>
      <c r="U50" t="str">
        <f>VLOOKUP(Table1[[#This Row],[Customer ID]],Customers!$A$2:$F$201,6,0)</f>
        <v>Consumer</v>
      </c>
      <c r="V50" t="str">
        <f>TEXT(Table1[[#This Row],[Order Date]],"MMM")</f>
        <v>Feb</v>
      </c>
      <c r="W50" t="str">
        <f>TEXT(Table1[[#This Row],[Order Date]],"yyyy")</f>
        <v>2024</v>
      </c>
    </row>
    <row r="51" spans="1:23" x14ac:dyDescent="0.25">
      <c r="A51" s="2" t="s">
        <v>141</v>
      </c>
      <c r="B51" s="4">
        <v>45330</v>
      </c>
      <c r="C51" s="2" t="s">
        <v>142</v>
      </c>
      <c r="D51" s="2" t="str">
        <f>TEXT(Table1[[#This Row],[Order Date]],"mmmm")</f>
        <v>February</v>
      </c>
      <c r="E51" s="2" t="s">
        <v>49</v>
      </c>
      <c r="F51" s="2">
        <v>4</v>
      </c>
      <c r="G51" s="5">
        <v>0.05</v>
      </c>
      <c r="H51" s="2" t="s">
        <v>30</v>
      </c>
      <c r="I51" s="2" t="s">
        <v>20</v>
      </c>
      <c r="J51" s="2" t="s">
        <v>21</v>
      </c>
      <c r="K51">
        <f>VLOOKUP(E51,Products!$A$2:$E$23,5,0)</f>
        <v>700</v>
      </c>
      <c r="L51">
        <f>VLOOKUP(E51,Products!$A$2:$E$23,4,0)</f>
        <v>450</v>
      </c>
      <c r="M51" s="2">
        <f>K51*F51-Table1[[#This Row],[discount_amount]]</f>
        <v>2660</v>
      </c>
      <c r="N51">
        <f t="shared" si="1"/>
        <v>1800</v>
      </c>
      <c r="O51">
        <f t="shared" si="0"/>
        <v>860</v>
      </c>
      <c r="P51">
        <f>Table1[[#This Row],[Quantity]]*Table1[[#This Row],[unit_price]]*Table1[[#This Row],[Discount]]</f>
        <v>140</v>
      </c>
      <c r="Q51" t="str">
        <f>VLOOKUP(E51,Products!$A$2:$E$23,2,0)</f>
        <v>Wireless Mouse</v>
      </c>
      <c r="R51" t="str">
        <f>VLOOKUP(Table1[[#This Row],[Product ID]],Products!$A$2:$E$23,3,0)</f>
        <v>Electronics</v>
      </c>
      <c r="S51" t="str">
        <f>VLOOKUP(C51,Customers!$A$2:$F$201,4,0)</f>
        <v>Tamil Nadu</v>
      </c>
      <c r="T51" t="str">
        <f>VLOOKUP(Table1[[#This Row],[Customer ID]],Customers!$A$2:$F$201,5,0)</f>
        <v>South</v>
      </c>
      <c r="U51" t="str">
        <f>VLOOKUP(Table1[[#This Row],[Customer ID]],Customers!$A$2:$F$201,6,0)</f>
        <v>Corporate</v>
      </c>
      <c r="V51" t="str">
        <f>TEXT(Table1[[#This Row],[Order Date]],"MMM")</f>
        <v>Feb</v>
      </c>
      <c r="W51" t="str">
        <f>TEXT(Table1[[#This Row],[Order Date]],"yyyy")</f>
        <v>2024</v>
      </c>
    </row>
    <row r="52" spans="1:23" x14ac:dyDescent="0.25">
      <c r="A52" s="2" t="s">
        <v>143</v>
      </c>
      <c r="B52" s="4">
        <v>45331</v>
      </c>
      <c r="C52" s="2" t="s">
        <v>144</v>
      </c>
      <c r="D52" s="2" t="str">
        <f>TEXT(Table1[[#This Row],[Order Date]],"mmmm")</f>
        <v>February</v>
      </c>
      <c r="E52" s="2" t="s">
        <v>60</v>
      </c>
      <c r="F52" s="2">
        <v>6</v>
      </c>
      <c r="G52" s="5">
        <v>0.15</v>
      </c>
      <c r="H52" s="2" t="s">
        <v>30</v>
      </c>
      <c r="I52" s="2" t="s">
        <v>46</v>
      </c>
      <c r="J52" s="2" t="s">
        <v>21</v>
      </c>
      <c r="K52">
        <f>VLOOKUP(E52,Products!$A$2:$E$23,5,0)</f>
        <v>449</v>
      </c>
      <c r="L52">
        <f>VLOOKUP(E52,Products!$A$2:$E$23,4,0)</f>
        <v>260</v>
      </c>
      <c r="M52" s="2">
        <f>K52*F52-Table1[[#This Row],[discount_amount]]</f>
        <v>2289.9</v>
      </c>
      <c r="N52">
        <f t="shared" si="1"/>
        <v>1560</v>
      </c>
      <c r="O52">
        <f t="shared" si="0"/>
        <v>729.90000000000009</v>
      </c>
      <c r="P52">
        <f>Table1[[#This Row],[Quantity]]*Table1[[#This Row],[unit_price]]*Table1[[#This Row],[Discount]]</f>
        <v>404.09999999999997</v>
      </c>
      <c r="Q52" t="str">
        <f>VLOOKUP(E52,Products!$A$2:$E$23,2,0)</f>
        <v>Desk Organizer</v>
      </c>
      <c r="R52" t="str">
        <f>VLOOKUP(Table1[[#This Row],[Product ID]],Products!$A$2:$E$23,3,0)</f>
        <v>Office Supplies</v>
      </c>
      <c r="S52" t="str">
        <f>VLOOKUP(C52,Customers!$A$2:$F$201,4,0)</f>
        <v>Maharashtra</v>
      </c>
      <c r="T52" t="str">
        <f>VLOOKUP(Table1[[#This Row],[Customer ID]],Customers!$A$2:$F$201,5,0)</f>
        <v>West</v>
      </c>
      <c r="U52" t="str">
        <f>VLOOKUP(Table1[[#This Row],[Customer ID]],Customers!$A$2:$F$201,6,0)</f>
        <v>Corporate</v>
      </c>
      <c r="V52" t="str">
        <f>TEXT(Table1[[#This Row],[Order Date]],"MMM")</f>
        <v>Feb</v>
      </c>
      <c r="W52" t="str">
        <f>TEXT(Table1[[#This Row],[Order Date]],"yyyy")</f>
        <v>2024</v>
      </c>
    </row>
    <row r="53" spans="1:23" x14ac:dyDescent="0.25">
      <c r="A53" s="2" t="s">
        <v>145</v>
      </c>
      <c r="B53" s="4">
        <v>45332</v>
      </c>
      <c r="C53" s="2" t="s">
        <v>96</v>
      </c>
      <c r="D53" s="2" t="str">
        <f>TEXT(Table1[[#This Row],[Order Date]],"mmmm")</f>
        <v>February</v>
      </c>
      <c r="E53" s="2" t="s">
        <v>60</v>
      </c>
      <c r="F53" s="2">
        <v>10</v>
      </c>
      <c r="G53" s="5">
        <v>0</v>
      </c>
      <c r="H53" s="2" t="s">
        <v>25</v>
      </c>
      <c r="I53" s="2" t="s">
        <v>20</v>
      </c>
      <c r="J53" s="2" t="s">
        <v>21</v>
      </c>
      <c r="K53">
        <f>VLOOKUP(E53,Products!$A$2:$E$23,5,0)</f>
        <v>449</v>
      </c>
      <c r="L53">
        <f>VLOOKUP(E53,Products!$A$2:$E$23,4,0)</f>
        <v>260</v>
      </c>
      <c r="M53" s="2">
        <f>K53*F53-Table1[[#This Row],[discount_amount]]</f>
        <v>4490</v>
      </c>
      <c r="N53">
        <f t="shared" si="1"/>
        <v>2600</v>
      </c>
      <c r="O53">
        <f t="shared" si="0"/>
        <v>1890</v>
      </c>
      <c r="P53">
        <f>Table1[[#This Row],[Quantity]]*Table1[[#This Row],[unit_price]]*Table1[[#This Row],[Discount]]</f>
        <v>0</v>
      </c>
      <c r="Q53" t="str">
        <f>VLOOKUP(E53,Products!$A$2:$E$23,2,0)</f>
        <v>Desk Organizer</v>
      </c>
      <c r="R53" t="str">
        <f>VLOOKUP(Table1[[#This Row],[Product ID]],Products!$A$2:$E$23,3,0)</f>
        <v>Office Supplies</v>
      </c>
      <c r="S53" t="str">
        <f>VLOOKUP(C53,Customers!$A$2:$F$201,4,0)</f>
        <v>Odisha</v>
      </c>
      <c r="T53" t="str">
        <f>VLOOKUP(Table1[[#This Row],[Customer ID]],Customers!$A$2:$F$201,5,0)</f>
        <v>East</v>
      </c>
      <c r="U53" t="str">
        <f>VLOOKUP(Table1[[#This Row],[Customer ID]],Customers!$A$2:$F$201,6,0)</f>
        <v>Consumer</v>
      </c>
      <c r="V53" t="str">
        <f>TEXT(Table1[[#This Row],[Order Date]],"MMM")</f>
        <v>Feb</v>
      </c>
      <c r="W53" t="str">
        <f>TEXT(Table1[[#This Row],[Order Date]],"yyyy")</f>
        <v>2024</v>
      </c>
    </row>
    <row r="54" spans="1:23" x14ac:dyDescent="0.25">
      <c r="A54" s="2" t="s">
        <v>146</v>
      </c>
      <c r="B54" s="4">
        <v>45332</v>
      </c>
      <c r="C54" s="2" t="s">
        <v>70</v>
      </c>
      <c r="D54" s="2" t="str">
        <f>TEXT(Table1[[#This Row],[Order Date]],"mmmm")</f>
        <v>February</v>
      </c>
      <c r="E54" s="2" t="s">
        <v>24</v>
      </c>
      <c r="F54" s="2">
        <v>6</v>
      </c>
      <c r="G54" s="5">
        <v>0.15</v>
      </c>
      <c r="H54" s="2" t="s">
        <v>19</v>
      </c>
      <c r="I54" s="2" t="s">
        <v>26</v>
      </c>
      <c r="J54" s="2" t="s">
        <v>21</v>
      </c>
      <c r="K54">
        <f>VLOOKUP(E54,Products!$A$2:$E$23,5,0)</f>
        <v>899</v>
      </c>
      <c r="L54">
        <f>VLOOKUP(E54,Products!$A$2:$E$23,4,0)</f>
        <v>500</v>
      </c>
      <c r="M54" s="2">
        <f>K54*F54-Table1[[#This Row],[discount_amount]]</f>
        <v>4584.8999999999996</v>
      </c>
      <c r="N54">
        <f t="shared" si="1"/>
        <v>3000</v>
      </c>
      <c r="O54">
        <f t="shared" si="0"/>
        <v>1584.8999999999996</v>
      </c>
      <c r="P54">
        <f>Table1[[#This Row],[Quantity]]*Table1[[#This Row],[unit_price]]*Table1[[#This Row],[Discount]]</f>
        <v>809.1</v>
      </c>
      <c r="Q54" t="str">
        <f>VLOOKUP(E54,Products!$A$2:$E$23,2,0)</f>
        <v>Monitor Stand</v>
      </c>
      <c r="R54" t="str">
        <f>VLOOKUP(Table1[[#This Row],[Product ID]],Products!$A$2:$E$23,3,0)</f>
        <v>Furniture</v>
      </c>
      <c r="S54" t="str">
        <f>VLOOKUP(C54,Customers!$A$2:$F$201,4,0)</f>
        <v>Delhi</v>
      </c>
      <c r="T54" t="str">
        <f>VLOOKUP(Table1[[#This Row],[Customer ID]],Customers!$A$2:$F$201,5,0)</f>
        <v>North</v>
      </c>
      <c r="U54" t="str">
        <f>VLOOKUP(Table1[[#This Row],[Customer ID]],Customers!$A$2:$F$201,6,0)</f>
        <v>Home Office</v>
      </c>
      <c r="V54" t="str">
        <f>TEXT(Table1[[#This Row],[Order Date]],"MMM")</f>
        <v>Feb</v>
      </c>
      <c r="W54" t="str">
        <f>TEXT(Table1[[#This Row],[Order Date]],"yyyy")</f>
        <v>2024</v>
      </c>
    </row>
    <row r="55" spans="1:23" x14ac:dyDescent="0.25">
      <c r="A55" s="2" t="s">
        <v>147</v>
      </c>
      <c r="B55" s="4">
        <v>45332</v>
      </c>
      <c r="C55" s="2" t="s">
        <v>148</v>
      </c>
      <c r="D55" s="2" t="str">
        <f>TEXT(Table1[[#This Row],[Order Date]],"mmmm")</f>
        <v>February</v>
      </c>
      <c r="E55" s="2" t="s">
        <v>37</v>
      </c>
      <c r="F55" s="2">
        <v>2</v>
      </c>
      <c r="G55" s="5">
        <v>0.2</v>
      </c>
      <c r="H55" s="2" t="s">
        <v>19</v>
      </c>
      <c r="I55" s="2" t="s">
        <v>46</v>
      </c>
      <c r="J55" s="2" t="s">
        <v>21</v>
      </c>
      <c r="K55">
        <f>VLOOKUP(E55,Products!$A$2:$E$23,5,0)</f>
        <v>1799</v>
      </c>
      <c r="L55">
        <f>VLOOKUP(E55,Products!$A$2:$E$23,4,0)</f>
        <v>900</v>
      </c>
      <c r="M55" s="2">
        <f>K55*F55-Table1[[#This Row],[discount_amount]]</f>
        <v>2878.4</v>
      </c>
      <c r="N55">
        <f t="shared" si="1"/>
        <v>1800</v>
      </c>
      <c r="O55">
        <f t="shared" si="0"/>
        <v>1078.4000000000001</v>
      </c>
      <c r="P55">
        <f>Table1[[#This Row],[Quantity]]*Table1[[#This Row],[unit_price]]*Table1[[#This Row],[Discount]]</f>
        <v>719.6</v>
      </c>
      <c r="Q55" t="str">
        <f>VLOOKUP(E55,Products!$A$2:$E$23,2,0)</f>
        <v>Denim Jeans</v>
      </c>
      <c r="R55" t="str">
        <f>VLOOKUP(Table1[[#This Row],[Product ID]],Products!$A$2:$E$23,3,0)</f>
        <v>Clothing</v>
      </c>
      <c r="S55" t="str">
        <f>VLOOKUP(C55,Customers!$A$2:$F$201,4,0)</f>
        <v>Uttar Pradesh</v>
      </c>
      <c r="T55" t="str">
        <f>VLOOKUP(Table1[[#This Row],[Customer ID]],Customers!$A$2:$F$201,5,0)</f>
        <v>North</v>
      </c>
      <c r="U55" t="str">
        <f>VLOOKUP(Table1[[#This Row],[Customer ID]],Customers!$A$2:$F$201,6,0)</f>
        <v>Corporate</v>
      </c>
      <c r="V55" t="str">
        <f>TEXT(Table1[[#This Row],[Order Date]],"MMM")</f>
        <v>Feb</v>
      </c>
      <c r="W55" t="str">
        <f>TEXT(Table1[[#This Row],[Order Date]],"yyyy")</f>
        <v>2024</v>
      </c>
    </row>
    <row r="56" spans="1:23" x14ac:dyDescent="0.25">
      <c r="A56" s="2" t="s">
        <v>149</v>
      </c>
      <c r="B56" s="4">
        <v>45333</v>
      </c>
      <c r="C56" s="2" t="s">
        <v>150</v>
      </c>
      <c r="D56" s="2" t="str">
        <f>TEXT(Table1[[#This Row],[Order Date]],"mmmm")</f>
        <v>February</v>
      </c>
      <c r="E56" s="2" t="s">
        <v>34</v>
      </c>
      <c r="F56" s="2">
        <v>3</v>
      </c>
      <c r="G56" s="5">
        <v>0.1</v>
      </c>
      <c r="H56" s="2" t="s">
        <v>19</v>
      </c>
      <c r="I56" s="2" t="s">
        <v>26</v>
      </c>
      <c r="J56" s="2" t="s">
        <v>21</v>
      </c>
      <c r="K56">
        <f>VLOOKUP(E56,Products!$A$2:$E$23,5,0)</f>
        <v>4599</v>
      </c>
      <c r="L56">
        <f>VLOOKUP(E56,Products!$A$2:$E$23,4,0)</f>
        <v>3000</v>
      </c>
      <c r="M56" s="2">
        <f>K56*F56-Table1[[#This Row],[discount_amount]]</f>
        <v>12417.3</v>
      </c>
      <c r="N56">
        <f t="shared" si="1"/>
        <v>9000</v>
      </c>
      <c r="O56">
        <f t="shared" si="0"/>
        <v>3417.2999999999993</v>
      </c>
      <c r="P56">
        <f>Table1[[#This Row],[Quantity]]*Table1[[#This Row],[unit_price]]*Table1[[#This Row],[Discount]]</f>
        <v>1379.7</v>
      </c>
      <c r="Q56" t="str">
        <f>VLOOKUP(E56,Products!$A$2:$E$23,2,0)</f>
        <v>Filing Cabinet</v>
      </c>
      <c r="R56" t="str">
        <f>VLOOKUP(Table1[[#This Row],[Product ID]],Products!$A$2:$E$23,3,0)</f>
        <v>Furniture</v>
      </c>
      <c r="S56" t="str">
        <f>VLOOKUP(C56,Customers!$A$2:$F$201,4,0)</f>
        <v>Delhi</v>
      </c>
      <c r="T56" t="str">
        <f>VLOOKUP(Table1[[#This Row],[Customer ID]],Customers!$A$2:$F$201,5,0)</f>
        <v>North</v>
      </c>
      <c r="U56" t="str">
        <f>VLOOKUP(Table1[[#This Row],[Customer ID]],Customers!$A$2:$F$201,6,0)</f>
        <v>Corporate</v>
      </c>
      <c r="V56" t="str">
        <f>TEXT(Table1[[#This Row],[Order Date]],"MMM")</f>
        <v>Feb</v>
      </c>
      <c r="W56" t="str">
        <f>TEXT(Table1[[#This Row],[Order Date]],"yyyy")</f>
        <v>2024</v>
      </c>
    </row>
    <row r="57" spans="1:23" x14ac:dyDescent="0.25">
      <c r="A57" s="2" t="s">
        <v>151</v>
      </c>
      <c r="B57" s="4">
        <v>45334</v>
      </c>
      <c r="C57" s="2" t="s">
        <v>152</v>
      </c>
      <c r="D57" s="2" t="str">
        <f>TEXT(Table1[[#This Row],[Order Date]],"mmmm")</f>
        <v>February</v>
      </c>
      <c r="E57" s="2" t="s">
        <v>111</v>
      </c>
      <c r="F57" s="2">
        <v>10</v>
      </c>
      <c r="G57" s="5">
        <v>0.15</v>
      </c>
      <c r="H57" s="2" t="s">
        <v>19</v>
      </c>
      <c r="I57" s="2" t="s">
        <v>26</v>
      </c>
      <c r="J57" s="2" t="s">
        <v>21</v>
      </c>
      <c r="K57">
        <f>VLOOKUP(E57,Products!$A$2:$E$23,5,0)</f>
        <v>240</v>
      </c>
      <c r="L57">
        <f>VLOOKUP(E57,Products!$A$2:$E$23,4,0)</f>
        <v>140</v>
      </c>
      <c r="M57" s="2">
        <f>K57*F57-Table1[[#This Row],[discount_amount]]</f>
        <v>2040</v>
      </c>
      <c r="N57">
        <f t="shared" si="1"/>
        <v>1400</v>
      </c>
      <c r="O57">
        <f t="shared" si="0"/>
        <v>640</v>
      </c>
      <c r="P57">
        <f>Table1[[#This Row],[Quantity]]*Table1[[#This Row],[unit_price]]*Table1[[#This Row],[Discount]]</f>
        <v>360</v>
      </c>
      <c r="Q57" t="str">
        <f>VLOOKUP(E57,Products!$A$2:$E$23,2,0)</f>
        <v>Whiteboard Marker Set</v>
      </c>
      <c r="R57" t="str">
        <f>VLOOKUP(Table1[[#This Row],[Product ID]],Products!$A$2:$E$23,3,0)</f>
        <v>Office Supplies</v>
      </c>
      <c r="S57" t="str">
        <f>VLOOKUP(C57,Customers!$A$2:$F$201,4,0)</f>
        <v>Gujarat</v>
      </c>
      <c r="T57" t="str">
        <f>VLOOKUP(Table1[[#This Row],[Customer ID]],Customers!$A$2:$F$201,5,0)</f>
        <v>West</v>
      </c>
      <c r="U57" t="str">
        <f>VLOOKUP(Table1[[#This Row],[Customer ID]],Customers!$A$2:$F$201,6,0)</f>
        <v>Consumer</v>
      </c>
      <c r="V57" t="str">
        <f>TEXT(Table1[[#This Row],[Order Date]],"MMM")</f>
        <v>Feb</v>
      </c>
      <c r="W57" t="str">
        <f>TEXT(Table1[[#This Row],[Order Date]],"yyyy")</f>
        <v>2024</v>
      </c>
    </row>
    <row r="58" spans="1:23" x14ac:dyDescent="0.25">
      <c r="A58" s="2" t="s">
        <v>153</v>
      </c>
      <c r="B58" s="4">
        <v>45334</v>
      </c>
      <c r="C58" s="2" t="s">
        <v>154</v>
      </c>
      <c r="D58" s="2" t="str">
        <f>TEXT(Table1[[#This Row],[Order Date]],"mmmm")</f>
        <v>February</v>
      </c>
      <c r="E58" s="2" t="s">
        <v>155</v>
      </c>
      <c r="F58" s="2">
        <v>10</v>
      </c>
      <c r="G58" s="5">
        <v>0</v>
      </c>
      <c r="H58" s="2" t="s">
        <v>19</v>
      </c>
      <c r="I58" s="2" t="s">
        <v>46</v>
      </c>
      <c r="J58" s="2" t="s">
        <v>42</v>
      </c>
      <c r="K58">
        <f>VLOOKUP(E58,Products!$A$2:$E$23,5,0)</f>
        <v>1599</v>
      </c>
      <c r="L58">
        <f>VLOOKUP(E58,Products!$A$2:$E$23,4,0)</f>
        <v>900</v>
      </c>
      <c r="M58" s="2">
        <f>K58*F58-Table1[[#This Row],[discount_amount]]</f>
        <v>15990</v>
      </c>
      <c r="N58">
        <f t="shared" si="1"/>
        <v>9000</v>
      </c>
      <c r="O58">
        <f t="shared" si="0"/>
        <v>6990</v>
      </c>
      <c r="P58">
        <f>Table1[[#This Row],[Quantity]]*Table1[[#This Row],[unit_price]]*Table1[[#This Row],[Discount]]</f>
        <v>0</v>
      </c>
      <c r="Q58" t="str">
        <f>VLOOKUP(E58,Products!$A$2:$E$23,2,0)</f>
        <v>Headphones</v>
      </c>
      <c r="R58" t="str">
        <f>VLOOKUP(Table1[[#This Row],[Product ID]],Products!$A$2:$E$23,3,0)</f>
        <v>Electronics</v>
      </c>
      <c r="S58" t="str">
        <f>VLOOKUP(C58,Customers!$A$2:$F$201,4,0)</f>
        <v>Telangana</v>
      </c>
      <c r="T58" t="str">
        <f>VLOOKUP(Table1[[#This Row],[Customer ID]],Customers!$A$2:$F$201,5,0)</f>
        <v>South</v>
      </c>
      <c r="U58" t="str">
        <f>VLOOKUP(Table1[[#This Row],[Customer ID]],Customers!$A$2:$F$201,6,0)</f>
        <v>Consumer</v>
      </c>
      <c r="V58" t="str">
        <f>TEXT(Table1[[#This Row],[Order Date]],"MMM")</f>
        <v>Feb</v>
      </c>
      <c r="W58" t="str">
        <f>TEXT(Table1[[#This Row],[Order Date]],"yyyy")</f>
        <v>2024</v>
      </c>
    </row>
    <row r="59" spans="1:23" x14ac:dyDescent="0.25">
      <c r="A59" s="2" t="s">
        <v>156</v>
      </c>
      <c r="B59" s="4">
        <v>45335</v>
      </c>
      <c r="C59" s="2" t="s">
        <v>93</v>
      </c>
      <c r="D59" s="2" t="str">
        <f>TEXT(Table1[[#This Row],[Order Date]],"mmmm")</f>
        <v>February</v>
      </c>
      <c r="E59" s="2" t="s">
        <v>34</v>
      </c>
      <c r="F59" s="2">
        <v>3</v>
      </c>
      <c r="G59" s="5">
        <v>0.2</v>
      </c>
      <c r="H59" s="2" t="s">
        <v>19</v>
      </c>
      <c r="I59" s="2" t="s">
        <v>26</v>
      </c>
      <c r="J59" s="2" t="s">
        <v>21</v>
      </c>
      <c r="K59">
        <f>VLOOKUP(E59,Products!$A$2:$E$23,5,0)</f>
        <v>4599</v>
      </c>
      <c r="L59">
        <f>VLOOKUP(E59,Products!$A$2:$E$23,4,0)</f>
        <v>3000</v>
      </c>
      <c r="M59" s="2">
        <f>K59*F59-Table1[[#This Row],[discount_amount]]</f>
        <v>11037.6</v>
      </c>
      <c r="N59">
        <f t="shared" si="1"/>
        <v>9000</v>
      </c>
      <c r="O59">
        <f t="shared" si="0"/>
        <v>2037.6000000000004</v>
      </c>
      <c r="P59">
        <f>Table1[[#This Row],[Quantity]]*Table1[[#This Row],[unit_price]]*Table1[[#This Row],[Discount]]</f>
        <v>2759.4</v>
      </c>
      <c r="Q59" t="str">
        <f>VLOOKUP(E59,Products!$A$2:$E$23,2,0)</f>
        <v>Filing Cabinet</v>
      </c>
      <c r="R59" t="str">
        <f>VLOOKUP(Table1[[#This Row],[Product ID]],Products!$A$2:$E$23,3,0)</f>
        <v>Furniture</v>
      </c>
      <c r="S59" t="str">
        <f>VLOOKUP(C59,Customers!$A$2:$F$201,4,0)</f>
        <v>Gujarat</v>
      </c>
      <c r="T59" t="str">
        <f>VLOOKUP(Table1[[#This Row],[Customer ID]],Customers!$A$2:$F$201,5,0)</f>
        <v>West</v>
      </c>
      <c r="U59" t="str">
        <f>VLOOKUP(Table1[[#This Row],[Customer ID]],Customers!$A$2:$F$201,6,0)</f>
        <v>Consumer</v>
      </c>
      <c r="V59" t="str">
        <f>TEXT(Table1[[#This Row],[Order Date]],"MMM")</f>
        <v>Feb</v>
      </c>
      <c r="W59" t="str">
        <f>TEXT(Table1[[#This Row],[Order Date]],"yyyy")</f>
        <v>2024</v>
      </c>
    </row>
    <row r="60" spans="1:23" x14ac:dyDescent="0.25">
      <c r="A60" s="2" t="s">
        <v>157</v>
      </c>
      <c r="B60" s="4">
        <v>45336</v>
      </c>
      <c r="C60" s="2" t="s">
        <v>158</v>
      </c>
      <c r="D60" s="2" t="str">
        <f>TEXT(Table1[[#This Row],[Order Date]],"mmmm")</f>
        <v>February</v>
      </c>
      <c r="E60" s="2" t="s">
        <v>111</v>
      </c>
      <c r="F60" s="2">
        <v>2</v>
      </c>
      <c r="G60" s="5">
        <v>0.1</v>
      </c>
      <c r="H60" s="2" t="s">
        <v>25</v>
      </c>
      <c r="I60" s="2" t="s">
        <v>26</v>
      </c>
      <c r="J60" s="2" t="s">
        <v>21</v>
      </c>
      <c r="K60">
        <f>VLOOKUP(E60,Products!$A$2:$E$23,5,0)</f>
        <v>240</v>
      </c>
      <c r="L60">
        <f>VLOOKUP(E60,Products!$A$2:$E$23,4,0)</f>
        <v>140</v>
      </c>
      <c r="M60" s="2">
        <f>K60*F60-Table1[[#This Row],[discount_amount]]</f>
        <v>432</v>
      </c>
      <c r="N60">
        <f t="shared" si="1"/>
        <v>280</v>
      </c>
      <c r="O60">
        <f t="shared" si="0"/>
        <v>152</v>
      </c>
      <c r="P60">
        <f>Table1[[#This Row],[Quantity]]*Table1[[#This Row],[unit_price]]*Table1[[#This Row],[Discount]]</f>
        <v>48</v>
      </c>
      <c r="Q60" t="str">
        <f>VLOOKUP(E60,Products!$A$2:$E$23,2,0)</f>
        <v>Whiteboard Marker Set</v>
      </c>
      <c r="R60" t="str">
        <f>VLOOKUP(Table1[[#This Row],[Product ID]],Products!$A$2:$E$23,3,0)</f>
        <v>Office Supplies</v>
      </c>
      <c r="S60" t="str">
        <f>VLOOKUP(C60,Customers!$A$2:$F$201,4,0)</f>
        <v>Kerala</v>
      </c>
      <c r="T60" t="str">
        <f>VLOOKUP(Table1[[#This Row],[Customer ID]],Customers!$A$2:$F$201,5,0)</f>
        <v>South</v>
      </c>
      <c r="U60" t="str">
        <f>VLOOKUP(Table1[[#This Row],[Customer ID]],Customers!$A$2:$F$201,6,0)</f>
        <v>Consumer</v>
      </c>
      <c r="V60" t="str">
        <f>TEXT(Table1[[#This Row],[Order Date]],"MMM")</f>
        <v>Feb</v>
      </c>
      <c r="W60" t="str">
        <f>TEXT(Table1[[#This Row],[Order Date]],"yyyy")</f>
        <v>2024</v>
      </c>
    </row>
    <row r="61" spans="1:23" x14ac:dyDescent="0.25">
      <c r="A61" s="2" t="s">
        <v>159</v>
      </c>
      <c r="B61" s="4">
        <v>45336</v>
      </c>
      <c r="C61" s="2" t="s">
        <v>160</v>
      </c>
      <c r="D61" s="2" t="str">
        <f>TEXT(Table1[[#This Row],[Order Date]],"mmmm")</f>
        <v>February</v>
      </c>
      <c r="E61" s="2" t="s">
        <v>66</v>
      </c>
      <c r="F61" s="2">
        <v>2</v>
      </c>
      <c r="G61" s="5">
        <v>0</v>
      </c>
      <c r="H61" s="2" t="s">
        <v>25</v>
      </c>
      <c r="I61" s="2" t="s">
        <v>46</v>
      </c>
      <c r="J61" s="2" t="s">
        <v>21</v>
      </c>
      <c r="K61">
        <f>VLOOKUP(E61,Products!$A$2:$E$23,5,0)</f>
        <v>1299</v>
      </c>
      <c r="L61">
        <f>VLOOKUP(E61,Products!$A$2:$E$23,4,0)</f>
        <v>800</v>
      </c>
      <c r="M61" s="2">
        <f>K61*F61-Table1[[#This Row],[discount_amount]]</f>
        <v>2598</v>
      </c>
      <c r="N61">
        <f t="shared" si="1"/>
        <v>1600</v>
      </c>
      <c r="O61">
        <f t="shared" si="0"/>
        <v>998</v>
      </c>
      <c r="P61">
        <f>Table1[[#This Row],[Quantity]]*Table1[[#This Row],[unit_price]]*Table1[[#This Row],[Discount]]</f>
        <v>0</v>
      </c>
      <c r="Q61" t="str">
        <f>VLOOKUP(E61,Products!$A$2:$E$23,2,0)</f>
        <v>Power Bank 10000mAh</v>
      </c>
      <c r="R61" t="str">
        <f>VLOOKUP(Table1[[#This Row],[Product ID]],Products!$A$2:$E$23,3,0)</f>
        <v>Electronics</v>
      </c>
      <c r="S61" t="str">
        <f>VLOOKUP(C61,Customers!$A$2:$F$201,4,0)</f>
        <v>Gujarat</v>
      </c>
      <c r="T61" t="str">
        <f>VLOOKUP(Table1[[#This Row],[Customer ID]],Customers!$A$2:$F$201,5,0)</f>
        <v>West</v>
      </c>
      <c r="U61" t="str">
        <f>VLOOKUP(Table1[[#This Row],[Customer ID]],Customers!$A$2:$F$201,6,0)</f>
        <v>Consumer</v>
      </c>
      <c r="V61" t="str">
        <f>TEXT(Table1[[#This Row],[Order Date]],"MMM")</f>
        <v>Feb</v>
      </c>
      <c r="W61" t="str">
        <f>TEXT(Table1[[#This Row],[Order Date]],"yyyy")</f>
        <v>2024</v>
      </c>
    </row>
    <row r="62" spans="1:23" x14ac:dyDescent="0.25">
      <c r="A62" s="2" t="s">
        <v>161</v>
      </c>
      <c r="B62" s="4">
        <v>45336</v>
      </c>
      <c r="C62" s="2" t="s">
        <v>162</v>
      </c>
      <c r="D62" s="2" t="str">
        <f>TEXT(Table1[[#This Row],[Order Date]],"mmmm")</f>
        <v>February</v>
      </c>
      <c r="E62" s="2" t="s">
        <v>57</v>
      </c>
      <c r="F62" s="2">
        <v>1</v>
      </c>
      <c r="G62" s="5">
        <v>0</v>
      </c>
      <c r="H62" s="2" t="s">
        <v>19</v>
      </c>
      <c r="I62" s="2" t="s">
        <v>38</v>
      </c>
      <c r="J62" s="2" t="s">
        <v>21</v>
      </c>
      <c r="K62">
        <f>VLOOKUP(E62,Products!$A$2:$E$23,5,0)</f>
        <v>1599</v>
      </c>
      <c r="L62">
        <f>VLOOKUP(E62,Products!$A$2:$E$23,4,0)</f>
        <v>800</v>
      </c>
      <c r="M62" s="2">
        <f>K62*F62-Table1[[#This Row],[discount_amount]]</f>
        <v>1599</v>
      </c>
      <c r="N62">
        <f t="shared" si="1"/>
        <v>800</v>
      </c>
      <c r="O62">
        <f t="shared" si="0"/>
        <v>799</v>
      </c>
      <c r="P62">
        <f>Table1[[#This Row],[Quantity]]*Table1[[#This Row],[unit_price]]*Table1[[#This Row],[Discount]]</f>
        <v>0</v>
      </c>
      <c r="Q62" t="str">
        <f>VLOOKUP(E62,Products!$A$2:$E$23,2,0)</f>
        <v>Hoodie</v>
      </c>
      <c r="R62" t="str">
        <f>VLOOKUP(Table1[[#This Row],[Product ID]],Products!$A$2:$E$23,3,0)</f>
        <v>Clothing</v>
      </c>
      <c r="S62" t="str">
        <f>VLOOKUP(C62,Customers!$A$2:$F$201,4,0)</f>
        <v>Gujarat</v>
      </c>
      <c r="T62" t="str">
        <f>VLOOKUP(Table1[[#This Row],[Customer ID]],Customers!$A$2:$F$201,5,0)</f>
        <v>West</v>
      </c>
      <c r="U62" t="str">
        <f>VLOOKUP(Table1[[#This Row],[Customer ID]],Customers!$A$2:$F$201,6,0)</f>
        <v>Home Office</v>
      </c>
      <c r="V62" t="str">
        <f>TEXT(Table1[[#This Row],[Order Date]],"MMM")</f>
        <v>Feb</v>
      </c>
      <c r="W62" t="str">
        <f>TEXT(Table1[[#This Row],[Order Date]],"yyyy")</f>
        <v>2024</v>
      </c>
    </row>
    <row r="63" spans="1:23" x14ac:dyDescent="0.25">
      <c r="A63" s="2" t="s">
        <v>163</v>
      </c>
      <c r="B63" s="4">
        <v>45336</v>
      </c>
      <c r="C63" s="2" t="s">
        <v>150</v>
      </c>
      <c r="D63" s="2" t="str">
        <f>TEXT(Table1[[#This Row],[Order Date]],"mmmm")</f>
        <v>February</v>
      </c>
      <c r="E63" s="2" t="s">
        <v>45</v>
      </c>
      <c r="F63" s="2">
        <v>2</v>
      </c>
      <c r="G63" s="5">
        <v>0</v>
      </c>
      <c r="H63" s="2" t="s">
        <v>30</v>
      </c>
      <c r="I63" s="2" t="s">
        <v>20</v>
      </c>
      <c r="J63" s="2" t="s">
        <v>21</v>
      </c>
      <c r="K63">
        <f>VLOOKUP(E63,Products!$A$2:$E$23,5,0)</f>
        <v>899</v>
      </c>
      <c r="L63">
        <f>VLOOKUP(E63,Products!$A$2:$E$23,4,0)</f>
        <v>450</v>
      </c>
      <c r="M63" s="2">
        <f>K63*F63-Table1[[#This Row],[discount_amount]]</f>
        <v>1798</v>
      </c>
      <c r="N63">
        <f t="shared" si="1"/>
        <v>900</v>
      </c>
      <c r="O63">
        <f t="shared" si="0"/>
        <v>898</v>
      </c>
      <c r="P63">
        <f>Table1[[#This Row],[Quantity]]*Table1[[#This Row],[unit_price]]*Table1[[#This Row],[Discount]]</f>
        <v>0</v>
      </c>
      <c r="Q63" t="str">
        <f>VLOOKUP(E63,Products!$A$2:$E$23,2,0)</f>
        <v>Track Pants</v>
      </c>
      <c r="R63" t="str">
        <f>VLOOKUP(Table1[[#This Row],[Product ID]],Products!$A$2:$E$23,3,0)</f>
        <v>Clothing</v>
      </c>
      <c r="S63" t="str">
        <f>VLOOKUP(C63,Customers!$A$2:$F$201,4,0)</f>
        <v>Delhi</v>
      </c>
      <c r="T63" t="str">
        <f>VLOOKUP(Table1[[#This Row],[Customer ID]],Customers!$A$2:$F$201,5,0)</f>
        <v>North</v>
      </c>
      <c r="U63" t="str">
        <f>VLOOKUP(Table1[[#This Row],[Customer ID]],Customers!$A$2:$F$201,6,0)</f>
        <v>Corporate</v>
      </c>
      <c r="V63" t="str">
        <f>TEXT(Table1[[#This Row],[Order Date]],"MMM")</f>
        <v>Feb</v>
      </c>
      <c r="W63" t="str">
        <f>TEXT(Table1[[#This Row],[Order Date]],"yyyy")</f>
        <v>2024</v>
      </c>
    </row>
    <row r="64" spans="1:23" x14ac:dyDescent="0.25">
      <c r="A64" s="2" t="s">
        <v>164</v>
      </c>
      <c r="B64" s="4">
        <v>45336</v>
      </c>
      <c r="C64" s="2" t="s">
        <v>137</v>
      </c>
      <c r="D64" s="2" t="str">
        <f>TEXT(Table1[[#This Row],[Order Date]],"mmmm")</f>
        <v>February</v>
      </c>
      <c r="E64" s="2" t="s">
        <v>57</v>
      </c>
      <c r="F64" s="2">
        <v>6</v>
      </c>
      <c r="G64" s="5">
        <v>0.1</v>
      </c>
      <c r="H64" s="2" t="s">
        <v>19</v>
      </c>
      <c r="I64" s="2" t="s">
        <v>26</v>
      </c>
      <c r="J64" s="2" t="s">
        <v>21</v>
      </c>
      <c r="K64">
        <f>VLOOKUP(E64,Products!$A$2:$E$23,5,0)</f>
        <v>1599</v>
      </c>
      <c r="L64">
        <f>VLOOKUP(E64,Products!$A$2:$E$23,4,0)</f>
        <v>800</v>
      </c>
      <c r="M64" s="2">
        <f>K64*F64-Table1[[#This Row],[discount_amount]]</f>
        <v>8634.6</v>
      </c>
      <c r="N64">
        <f t="shared" si="1"/>
        <v>4800</v>
      </c>
      <c r="O64">
        <f t="shared" si="0"/>
        <v>3834.6000000000004</v>
      </c>
      <c r="P64">
        <f>Table1[[#This Row],[Quantity]]*Table1[[#This Row],[unit_price]]*Table1[[#This Row],[Discount]]</f>
        <v>959.40000000000009</v>
      </c>
      <c r="Q64" t="str">
        <f>VLOOKUP(E64,Products!$A$2:$E$23,2,0)</f>
        <v>Hoodie</v>
      </c>
      <c r="R64" t="str">
        <f>VLOOKUP(Table1[[#This Row],[Product ID]],Products!$A$2:$E$23,3,0)</f>
        <v>Clothing</v>
      </c>
      <c r="S64" t="str">
        <f>VLOOKUP(C64,Customers!$A$2:$F$201,4,0)</f>
        <v>Telangana</v>
      </c>
      <c r="T64" t="str">
        <f>VLOOKUP(Table1[[#This Row],[Customer ID]],Customers!$A$2:$F$201,5,0)</f>
        <v>South</v>
      </c>
      <c r="U64" t="str">
        <f>VLOOKUP(Table1[[#This Row],[Customer ID]],Customers!$A$2:$F$201,6,0)</f>
        <v>Corporate</v>
      </c>
      <c r="V64" t="str">
        <f>TEXT(Table1[[#This Row],[Order Date]],"MMM")</f>
        <v>Feb</v>
      </c>
      <c r="W64" t="str">
        <f>TEXT(Table1[[#This Row],[Order Date]],"yyyy")</f>
        <v>2024</v>
      </c>
    </row>
    <row r="65" spans="1:23" x14ac:dyDescent="0.25">
      <c r="A65" s="2" t="s">
        <v>165</v>
      </c>
      <c r="B65" s="4">
        <v>45337</v>
      </c>
      <c r="C65" s="2" t="s">
        <v>166</v>
      </c>
      <c r="D65" s="2" t="str">
        <f>TEXT(Table1[[#This Row],[Order Date]],"mmmm")</f>
        <v>February</v>
      </c>
      <c r="E65" s="2" t="s">
        <v>34</v>
      </c>
      <c r="F65" s="2">
        <v>1</v>
      </c>
      <c r="G65" s="5">
        <v>0.15</v>
      </c>
      <c r="H65" s="2" t="s">
        <v>25</v>
      </c>
      <c r="I65" s="2" t="s">
        <v>46</v>
      </c>
      <c r="J65" s="2" t="s">
        <v>21</v>
      </c>
      <c r="K65">
        <f>VLOOKUP(E65,Products!$A$2:$E$23,5,0)</f>
        <v>4599</v>
      </c>
      <c r="L65">
        <f>VLOOKUP(E65,Products!$A$2:$E$23,4,0)</f>
        <v>3000</v>
      </c>
      <c r="M65" s="2">
        <f>K65*F65-Table1[[#This Row],[discount_amount]]</f>
        <v>3909.15</v>
      </c>
      <c r="N65">
        <f t="shared" si="1"/>
        <v>3000</v>
      </c>
      <c r="O65">
        <f t="shared" si="0"/>
        <v>909.15000000000009</v>
      </c>
      <c r="P65">
        <f>Table1[[#This Row],[Quantity]]*Table1[[#This Row],[unit_price]]*Table1[[#This Row],[Discount]]</f>
        <v>689.85</v>
      </c>
      <c r="Q65" t="str">
        <f>VLOOKUP(E65,Products!$A$2:$E$23,2,0)</f>
        <v>Filing Cabinet</v>
      </c>
      <c r="R65" t="str">
        <f>VLOOKUP(Table1[[#This Row],[Product ID]],Products!$A$2:$E$23,3,0)</f>
        <v>Furniture</v>
      </c>
      <c r="S65" t="str">
        <f>VLOOKUP(C65,Customers!$A$2:$F$201,4,0)</f>
        <v>Gujarat</v>
      </c>
      <c r="T65" t="str">
        <f>VLOOKUP(Table1[[#This Row],[Customer ID]],Customers!$A$2:$F$201,5,0)</f>
        <v>West</v>
      </c>
      <c r="U65" t="str">
        <f>VLOOKUP(Table1[[#This Row],[Customer ID]],Customers!$A$2:$F$201,6,0)</f>
        <v>Consumer</v>
      </c>
      <c r="V65" t="str">
        <f>TEXT(Table1[[#This Row],[Order Date]],"MMM")</f>
        <v>Feb</v>
      </c>
      <c r="W65" t="str">
        <f>TEXT(Table1[[#This Row],[Order Date]],"yyyy")</f>
        <v>2024</v>
      </c>
    </row>
    <row r="66" spans="1:23" x14ac:dyDescent="0.25">
      <c r="A66" s="2" t="s">
        <v>167</v>
      </c>
      <c r="B66" s="4">
        <v>45338</v>
      </c>
      <c r="C66" s="2" t="s">
        <v>168</v>
      </c>
      <c r="D66" s="2" t="str">
        <f>TEXT(Table1[[#This Row],[Order Date]],"mmmm")</f>
        <v>February</v>
      </c>
      <c r="E66" s="2" t="s">
        <v>121</v>
      </c>
      <c r="F66" s="2">
        <v>1</v>
      </c>
      <c r="G66" s="5">
        <v>0.15</v>
      </c>
      <c r="H66" s="2" t="s">
        <v>30</v>
      </c>
      <c r="I66" s="2" t="s">
        <v>38</v>
      </c>
      <c r="J66" s="2" t="s">
        <v>21</v>
      </c>
      <c r="K66">
        <f>VLOOKUP(E66,Products!$A$2:$E$23,5,0)</f>
        <v>499</v>
      </c>
      <c r="L66">
        <f>VLOOKUP(E66,Products!$A$2:$E$23,4,0)</f>
        <v>250</v>
      </c>
      <c r="M66" s="2">
        <f>K66*F66-Table1[[#This Row],[discount_amount]]</f>
        <v>424.15</v>
      </c>
      <c r="N66">
        <f t="shared" si="1"/>
        <v>250</v>
      </c>
      <c r="O66">
        <f t="shared" ref="O66:O129" si="2">M66-N66</f>
        <v>174.14999999999998</v>
      </c>
      <c r="P66">
        <f>Table1[[#This Row],[Quantity]]*Table1[[#This Row],[unit_price]]*Table1[[#This Row],[Discount]]</f>
        <v>74.849999999999994</v>
      </c>
      <c r="Q66" t="str">
        <f>VLOOKUP(E66,Products!$A$2:$E$23,2,0)</f>
        <v>Cotton T-Shirt</v>
      </c>
      <c r="R66" t="str">
        <f>VLOOKUP(Table1[[#This Row],[Product ID]],Products!$A$2:$E$23,3,0)</f>
        <v>Clothing</v>
      </c>
      <c r="S66" t="str">
        <f>VLOOKUP(C66,Customers!$A$2:$F$201,4,0)</f>
        <v>Delhi</v>
      </c>
      <c r="T66" t="str">
        <f>VLOOKUP(Table1[[#This Row],[Customer ID]],Customers!$A$2:$F$201,5,0)</f>
        <v>North</v>
      </c>
      <c r="U66" t="str">
        <f>VLOOKUP(Table1[[#This Row],[Customer ID]],Customers!$A$2:$F$201,6,0)</f>
        <v>Corporate</v>
      </c>
      <c r="V66" t="str">
        <f>TEXT(Table1[[#This Row],[Order Date]],"MMM")</f>
        <v>Feb</v>
      </c>
      <c r="W66" t="str">
        <f>TEXT(Table1[[#This Row],[Order Date]],"yyyy")</f>
        <v>2024</v>
      </c>
    </row>
    <row r="67" spans="1:23" x14ac:dyDescent="0.25">
      <c r="A67" s="2" t="s">
        <v>169</v>
      </c>
      <c r="B67" s="4">
        <v>45338</v>
      </c>
      <c r="C67" s="2" t="s">
        <v>72</v>
      </c>
      <c r="D67" s="2" t="str">
        <f>TEXT(Table1[[#This Row],[Order Date]],"mmmm")</f>
        <v>February</v>
      </c>
      <c r="E67" s="2" t="s">
        <v>118</v>
      </c>
      <c r="F67" s="2">
        <v>2</v>
      </c>
      <c r="G67" s="5">
        <v>0.15</v>
      </c>
      <c r="H67" s="2" t="s">
        <v>19</v>
      </c>
      <c r="I67" s="2" t="s">
        <v>38</v>
      </c>
      <c r="J67" s="2" t="s">
        <v>94</v>
      </c>
      <c r="K67">
        <f>VLOOKUP(E67,Products!$A$2:$E$23,5,0)</f>
        <v>150</v>
      </c>
      <c r="L67">
        <f>VLOOKUP(E67,Products!$A$2:$E$23,4,0)</f>
        <v>90</v>
      </c>
      <c r="M67" s="2">
        <f>K67*F67-Table1[[#This Row],[discount_amount]]</f>
        <v>255</v>
      </c>
      <c r="N67">
        <f t="shared" ref="N67:N130" si="3">F67*L67</f>
        <v>180</v>
      </c>
      <c r="O67">
        <f t="shared" si="2"/>
        <v>75</v>
      </c>
      <c r="P67">
        <f>Table1[[#This Row],[Quantity]]*Table1[[#This Row],[unit_price]]*Table1[[#This Row],[Discount]]</f>
        <v>45</v>
      </c>
      <c r="Q67" t="str">
        <f>VLOOKUP(E67,Products!$A$2:$E$23,2,0)</f>
        <v>Gel Pen Box</v>
      </c>
      <c r="R67" t="str">
        <f>VLOOKUP(Table1[[#This Row],[Product ID]],Products!$A$2:$E$23,3,0)</f>
        <v>Office Supplies</v>
      </c>
      <c r="S67" t="str">
        <f>VLOOKUP(C67,Customers!$A$2:$F$201,4,0)</f>
        <v>Maharashtra</v>
      </c>
      <c r="T67" t="str">
        <f>VLOOKUP(Table1[[#This Row],[Customer ID]],Customers!$A$2:$F$201,5,0)</f>
        <v>West</v>
      </c>
      <c r="U67" t="str">
        <f>VLOOKUP(Table1[[#This Row],[Customer ID]],Customers!$A$2:$F$201,6,0)</f>
        <v>Consumer</v>
      </c>
      <c r="V67" t="str">
        <f>TEXT(Table1[[#This Row],[Order Date]],"MMM")</f>
        <v>Feb</v>
      </c>
      <c r="W67" t="str">
        <f>TEXT(Table1[[#This Row],[Order Date]],"yyyy")</f>
        <v>2024</v>
      </c>
    </row>
    <row r="68" spans="1:23" x14ac:dyDescent="0.25">
      <c r="A68" s="2" t="s">
        <v>170</v>
      </c>
      <c r="B68" s="4">
        <v>45338</v>
      </c>
      <c r="C68" s="2" t="s">
        <v>171</v>
      </c>
      <c r="D68" s="2" t="str">
        <f>TEXT(Table1[[#This Row],[Order Date]],"mmmm")</f>
        <v>February</v>
      </c>
      <c r="E68" s="2" t="s">
        <v>49</v>
      </c>
      <c r="F68" s="2">
        <v>1</v>
      </c>
      <c r="G68" s="5">
        <v>0.15</v>
      </c>
      <c r="H68" s="2" t="s">
        <v>19</v>
      </c>
      <c r="I68" s="2" t="s">
        <v>31</v>
      </c>
      <c r="J68" s="2" t="s">
        <v>21</v>
      </c>
      <c r="K68">
        <f>VLOOKUP(E68,Products!$A$2:$E$23,5,0)</f>
        <v>700</v>
      </c>
      <c r="L68">
        <f>VLOOKUP(E68,Products!$A$2:$E$23,4,0)</f>
        <v>450</v>
      </c>
      <c r="M68" s="2">
        <f>K68*F68-Table1[[#This Row],[discount_amount]]</f>
        <v>595</v>
      </c>
      <c r="N68">
        <f t="shared" si="3"/>
        <v>450</v>
      </c>
      <c r="O68">
        <f t="shared" si="2"/>
        <v>145</v>
      </c>
      <c r="P68">
        <f>Table1[[#This Row],[Quantity]]*Table1[[#This Row],[unit_price]]*Table1[[#This Row],[Discount]]</f>
        <v>105</v>
      </c>
      <c r="Q68" t="str">
        <f>VLOOKUP(E68,Products!$A$2:$E$23,2,0)</f>
        <v>Wireless Mouse</v>
      </c>
      <c r="R68" t="str">
        <f>VLOOKUP(Table1[[#This Row],[Product ID]],Products!$A$2:$E$23,3,0)</f>
        <v>Electronics</v>
      </c>
      <c r="S68" t="str">
        <f>VLOOKUP(C68,Customers!$A$2:$F$201,4,0)</f>
        <v>Delhi</v>
      </c>
      <c r="T68" t="str">
        <f>VLOOKUP(Table1[[#This Row],[Customer ID]],Customers!$A$2:$F$201,5,0)</f>
        <v>North</v>
      </c>
      <c r="U68" t="str">
        <f>VLOOKUP(Table1[[#This Row],[Customer ID]],Customers!$A$2:$F$201,6,0)</f>
        <v>Consumer</v>
      </c>
      <c r="V68" t="str">
        <f>TEXT(Table1[[#This Row],[Order Date]],"MMM")</f>
        <v>Feb</v>
      </c>
      <c r="W68" t="str">
        <f>TEXT(Table1[[#This Row],[Order Date]],"yyyy")</f>
        <v>2024</v>
      </c>
    </row>
    <row r="69" spans="1:23" x14ac:dyDescent="0.25">
      <c r="A69" s="2" t="s">
        <v>172</v>
      </c>
      <c r="B69" s="4">
        <v>45339</v>
      </c>
      <c r="C69" s="2" t="s">
        <v>72</v>
      </c>
      <c r="D69" s="2" t="str">
        <f>TEXT(Table1[[#This Row],[Order Date]],"mmmm")</f>
        <v>February</v>
      </c>
      <c r="E69" s="2" t="s">
        <v>60</v>
      </c>
      <c r="F69" s="2">
        <v>2</v>
      </c>
      <c r="G69" s="5">
        <v>0.15</v>
      </c>
      <c r="H69" s="2" t="s">
        <v>30</v>
      </c>
      <c r="I69" s="2" t="s">
        <v>38</v>
      </c>
      <c r="J69" s="2" t="s">
        <v>21</v>
      </c>
      <c r="K69">
        <f>VLOOKUP(E69,Products!$A$2:$E$23,5,0)</f>
        <v>449</v>
      </c>
      <c r="L69">
        <f>VLOOKUP(E69,Products!$A$2:$E$23,4,0)</f>
        <v>260</v>
      </c>
      <c r="M69" s="2">
        <f>K69*F69-Table1[[#This Row],[discount_amount]]</f>
        <v>763.3</v>
      </c>
      <c r="N69">
        <f t="shared" si="3"/>
        <v>520</v>
      </c>
      <c r="O69">
        <f t="shared" si="2"/>
        <v>243.29999999999995</v>
      </c>
      <c r="P69">
        <f>Table1[[#This Row],[Quantity]]*Table1[[#This Row],[unit_price]]*Table1[[#This Row],[Discount]]</f>
        <v>134.69999999999999</v>
      </c>
      <c r="Q69" t="str">
        <f>VLOOKUP(E69,Products!$A$2:$E$23,2,0)</f>
        <v>Desk Organizer</v>
      </c>
      <c r="R69" t="str">
        <f>VLOOKUP(Table1[[#This Row],[Product ID]],Products!$A$2:$E$23,3,0)</f>
        <v>Office Supplies</v>
      </c>
      <c r="S69" t="str">
        <f>VLOOKUP(C69,Customers!$A$2:$F$201,4,0)</f>
        <v>Maharashtra</v>
      </c>
      <c r="T69" t="str">
        <f>VLOOKUP(Table1[[#This Row],[Customer ID]],Customers!$A$2:$F$201,5,0)</f>
        <v>West</v>
      </c>
      <c r="U69" t="str">
        <f>VLOOKUP(Table1[[#This Row],[Customer ID]],Customers!$A$2:$F$201,6,0)</f>
        <v>Consumer</v>
      </c>
      <c r="V69" t="str">
        <f>TEXT(Table1[[#This Row],[Order Date]],"MMM")</f>
        <v>Feb</v>
      </c>
      <c r="W69" t="str">
        <f>TEXT(Table1[[#This Row],[Order Date]],"yyyy")</f>
        <v>2024</v>
      </c>
    </row>
    <row r="70" spans="1:23" x14ac:dyDescent="0.25">
      <c r="A70" s="2" t="s">
        <v>173</v>
      </c>
      <c r="B70" s="4">
        <v>45340</v>
      </c>
      <c r="C70" s="2" t="s">
        <v>174</v>
      </c>
      <c r="D70" s="2" t="str">
        <f>TEXT(Table1[[#This Row],[Order Date]],"mmmm")</f>
        <v>February</v>
      </c>
      <c r="E70" s="2" t="s">
        <v>24</v>
      </c>
      <c r="F70" s="2">
        <v>6</v>
      </c>
      <c r="G70" s="5">
        <v>0.05</v>
      </c>
      <c r="H70" s="2" t="s">
        <v>30</v>
      </c>
      <c r="I70" s="2" t="s">
        <v>26</v>
      </c>
      <c r="J70" s="2" t="s">
        <v>21</v>
      </c>
      <c r="K70">
        <f>VLOOKUP(E70,Products!$A$2:$E$23,5,0)</f>
        <v>899</v>
      </c>
      <c r="L70">
        <f>VLOOKUP(E70,Products!$A$2:$E$23,4,0)</f>
        <v>500</v>
      </c>
      <c r="M70" s="2">
        <f>K70*F70-Table1[[#This Row],[discount_amount]]</f>
        <v>5124.3</v>
      </c>
      <c r="N70">
        <f t="shared" si="3"/>
        <v>3000</v>
      </c>
      <c r="O70">
        <f t="shared" si="2"/>
        <v>2124.3000000000002</v>
      </c>
      <c r="P70">
        <f>Table1[[#This Row],[Quantity]]*Table1[[#This Row],[unit_price]]*Table1[[#This Row],[Discount]]</f>
        <v>269.7</v>
      </c>
      <c r="Q70" t="str">
        <f>VLOOKUP(E70,Products!$A$2:$E$23,2,0)</f>
        <v>Monitor Stand</v>
      </c>
      <c r="R70" t="str">
        <f>VLOOKUP(Table1[[#This Row],[Product ID]],Products!$A$2:$E$23,3,0)</f>
        <v>Furniture</v>
      </c>
      <c r="S70" t="str">
        <f>VLOOKUP(C70,Customers!$A$2:$F$201,4,0)</f>
        <v>Gujarat</v>
      </c>
      <c r="T70" t="str">
        <f>VLOOKUP(Table1[[#This Row],[Customer ID]],Customers!$A$2:$F$201,5,0)</f>
        <v>West</v>
      </c>
      <c r="U70" t="str">
        <f>VLOOKUP(Table1[[#This Row],[Customer ID]],Customers!$A$2:$F$201,6,0)</f>
        <v>Consumer</v>
      </c>
      <c r="V70" t="str">
        <f>TEXT(Table1[[#This Row],[Order Date]],"MMM")</f>
        <v>Feb</v>
      </c>
      <c r="W70" t="str">
        <f>TEXT(Table1[[#This Row],[Order Date]],"yyyy")</f>
        <v>2024</v>
      </c>
    </row>
    <row r="71" spans="1:23" x14ac:dyDescent="0.25">
      <c r="A71" s="2" t="s">
        <v>175</v>
      </c>
      <c r="B71" s="4">
        <v>45340</v>
      </c>
      <c r="C71" s="2" t="s">
        <v>176</v>
      </c>
      <c r="D71" s="2" t="str">
        <f>TEXT(Table1[[#This Row],[Order Date]],"mmmm")</f>
        <v>February</v>
      </c>
      <c r="E71" s="2" t="s">
        <v>34</v>
      </c>
      <c r="F71" s="2">
        <v>2</v>
      </c>
      <c r="G71" s="5">
        <v>0</v>
      </c>
      <c r="H71" s="2" t="s">
        <v>19</v>
      </c>
      <c r="I71" s="2" t="s">
        <v>20</v>
      </c>
      <c r="J71" s="2" t="s">
        <v>21</v>
      </c>
      <c r="K71">
        <f>VLOOKUP(E71,Products!$A$2:$E$23,5,0)</f>
        <v>4599</v>
      </c>
      <c r="L71">
        <f>VLOOKUP(E71,Products!$A$2:$E$23,4,0)</f>
        <v>3000</v>
      </c>
      <c r="M71" s="2">
        <f>K71*F71-Table1[[#This Row],[discount_amount]]</f>
        <v>9198</v>
      </c>
      <c r="N71">
        <f t="shared" si="3"/>
        <v>6000</v>
      </c>
      <c r="O71">
        <f t="shared" si="2"/>
        <v>3198</v>
      </c>
      <c r="P71">
        <f>Table1[[#This Row],[Quantity]]*Table1[[#This Row],[unit_price]]*Table1[[#This Row],[Discount]]</f>
        <v>0</v>
      </c>
      <c r="Q71" t="str">
        <f>VLOOKUP(E71,Products!$A$2:$E$23,2,0)</f>
        <v>Filing Cabinet</v>
      </c>
      <c r="R71" t="str">
        <f>VLOOKUP(Table1[[#This Row],[Product ID]],Products!$A$2:$E$23,3,0)</f>
        <v>Furniture</v>
      </c>
      <c r="S71" t="str">
        <f>VLOOKUP(C71,Customers!$A$2:$F$201,4,0)</f>
        <v>Madhya Pradesh</v>
      </c>
      <c r="T71" t="str">
        <f>VLOOKUP(Table1[[#This Row],[Customer ID]],Customers!$A$2:$F$201,5,0)</f>
        <v>Central</v>
      </c>
      <c r="U71" t="str">
        <f>VLOOKUP(Table1[[#This Row],[Customer ID]],Customers!$A$2:$F$201,6,0)</f>
        <v>Consumer</v>
      </c>
      <c r="V71" t="str">
        <f>TEXT(Table1[[#This Row],[Order Date]],"MMM")</f>
        <v>Feb</v>
      </c>
      <c r="W71" t="str">
        <f>TEXT(Table1[[#This Row],[Order Date]],"yyyy")</f>
        <v>2024</v>
      </c>
    </row>
    <row r="72" spans="1:23" x14ac:dyDescent="0.25">
      <c r="A72" s="2" t="s">
        <v>177</v>
      </c>
      <c r="B72" s="4">
        <v>45342</v>
      </c>
      <c r="C72" s="2" t="s">
        <v>178</v>
      </c>
      <c r="D72" s="2" t="str">
        <f>TEXT(Table1[[#This Row],[Order Date]],"mmmm")</f>
        <v>February</v>
      </c>
      <c r="E72" s="2" t="s">
        <v>60</v>
      </c>
      <c r="F72" s="2">
        <v>1</v>
      </c>
      <c r="G72" s="5">
        <v>0.05</v>
      </c>
      <c r="H72" s="2" t="s">
        <v>30</v>
      </c>
      <c r="I72" s="2" t="s">
        <v>20</v>
      </c>
      <c r="J72" s="2" t="s">
        <v>21</v>
      </c>
      <c r="K72">
        <f>VLOOKUP(E72,Products!$A$2:$E$23,5,0)</f>
        <v>449</v>
      </c>
      <c r="L72">
        <f>VLOOKUP(E72,Products!$A$2:$E$23,4,0)</f>
        <v>260</v>
      </c>
      <c r="M72" s="2">
        <f>K72*F72-Table1[[#This Row],[discount_amount]]</f>
        <v>426.55</v>
      </c>
      <c r="N72">
        <f t="shared" si="3"/>
        <v>260</v>
      </c>
      <c r="O72">
        <f t="shared" si="2"/>
        <v>166.55</v>
      </c>
      <c r="P72">
        <f>Table1[[#This Row],[Quantity]]*Table1[[#This Row],[unit_price]]*Table1[[#This Row],[Discount]]</f>
        <v>22.450000000000003</v>
      </c>
      <c r="Q72" t="str">
        <f>VLOOKUP(E72,Products!$A$2:$E$23,2,0)</f>
        <v>Desk Organizer</v>
      </c>
      <c r="R72" t="str">
        <f>VLOOKUP(Table1[[#This Row],[Product ID]],Products!$A$2:$E$23,3,0)</f>
        <v>Office Supplies</v>
      </c>
      <c r="S72" t="str">
        <f>VLOOKUP(C72,Customers!$A$2:$F$201,4,0)</f>
        <v>Bihar</v>
      </c>
      <c r="T72" t="str">
        <f>VLOOKUP(Table1[[#This Row],[Customer ID]],Customers!$A$2:$F$201,5,0)</f>
        <v>East</v>
      </c>
      <c r="U72" t="str">
        <f>VLOOKUP(Table1[[#This Row],[Customer ID]],Customers!$A$2:$F$201,6,0)</f>
        <v>Corporate</v>
      </c>
      <c r="V72" t="str">
        <f>TEXT(Table1[[#This Row],[Order Date]],"MMM")</f>
        <v>Feb</v>
      </c>
      <c r="W72" t="str">
        <f>TEXT(Table1[[#This Row],[Order Date]],"yyyy")</f>
        <v>2024</v>
      </c>
    </row>
    <row r="73" spans="1:23" x14ac:dyDescent="0.25">
      <c r="A73" s="2" t="s">
        <v>179</v>
      </c>
      <c r="B73" s="4">
        <v>45342</v>
      </c>
      <c r="C73" s="2" t="s">
        <v>180</v>
      </c>
      <c r="D73" s="2" t="str">
        <f>TEXT(Table1[[#This Row],[Order Date]],"mmmm")</f>
        <v>February</v>
      </c>
      <c r="E73" s="2" t="s">
        <v>24</v>
      </c>
      <c r="F73" s="2">
        <v>1</v>
      </c>
      <c r="G73" s="5">
        <v>0</v>
      </c>
      <c r="H73" s="2" t="s">
        <v>19</v>
      </c>
      <c r="I73" s="2" t="s">
        <v>26</v>
      </c>
      <c r="J73" s="2" t="s">
        <v>21</v>
      </c>
      <c r="K73">
        <f>VLOOKUP(E73,Products!$A$2:$E$23,5,0)</f>
        <v>899</v>
      </c>
      <c r="L73">
        <f>VLOOKUP(E73,Products!$A$2:$E$23,4,0)</f>
        <v>500</v>
      </c>
      <c r="M73" s="2">
        <f>K73*F73-Table1[[#This Row],[discount_amount]]</f>
        <v>899</v>
      </c>
      <c r="N73">
        <f t="shared" si="3"/>
        <v>500</v>
      </c>
      <c r="O73">
        <f t="shared" si="2"/>
        <v>399</v>
      </c>
      <c r="P73">
        <f>Table1[[#This Row],[Quantity]]*Table1[[#This Row],[unit_price]]*Table1[[#This Row],[Discount]]</f>
        <v>0</v>
      </c>
      <c r="Q73" t="str">
        <f>VLOOKUP(E73,Products!$A$2:$E$23,2,0)</f>
        <v>Monitor Stand</v>
      </c>
      <c r="R73" t="str">
        <f>VLOOKUP(Table1[[#This Row],[Product ID]],Products!$A$2:$E$23,3,0)</f>
        <v>Furniture</v>
      </c>
      <c r="S73" t="str">
        <f>VLOOKUP(C73,Customers!$A$2:$F$201,4,0)</f>
        <v>Delhi</v>
      </c>
      <c r="T73" t="str">
        <f>VLOOKUP(Table1[[#This Row],[Customer ID]],Customers!$A$2:$F$201,5,0)</f>
        <v>North</v>
      </c>
      <c r="U73" t="str">
        <f>VLOOKUP(Table1[[#This Row],[Customer ID]],Customers!$A$2:$F$201,6,0)</f>
        <v>Consumer</v>
      </c>
      <c r="V73" t="str">
        <f>TEXT(Table1[[#This Row],[Order Date]],"MMM")</f>
        <v>Feb</v>
      </c>
      <c r="W73" t="str">
        <f>TEXT(Table1[[#This Row],[Order Date]],"yyyy")</f>
        <v>2024</v>
      </c>
    </row>
    <row r="74" spans="1:23" x14ac:dyDescent="0.25">
      <c r="A74" s="2" t="s">
        <v>181</v>
      </c>
      <c r="B74" s="4">
        <v>45343</v>
      </c>
      <c r="C74" s="2" t="s">
        <v>134</v>
      </c>
      <c r="D74" s="2" t="str">
        <f>TEXT(Table1[[#This Row],[Order Date]],"mmmm")</f>
        <v>February</v>
      </c>
      <c r="E74" s="2" t="s">
        <v>34</v>
      </c>
      <c r="F74" s="2">
        <v>1</v>
      </c>
      <c r="G74" s="5">
        <v>0</v>
      </c>
      <c r="H74" s="2" t="s">
        <v>30</v>
      </c>
      <c r="I74" s="2" t="s">
        <v>38</v>
      </c>
      <c r="J74" s="2" t="s">
        <v>21</v>
      </c>
      <c r="K74">
        <f>VLOOKUP(E74,Products!$A$2:$E$23,5,0)</f>
        <v>4599</v>
      </c>
      <c r="L74">
        <f>VLOOKUP(E74,Products!$A$2:$E$23,4,0)</f>
        <v>3000</v>
      </c>
      <c r="M74" s="2">
        <f>K74*F74-Table1[[#This Row],[discount_amount]]</f>
        <v>4599</v>
      </c>
      <c r="N74">
        <f t="shared" si="3"/>
        <v>3000</v>
      </c>
      <c r="O74">
        <f t="shared" si="2"/>
        <v>1599</v>
      </c>
      <c r="P74">
        <f>Table1[[#This Row],[Quantity]]*Table1[[#This Row],[unit_price]]*Table1[[#This Row],[Discount]]</f>
        <v>0</v>
      </c>
      <c r="Q74" t="str">
        <f>VLOOKUP(E74,Products!$A$2:$E$23,2,0)</f>
        <v>Filing Cabinet</v>
      </c>
      <c r="R74" t="str">
        <f>VLOOKUP(Table1[[#This Row],[Product ID]],Products!$A$2:$E$23,3,0)</f>
        <v>Furniture</v>
      </c>
      <c r="S74" t="str">
        <f>VLOOKUP(C74,Customers!$A$2:$F$201,4,0)</f>
        <v>Telangana</v>
      </c>
      <c r="T74" t="str">
        <f>VLOOKUP(Table1[[#This Row],[Customer ID]],Customers!$A$2:$F$201,5,0)</f>
        <v>South</v>
      </c>
      <c r="U74" t="str">
        <f>VLOOKUP(Table1[[#This Row],[Customer ID]],Customers!$A$2:$F$201,6,0)</f>
        <v>Consumer</v>
      </c>
      <c r="V74" t="str">
        <f>TEXT(Table1[[#This Row],[Order Date]],"MMM")</f>
        <v>Feb</v>
      </c>
      <c r="W74" t="str">
        <f>TEXT(Table1[[#This Row],[Order Date]],"yyyy")</f>
        <v>2024</v>
      </c>
    </row>
    <row r="75" spans="1:23" x14ac:dyDescent="0.25">
      <c r="A75" s="2" t="s">
        <v>182</v>
      </c>
      <c r="B75" s="4">
        <v>45344</v>
      </c>
      <c r="C75" s="2" t="s">
        <v>183</v>
      </c>
      <c r="D75" s="2" t="str">
        <f>TEXT(Table1[[#This Row],[Order Date]],"mmmm")</f>
        <v>February</v>
      </c>
      <c r="E75" s="2" t="s">
        <v>45</v>
      </c>
      <c r="F75" s="2">
        <v>6</v>
      </c>
      <c r="G75" s="5">
        <v>0</v>
      </c>
      <c r="H75" s="2" t="s">
        <v>25</v>
      </c>
      <c r="I75" s="2" t="s">
        <v>26</v>
      </c>
      <c r="J75" s="2" t="s">
        <v>21</v>
      </c>
      <c r="K75">
        <f>VLOOKUP(E75,Products!$A$2:$E$23,5,0)</f>
        <v>899</v>
      </c>
      <c r="L75">
        <f>VLOOKUP(E75,Products!$A$2:$E$23,4,0)</f>
        <v>450</v>
      </c>
      <c r="M75" s="2">
        <f>K75*F75-Table1[[#This Row],[discount_amount]]</f>
        <v>5394</v>
      </c>
      <c r="N75">
        <f t="shared" si="3"/>
        <v>2700</v>
      </c>
      <c r="O75">
        <f t="shared" si="2"/>
        <v>2694</v>
      </c>
      <c r="P75">
        <f>Table1[[#This Row],[Quantity]]*Table1[[#This Row],[unit_price]]*Table1[[#This Row],[Discount]]</f>
        <v>0</v>
      </c>
      <c r="Q75" t="str">
        <f>VLOOKUP(E75,Products!$A$2:$E$23,2,0)</f>
        <v>Track Pants</v>
      </c>
      <c r="R75" t="str">
        <f>VLOOKUP(Table1[[#This Row],[Product ID]],Products!$A$2:$E$23,3,0)</f>
        <v>Clothing</v>
      </c>
      <c r="S75" t="str">
        <f>VLOOKUP(C75,Customers!$A$2:$F$201,4,0)</f>
        <v>Madhya Pradesh</v>
      </c>
      <c r="T75" t="str">
        <f>VLOOKUP(Table1[[#This Row],[Customer ID]],Customers!$A$2:$F$201,5,0)</f>
        <v>Central</v>
      </c>
      <c r="U75" t="str">
        <f>VLOOKUP(Table1[[#This Row],[Customer ID]],Customers!$A$2:$F$201,6,0)</f>
        <v>Corporate</v>
      </c>
      <c r="V75" t="str">
        <f>TEXT(Table1[[#This Row],[Order Date]],"MMM")</f>
        <v>Feb</v>
      </c>
      <c r="W75" t="str">
        <f>TEXT(Table1[[#This Row],[Order Date]],"yyyy")</f>
        <v>2024</v>
      </c>
    </row>
    <row r="76" spans="1:23" x14ac:dyDescent="0.25">
      <c r="A76" s="2" t="s">
        <v>184</v>
      </c>
      <c r="B76" s="4">
        <v>45344</v>
      </c>
      <c r="C76" s="2" t="s">
        <v>44</v>
      </c>
      <c r="D76" s="2" t="str">
        <f>TEXT(Table1[[#This Row],[Order Date]],"mmmm")</f>
        <v>February</v>
      </c>
      <c r="E76" s="2" t="s">
        <v>155</v>
      </c>
      <c r="F76" s="2">
        <v>3</v>
      </c>
      <c r="G76" s="5">
        <v>0</v>
      </c>
      <c r="H76" s="2" t="s">
        <v>30</v>
      </c>
      <c r="I76" s="2" t="s">
        <v>20</v>
      </c>
      <c r="J76" s="2" t="s">
        <v>21</v>
      </c>
      <c r="K76">
        <f>VLOOKUP(E76,Products!$A$2:$E$23,5,0)</f>
        <v>1599</v>
      </c>
      <c r="L76">
        <f>VLOOKUP(E76,Products!$A$2:$E$23,4,0)</f>
        <v>900</v>
      </c>
      <c r="M76" s="2">
        <f>K76*F76-Table1[[#This Row],[discount_amount]]</f>
        <v>4797</v>
      </c>
      <c r="N76">
        <f t="shared" si="3"/>
        <v>2700</v>
      </c>
      <c r="O76">
        <f t="shared" si="2"/>
        <v>2097</v>
      </c>
      <c r="P76">
        <f>Table1[[#This Row],[Quantity]]*Table1[[#This Row],[unit_price]]*Table1[[#This Row],[Discount]]</f>
        <v>0</v>
      </c>
      <c r="Q76" t="str">
        <f>VLOOKUP(E76,Products!$A$2:$E$23,2,0)</f>
        <v>Headphones</v>
      </c>
      <c r="R76" t="str">
        <f>VLOOKUP(Table1[[#This Row],[Product ID]],Products!$A$2:$E$23,3,0)</f>
        <v>Electronics</v>
      </c>
      <c r="S76" t="str">
        <f>VLOOKUP(C76,Customers!$A$2:$F$201,4,0)</f>
        <v>Gujarat</v>
      </c>
      <c r="T76" t="str">
        <f>VLOOKUP(Table1[[#This Row],[Customer ID]],Customers!$A$2:$F$201,5,0)</f>
        <v>West</v>
      </c>
      <c r="U76" t="str">
        <f>VLOOKUP(Table1[[#This Row],[Customer ID]],Customers!$A$2:$F$201,6,0)</f>
        <v>Home Office</v>
      </c>
      <c r="V76" t="str">
        <f>TEXT(Table1[[#This Row],[Order Date]],"MMM")</f>
        <v>Feb</v>
      </c>
      <c r="W76" t="str">
        <f>TEXT(Table1[[#This Row],[Order Date]],"yyyy")</f>
        <v>2024</v>
      </c>
    </row>
    <row r="77" spans="1:23" x14ac:dyDescent="0.25">
      <c r="A77" s="2" t="s">
        <v>185</v>
      </c>
      <c r="B77" s="4">
        <v>45344</v>
      </c>
      <c r="C77" s="2" t="s">
        <v>100</v>
      </c>
      <c r="D77" s="2" t="str">
        <f>TEXT(Table1[[#This Row],[Order Date]],"mmmm")</f>
        <v>February</v>
      </c>
      <c r="E77" s="2" t="s">
        <v>66</v>
      </c>
      <c r="F77" s="2">
        <v>4</v>
      </c>
      <c r="G77" s="5">
        <v>0.05</v>
      </c>
      <c r="H77" s="2" t="s">
        <v>19</v>
      </c>
      <c r="I77" s="2" t="s">
        <v>31</v>
      </c>
      <c r="J77" s="2" t="s">
        <v>21</v>
      </c>
      <c r="K77">
        <f>VLOOKUP(E77,Products!$A$2:$E$23,5,0)</f>
        <v>1299</v>
      </c>
      <c r="L77">
        <f>VLOOKUP(E77,Products!$A$2:$E$23,4,0)</f>
        <v>800</v>
      </c>
      <c r="M77" s="2">
        <f>K77*F77-Table1[[#This Row],[discount_amount]]</f>
        <v>4936.2</v>
      </c>
      <c r="N77">
        <f t="shared" si="3"/>
        <v>3200</v>
      </c>
      <c r="O77">
        <f t="shared" si="2"/>
        <v>1736.1999999999998</v>
      </c>
      <c r="P77">
        <f>Table1[[#This Row],[Quantity]]*Table1[[#This Row],[unit_price]]*Table1[[#This Row],[Discount]]</f>
        <v>259.8</v>
      </c>
      <c r="Q77" t="str">
        <f>VLOOKUP(E77,Products!$A$2:$E$23,2,0)</f>
        <v>Power Bank 10000mAh</v>
      </c>
      <c r="R77" t="str">
        <f>VLOOKUP(Table1[[#This Row],[Product ID]],Products!$A$2:$E$23,3,0)</f>
        <v>Electronics</v>
      </c>
      <c r="S77" t="str">
        <f>VLOOKUP(C77,Customers!$A$2:$F$201,4,0)</f>
        <v>Delhi</v>
      </c>
      <c r="T77" t="str">
        <f>VLOOKUP(Table1[[#This Row],[Customer ID]],Customers!$A$2:$F$201,5,0)</f>
        <v>North</v>
      </c>
      <c r="U77" t="str">
        <f>VLOOKUP(Table1[[#This Row],[Customer ID]],Customers!$A$2:$F$201,6,0)</f>
        <v>Consumer</v>
      </c>
      <c r="V77" t="str">
        <f>TEXT(Table1[[#This Row],[Order Date]],"MMM")</f>
        <v>Feb</v>
      </c>
      <c r="W77" t="str">
        <f>TEXT(Table1[[#This Row],[Order Date]],"yyyy")</f>
        <v>2024</v>
      </c>
    </row>
    <row r="78" spans="1:23" x14ac:dyDescent="0.25">
      <c r="A78" s="2" t="s">
        <v>186</v>
      </c>
      <c r="B78" s="4">
        <v>45345</v>
      </c>
      <c r="C78" s="2" t="s">
        <v>113</v>
      </c>
      <c r="D78" s="2" t="str">
        <f>TEXT(Table1[[#This Row],[Order Date]],"mmmm")</f>
        <v>February</v>
      </c>
      <c r="E78" s="2" t="s">
        <v>45</v>
      </c>
      <c r="F78" s="2">
        <v>2</v>
      </c>
      <c r="G78" s="5">
        <v>0.1</v>
      </c>
      <c r="H78" s="2" t="s">
        <v>30</v>
      </c>
      <c r="I78" s="2" t="s">
        <v>31</v>
      </c>
      <c r="J78" s="2" t="s">
        <v>21</v>
      </c>
      <c r="K78">
        <f>VLOOKUP(E78,Products!$A$2:$E$23,5,0)</f>
        <v>899</v>
      </c>
      <c r="L78">
        <f>VLOOKUP(E78,Products!$A$2:$E$23,4,0)</f>
        <v>450</v>
      </c>
      <c r="M78" s="2">
        <f>K78*F78-Table1[[#This Row],[discount_amount]]</f>
        <v>1618.2</v>
      </c>
      <c r="N78">
        <f t="shared" si="3"/>
        <v>900</v>
      </c>
      <c r="O78">
        <f t="shared" si="2"/>
        <v>718.2</v>
      </c>
      <c r="P78">
        <f>Table1[[#This Row],[Quantity]]*Table1[[#This Row],[unit_price]]*Table1[[#This Row],[Discount]]</f>
        <v>179.8</v>
      </c>
      <c r="Q78" t="str">
        <f>VLOOKUP(E78,Products!$A$2:$E$23,2,0)</f>
        <v>Track Pants</v>
      </c>
      <c r="R78" t="str">
        <f>VLOOKUP(Table1[[#This Row],[Product ID]],Products!$A$2:$E$23,3,0)</f>
        <v>Clothing</v>
      </c>
      <c r="S78" t="str">
        <f>VLOOKUP(C78,Customers!$A$2:$F$201,4,0)</f>
        <v>Gujarat</v>
      </c>
      <c r="T78" t="str">
        <f>VLOOKUP(Table1[[#This Row],[Customer ID]],Customers!$A$2:$F$201,5,0)</f>
        <v>West</v>
      </c>
      <c r="U78" t="str">
        <f>VLOOKUP(Table1[[#This Row],[Customer ID]],Customers!$A$2:$F$201,6,0)</f>
        <v>Consumer</v>
      </c>
      <c r="V78" t="str">
        <f>TEXT(Table1[[#This Row],[Order Date]],"MMM")</f>
        <v>Feb</v>
      </c>
      <c r="W78" t="str">
        <f>TEXT(Table1[[#This Row],[Order Date]],"yyyy")</f>
        <v>2024</v>
      </c>
    </row>
    <row r="79" spans="1:23" x14ac:dyDescent="0.25">
      <c r="A79" s="2" t="s">
        <v>187</v>
      </c>
      <c r="B79" s="4">
        <v>45345</v>
      </c>
      <c r="C79" s="2" t="s">
        <v>188</v>
      </c>
      <c r="D79" s="2" t="str">
        <f>TEXT(Table1[[#This Row],[Order Date]],"mmmm")</f>
        <v>February</v>
      </c>
      <c r="E79" s="2" t="s">
        <v>54</v>
      </c>
      <c r="F79" s="2">
        <v>4</v>
      </c>
      <c r="G79" s="5">
        <v>0</v>
      </c>
      <c r="H79" s="2" t="s">
        <v>30</v>
      </c>
      <c r="I79" s="2" t="s">
        <v>31</v>
      </c>
      <c r="J79" s="2" t="s">
        <v>21</v>
      </c>
      <c r="K79">
        <f>VLOOKUP(E79,Products!$A$2:$E$23,5,0)</f>
        <v>299</v>
      </c>
      <c r="L79">
        <f>VLOOKUP(E79,Products!$A$2:$E$23,4,0)</f>
        <v>180</v>
      </c>
      <c r="M79" s="2">
        <f>K79*F79-Table1[[#This Row],[discount_amount]]</f>
        <v>1196</v>
      </c>
      <c r="N79">
        <f t="shared" si="3"/>
        <v>720</v>
      </c>
      <c r="O79">
        <f t="shared" si="2"/>
        <v>476</v>
      </c>
      <c r="P79">
        <f>Table1[[#This Row],[Quantity]]*Table1[[#This Row],[unit_price]]*Table1[[#This Row],[Discount]]</f>
        <v>0</v>
      </c>
      <c r="Q79" t="str">
        <f>VLOOKUP(E79,Products!$A$2:$E$23,2,0)</f>
        <v>Notebook Pack of 5</v>
      </c>
      <c r="R79" t="str">
        <f>VLOOKUP(Table1[[#This Row],[Product ID]],Products!$A$2:$E$23,3,0)</f>
        <v>Office Supplies</v>
      </c>
      <c r="S79" t="str">
        <f>VLOOKUP(C79,Customers!$A$2:$F$201,4,0)</f>
        <v>Bihar</v>
      </c>
      <c r="T79" t="str">
        <f>VLOOKUP(Table1[[#This Row],[Customer ID]],Customers!$A$2:$F$201,5,0)</f>
        <v>East</v>
      </c>
      <c r="U79" t="str">
        <f>VLOOKUP(Table1[[#This Row],[Customer ID]],Customers!$A$2:$F$201,6,0)</f>
        <v>Corporate</v>
      </c>
      <c r="V79" t="str">
        <f>TEXT(Table1[[#This Row],[Order Date]],"MMM")</f>
        <v>Feb</v>
      </c>
      <c r="W79" t="str">
        <f>TEXT(Table1[[#This Row],[Order Date]],"yyyy")</f>
        <v>2024</v>
      </c>
    </row>
    <row r="80" spans="1:23" x14ac:dyDescent="0.25">
      <c r="A80" s="2" t="s">
        <v>189</v>
      </c>
      <c r="B80" s="4">
        <v>45345</v>
      </c>
      <c r="C80" s="2" t="s">
        <v>190</v>
      </c>
      <c r="D80" s="2" t="str">
        <f>TEXT(Table1[[#This Row],[Order Date]],"mmmm")</f>
        <v>February</v>
      </c>
      <c r="E80" s="2" t="s">
        <v>60</v>
      </c>
      <c r="F80" s="2">
        <v>10</v>
      </c>
      <c r="G80" s="5">
        <v>0</v>
      </c>
      <c r="H80" s="2" t="s">
        <v>25</v>
      </c>
      <c r="I80" s="2" t="s">
        <v>20</v>
      </c>
      <c r="J80" s="2" t="s">
        <v>21</v>
      </c>
      <c r="K80">
        <f>VLOOKUP(E80,Products!$A$2:$E$23,5,0)</f>
        <v>449</v>
      </c>
      <c r="L80">
        <f>VLOOKUP(E80,Products!$A$2:$E$23,4,0)</f>
        <v>260</v>
      </c>
      <c r="M80" s="2">
        <f>K80*F80-Table1[[#This Row],[discount_amount]]</f>
        <v>4490</v>
      </c>
      <c r="N80">
        <f t="shared" si="3"/>
        <v>2600</v>
      </c>
      <c r="O80">
        <f t="shared" si="2"/>
        <v>1890</v>
      </c>
      <c r="P80">
        <f>Table1[[#This Row],[Quantity]]*Table1[[#This Row],[unit_price]]*Table1[[#This Row],[Discount]]</f>
        <v>0</v>
      </c>
      <c r="Q80" t="str">
        <f>VLOOKUP(E80,Products!$A$2:$E$23,2,0)</f>
        <v>Desk Organizer</v>
      </c>
      <c r="R80" t="str">
        <f>VLOOKUP(Table1[[#This Row],[Product ID]],Products!$A$2:$E$23,3,0)</f>
        <v>Office Supplies</v>
      </c>
      <c r="S80" t="str">
        <f>VLOOKUP(C80,Customers!$A$2:$F$201,4,0)</f>
        <v>Odisha</v>
      </c>
      <c r="T80" t="str">
        <f>VLOOKUP(Table1[[#This Row],[Customer ID]],Customers!$A$2:$F$201,5,0)</f>
        <v>East</v>
      </c>
      <c r="U80" t="str">
        <f>VLOOKUP(Table1[[#This Row],[Customer ID]],Customers!$A$2:$F$201,6,0)</f>
        <v>Consumer</v>
      </c>
      <c r="V80" t="str">
        <f>TEXT(Table1[[#This Row],[Order Date]],"MMM")</f>
        <v>Feb</v>
      </c>
      <c r="W80" t="str">
        <f>TEXT(Table1[[#This Row],[Order Date]],"yyyy")</f>
        <v>2024</v>
      </c>
    </row>
    <row r="81" spans="1:23" x14ac:dyDescent="0.25">
      <c r="A81" s="2" t="s">
        <v>191</v>
      </c>
      <c r="B81" s="4">
        <v>45345</v>
      </c>
      <c r="C81" s="2" t="s">
        <v>123</v>
      </c>
      <c r="D81" s="2" t="str">
        <f>TEXT(Table1[[#This Row],[Order Date]],"mmmm")</f>
        <v>February</v>
      </c>
      <c r="E81" s="2" t="s">
        <v>155</v>
      </c>
      <c r="F81" s="2">
        <v>2</v>
      </c>
      <c r="G81" s="5">
        <v>0.1</v>
      </c>
      <c r="H81" s="2" t="s">
        <v>25</v>
      </c>
      <c r="I81" s="2" t="s">
        <v>20</v>
      </c>
      <c r="J81" s="2" t="s">
        <v>21</v>
      </c>
      <c r="K81">
        <f>VLOOKUP(E81,Products!$A$2:$E$23,5,0)</f>
        <v>1599</v>
      </c>
      <c r="L81">
        <f>VLOOKUP(E81,Products!$A$2:$E$23,4,0)</f>
        <v>900</v>
      </c>
      <c r="M81" s="2">
        <f>K81*F81-Table1[[#This Row],[discount_amount]]</f>
        <v>2878.2</v>
      </c>
      <c r="N81">
        <f t="shared" si="3"/>
        <v>1800</v>
      </c>
      <c r="O81">
        <f t="shared" si="2"/>
        <v>1078.1999999999998</v>
      </c>
      <c r="P81">
        <f>Table1[[#This Row],[Quantity]]*Table1[[#This Row],[unit_price]]*Table1[[#This Row],[Discount]]</f>
        <v>319.8</v>
      </c>
      <c r="Q81" t="str">
        <f>VLOOKUP(E81,Products!$A$2:$E$23,2,0)</f>
        <v>Headphones</v>
      </c>
      <c r="R81" t="str">
        <f>VLOOKUP(Table1[[#This Row],[Product ID]],Products!$A$2:$E$23,3,0)</f>
        <v>Electronics</v>
      </c>
      <c r="S81" t="str">
        <f>VLOOKUP(C81,Customers!$A$2:$F$201,4,0)</f>
        <v>Uttar Pradesh</v>
      </c>
      <c r="T81" t="str">
        <f>VLOOKUP(Table1[[#This Row],[Customer ID]],Customers!$A$2:$F$201,5,0)</f>
        <v>North</v>
      </c>
      <c r="U81" t="str">
        <f>VLOOKUP(Table1[[#This Row],[Customer ID]],Customers!$A$2:$F$201,6,0)</f>
        <v>Consumer</v>
      </c>
      <c r="V81" t="str">
        <f>TEXT(Table1[[#This Row],[Order Date]],"MMM")</f>
        <v>Feb</v>
      </c>
      <c r="W81" t="str">
        <f>TEXT(Table1[[#This Row],[Order Date]],"yyyy")</f>
        <v>2024</v>
      </c>
    </row>
    <row r="82" spans="1:23" x14ac:dyDescent="0.25">
      <c r="A82" s="2" t="s">
        <v>192</v>
      </c>
      <c r="B82" s="4">
        <v>45346</v>
      </c>
      <c r="C82" s="2" t="s">
        <v>100</v>
      </c>
      <c r="D82" s="2" t="str">
        <f>TEXT(Table1[[#This Row],[Order Date]],"mmmm")</f>
        <v>February</v>
      </c>
      <c r="E82" s="2" t="s">
        <v>127</v>
      </c>
      <c r="F82" s="2">
        <v>2</v>
      </c>
      <c r="G82" s="5">
        <v>0.05</v>
      </c>
      <c r="H82" s="2" t="s">
        <v>30</v>
      </c>
      <c r="I82" s="2" t="s">
        <v>31</v>
      </c>
      <c r="J82" s="2" t="s">
        <v>21</v>
      </c>
      <c r="K82">
        <f>VLOOKUP(E82,Products!$A$2:$E$23,5,0)</f>
        <v>1999</v>
      </c>
      <c r="L82">
        <f>VLOOKUP(E82,Products!$A$2:$E$23,4,0)</f>
        <v>1200</v>
      </c>
      <c r="M82" s="2">
        <f>K82*F82-Table1[[#This Row],[discount_amount]]</f>
        <v>3798.1</v>
      </c>
      <c r="N82">
        <f t="shared" si="3"/>
        <v>2400</v>
      </c>
      <c r="O82">
        <f t="shared" si="2"/>
        <v>1398.1</v>
      </c>
      <c r="P82">
        <f>Table1[[#This Row],[Quantity]]*Table1[[#This Row],[unit_price]]*Table1[[#This Row],[Discount]]</f>
        <v>199.9</v>
      </c>
      <c r="Q82" t="str">
        <f>VLOOKUP(E82,Products!$A$2:$E$23,2,0)</f>
        <v>Bluetooth Speaker</v>
      </c>
      <c r="R82" t="str">
        <f>VLOOKUP(Table1[[#This Row],[Product ID]],Products!$A$2:$E$23,3,0)</f>
        <v>Electronics</v>
      </c>
      <c r="S82" t="str">
        <f>VLOOKUP(C82,Customers!$A$2:$F$201,4,0)</f>
        <v>Delhi</v>
      </c>
      <c r="T82" t="str">
        <f>VLOOKUP(Table1[[#This Row],[Customer ID]],Customers!$A$2:$F$201,5,0)</f>
        <v>North</v>
      </c>
      <c r="U82" t="str">
        <f>VLOOKUP(Table1[[#This Row],[Customer ID]],Customers!$A$2:$F$201,6,0)</f>
        <v>Consumer</v>
      </c>
      <c r="V82" t="str">
        <f>TEXT(Table1[[#This Row],[Order Date]],"MMM")</f>
        <v>Feb</v>
      </c>
      <c r="W82" t="str">
        <f>TEXT(Table1[[#This Row],[Order Date]],"yyyy")</f>
        <v>2024</v>
      </c>
    </row>
    <row r="83" spans="1:23" x14ac:dyDescent="0.25">
      <c r="A83" s="2" t="s">
        <v>193</v>
      </c>
      <c r="B83" s="4">
        <v>45346</v>
      </c>
      <c r="C83" s="2" t="s">
        <v>194</v>
      </c>
      <c r="D83" s="2" t="str">
        <f>TEXT(Table1[[#This Row],[Order Date]],"mmmm")</f>
        <v>February</v>
      </c>
      <c r="E83" s="2" t="s">
        <v>54</v>
      </c>
      <c r="F83" s="2">
        <v>3</v>
      </c>
      <c r="G83" s="5">
        <v>0.1</v>
      </c>
      <c r="H83" s="2" t="s">
        <v>30</v>
      </c>
      <c r="I83" s="2" t="s">
        <v>46</v>
      </c>
      <c r="J83" s="2" t="s">
        <v>21</v>
      </c>
      <c r="K83">
        <f>VLOOKUP(E83,Products!$A$2:$E$23,5,0)</f>
        <v>299</v>
      </c>
      <c r="L83">
        <f>VLOOKUP(E83,Products!$A$2:$E$23,4,0)</f>
        <v>180</v>
      </c>
      <c r="M83" s="2">
        <f>K83*F83-Table1[[#This Row],[discount_amount]]</f>
        <v>807.3</v>
      </c>
      <c r="N83">
        <f t="shared" si="3"/>
        <v>540</v>
      </c>
      <c r="O83">
        <f t="shared" si="2"/>
        <v>267.29999999999995</v>
      </c>
      <c r="P83">
        <f>Table1[[#This Row],[Quantity]]*Table1[[#This Row],[unit_price]]*Table1[[#This Row],[Discount]]</f>
        <v>89.7</v>
      </c>
      <c r="Q83" t="str">
        <f>VLOOKUP(E83,Products!$A$2:$E$23,2,0)</f>
        <v>Notebook Pack of 5</v>
      </c>
      <c r="R83" t="str">
        <f>VLOOKUP(Table1[[#This Row],[Product ID]],Products!$A$2:$E$23,3,0)</f>
        <v>Office Supplies</v>
      </c>
      <c r="S83" t="str">
        <f>VLOOKUP(C83,Customers!$A$2:$F$201,4,0)</f>
        <v>Telangana</v>
      </c>
      <c r="T83" t="str">
        <f>VLOOKUP(Table1[[#This Row],[Customer ID]],Customers!$A$2:$F$201,5,0)</f>
        <v>South</v>
      </c>
      <c r="U83" t="str">
        <f>VLOOKUP(Table1[[#This Row],[Customer ID]],Customers!$A$2:$F$201,6,0)</f>
        <v>Consumer</v>
      </c>
      <c r="V83" t="str">
        <f>TEXT(Table1[[#This Row],[Order Date]],"MMM")</f>
        <v>Feb</v>
      </c>
      <c r="W83" t="str">
        <f>TEXT(Table1[[#This Row],[Order Date]],"yyyy")</f>
        <v>2024</v>
      </c>
    </row>
    <row r="84" spans="1:23" x14ac:dyDescent="0.25">
      <c r="A84" s="2" t="s">
        <v>195</v>
      </c>
      <c r="B84" s="4">
        <v>45347</v>
      </c>
      <c r="C84" s="2" t="s">
        <v>65</v>
      </c>
      <c r="D84" s="2" t="str">
        <f>TEXT(Table1[[#This Row],[Order Date]],"mmmm")</f>
        <v>February</v>
      </c>
      <c r="E84" s="2" t="s">
        <v>91</v>
      </c>
      <c r="F84" s="2">
        <v>1</v>
      </c>
      <c r="G84" s="5">
        <v>0.05</v>
      </c>
      <c r="H84" s="2" t="s">
        <v>25</v>
      </c>
      <c r="I84" s="2" t="s">
        <v>38</v>
      </c>
      <c r="J84" s="2" t="s">
        <v>21</v>
      </c>
      <c r="K84">
        <f>VLOOKUP(E84,Products!$A$2:$E$23,5,0)</f>
        <v>1199</v>
      </c>
      <c r="L84">
        <f>VLOOKUP(E84,Products!$A$2:$E$23,4,0)</f>
        <v>600</v>
      </c>
      <c r="M84" s="2">
        <f>K84*F84-Table1[[#This Row],[discount_amount]]</f>
        <v>1139.05</v>
      </c>
      <c r="N84">
        <f t="shared" si="3"/>
        <v>600</v>
      </c>
      <c r="O84">
        <f t="shared" si="2"/>
        <v>539.04999999999995</v>
      </c>
      <c r="P84">
        <f>Table1[[#This Row],[Quantity]]*Table1[[#This Row],[unit_price]]*Table1[[#This Row],[Discount]]</f>
        <v>59.95</v>
      </c>
      <c r="Q84" t="str">
        <f>VLOOKUP(E84,Products!$A$2:$E$23,2,0)</f>
        <v>Formal Shirt</v>
      </c>
      <c r="R84" t="str">
        <f>VLOOKUP(Table1[[#This Row],[Product ID]],Products!$A$2:$E$23,3,0)</f>
        <v>Clothing</v>
      </c>
      <c r="S84" t="str">
        <f>VLOOKUP(C84,Customers!$A$2:$F$201,4,0)</f>
        <v>Madhya Pradesh</v>
      </c>
      <c r="T84" t="str">
        <f>VLOOKUP(Table1[[#This Row],[Customer ID]],Customers!$A$2:$F$201,5,0)</f>
        <v>Central</v>
      </c>
      <c r="U84" t="str">
        <f>VLOOKUP(Table1[[#This Row],[Customer ID]],Customers!$A$2:$F$201,6,0)</f>
        <v>Consumer</v>
      </c>
      <c r="V84" t="str">
        <f>TEXT(Table1[[#This Row],[Order Date]],"MMM")</f>
        <v>Feb</v>
      </c>
      <c r="W84" t="str">
        <f>TEXT(Table1[[#This Row],[Order Date]],"yyyy")</f>
        <v>2024</v>
      </c>
    </row>
    <row r="85" spans="1:23" x14ac:dyDescent="0.25">
      <c r="A85" s="2" t="s">
        <v>196</v>
      </c>
      <c r="B85" s="4">
        <v>45347</v>
      </c>
      <c r="C85" s="2" t="s">
        <v>197</v>
      </c>
      <c r="D85" s="2" t="str">
        <f>TEXT(Table1[[#This Row],[Order Date]],"mmmm")</f>
        <v>February</v>
      </c>
      <c r="E85" s="2" t="s">
        <v>29</v>
      </c>
      <c r="F85" s="2">
        <v>1</v>
      </c>
      <c r="G85" s="5">
        <v>0</v>
      </c>
      <c r="H85" s="2" t="s">
        <v>30</v>
      </c>
      <c r="I85" s="2" t="s">
        <v>20</v>
      </c>
      <c r="J85" s="2" t="s">
        <v>21</v>
      </c>
      <c r="K85">
        <f>VLOOKUP(E85,Products!$A$2:$E$23,5,0)</f>
        <v>599</v>
      </c>
      <c r="L85">
        <f>VLOOKUP(E85,Products!$A$2:$E$23,4,0)</f>
        <v>350</v>
      </c>
      <c r="M85" s="2">
        <f>K85*F85-Table1[[#This Row],[discount_amount]]</f>
        <v>599</v>
      </c>
      <c r="N85">
        <f t="shared" si="3"/>
        <v>350</v>
      </c>
      <c r="O85">
        <f t="shared" si="2"/>
        <v>249</v>
      </c>
      <c r="P85">
        <f>Table1[[#This Row],[Quantity]]*Table1[[#This Row],[unit_price]]*Table1[[#This Row],[Discount]]</f>
        <v>0</v>
      </c>
      <c r="Q85" t="str">
        <f>VLOOKUP(E85,Products!$A$2:$E$23,2,0)</f>
        <v>USB Flash Drive 64GB</v>
      </c>
      <c r="R85" t="str">
        <f>VLOOKUP(Table1[[#This Row],[Product ID]],Products!$A$2:$E$23,3,0)</f>
        <v>Electronics</v>
      </c>
      <c r="S85" t="str">
        <f>VLOOKUP(C85,Customers!$A$2:$F$201,4,0)</f>
        <v>Madhya Pradesh</v>
      </c>
      <c r="T85" t="str">
        <f>VLOOKUP(Table1[[#This Row],[Customer ID]],Customers!$A$2:$F$201,5,0)</f>
        <v>Central</v>
      </c>
      <c r="U85" t="str">
        <f>VLOOKUP(Table1[[#This Row],[Customer ID]],Customers!$A$2:$F$201,6,0)</f>
        <v>Consumer</v>
      </c>
      <c r="V85" t="str">
        <f>TEXT(Table1[[#This Row],[Order Date]],"MMM")</f>
        <v>Feb</v>
      </c>
      <c r="W85" t="str">
        <f>TEXT(Table1[[#This Row],[Order Date]],"yyyy")</f>
        <v>2024</v>
      </c>
    </row>
    <row r="86" spans="1:23" x14ac:dyDescent="0.25">
      <c r="A86" s="2" t="s">
        <v>198</v>
      </c>
      <c r="B86" s="4">
        <v>45348</v>
      </c>
      <c r="C86" s="2" t="s">
        <v>199</v>
      </c>
      <c r="D86" s="2" t="str">
        <f>TEXT(Table1[[#This Row],[Order Date]],"mmmm")</f>
        <v>February</v>
      </c>
      <c r="E86" s="2" t="s">
        <v>41</v>
      </c>
      <c r="F86" s="2">
        <v>6</v>
      </c>
      <c r="G86" s="5">
        <v>0.15</v>
      </c>
      <c r="H86" s="2" t="s">
        <v>19</v>
      </c>
      <c r="I86" s="2" t="s">
        <v>38</v>
      </c>
      <c r="J86" s="2" t="s">
        <v>79</v>
      </c>
      <c r="K86">
        <f>VLOOKUP(E86,Products!$A$2:$E$23,5,0)</f>
        <v>320</v>
      </c>
      <c r="L86">
        <f>VLOOKUP(E86,Products!$A$2:$E$23,4,0)</f>
        <v>220</v>
      </c>
      <c r="M86" s="2">
        <f>K86*F86-Table1[[#This Row],[discount_amount]]</f>
        <v>1632</v>
      </c>
      <c r="N86">
        <f t="shared" si="3"/>
        <v>1320</v>
      </c>
      <c r="O86">
        <f t="shared" si="2"/>
        <v>312</v>
      </c>
      <c r="P86">
        <f>Table1[[#This Row],[Quantity]]*Table1[[#This Row],[unit_price]]*Table1[[#This Row],[Discount]]</f>
        <v>288</v>
      </c>
      <c r="Q86" t="str">
        <f>VLOOKUP(E86,Products!$A$2:$E$23,2,0)</f>
        <v>A4 Paper Ream</v>
      </c>
      <c r="R86" t="str">
        <f>VLOOKUP(Table1[[#This Row],[Product ID]],Products!$A$2:$E$23,3,0)</f>
        <v>Office Supplies</v>
      </c>
      <c r="S86" t="str">
        <f>VLOOKUP(C86,Customers!$A$2:$F$201,4,0)</f>
        <v>Gujarat</v>
      </c>
      <c r="T86" t="str">
        <f>VLOOKUP(Table1[[#This Row],[Customer ID]],Customers!$A$2:$F$201,5,0)</f>
        <v>West</v>
      </c>
      <c r="U86" t="str">
        <f>VLOOKUP(Table1[[#This Row],[Customer ID]],Customers!$A$2:$F$201,6,0)</f>
        <v>Corporate</v>
      </c>
      <c r="V86" t="str">
        <f>TEXT(Table1[[#This Row],[Order Date]],"MMM")</f>
        <v>Feb</v>
      </c>
      <c r="W86" t="str">
        <f>TEXT(Table1[[#This Row],[Order Date]],"yyyy")</f>
        <v>2024</v>
      </c>
    </row>
    <row r="87" spans="1:23" x14ac:dyDescent="0.25">
      <c r="A87" s="2" t="s">
        <v>200</v>
      </c>
      <c r="B87" s="4">
        <v>45349</v>
      </c>
      <c r="C87" s="2" t="s">
        <v>201</v>
      </c>
      <c r="D87" s="2" t="str">
        <f>TEXT(Table1[[#This Row],[Order Date]],"mmmm")</f>
        <v>February</v>
      </c>
      <c r="E87" s="2" t="s">
        <v>45</v>
      </c>
      <c r="F87" s="2">
        <v>10</v>
      </c>
      <c r="G87" s="5">
        <v>0</v>
      </c>
      <c r="H87" s="2" t="s">
        <v>30</v>
      </c>
      <c r="I87" s="2" t="s">
        <v>46</v>
      </c>
      <c r="J87" s="2" t="s">
        <v>79</v>
      </c>
      <c r="K87">
        <f>VLOOKUP(E87,Products!$A$2:$E$23,5,0)</f>
        <v>899</v>
      </c>
      <c r="L87">
        <f>VLOOKUP(E87,Products!$A$2:$E$23,4,0)</f>
        <v>450</v>
      </c>
      <c r="M87" s="2">
        <f>K87*F87-Table1[[#This Row],[discount_amount]]</f>
        <v>8990</v>
      </c>
      <c r="N87">
        <f t="shared" si="3"/>
        <v>4500</v>
      </c>
      <c r="O87">
        <f t="shared" si="2"/>
        <v>4490</v>
      </c>
      <c r="P87">
        <f>Table1[[#This Row],[Quantity]]*Table1[[#This Row],[unit_price]]*Table1[[#This Row],[Discount]]</f>
        <v>0</v>
      </c>
      <c r="Q87" t="str">
        <f>VLOOKUP(E87,Products!$A$2:$E$23,2,0)</f>
        <v>Track Pants</v>
      </c>
      <c r="R87" t="str">
        <f>VLOOKUP(Table1[[#This Row],[Product ID]],Products!$A$2:$E$23,3,0)</f>
        <v>Clothing</v>
      </c>
      <c r="S87" t="str">
        <f>VLOOKUP(C87,Customers!$A$2:$F$201,4,0)</f>
        <v>Maharashtra</v>
      </c>
      <c r="T87" t="str">
        <f>VLOOKUP(Table1[[#This Row],[Customer ID]],Customers!$A$2:$F$201,5,0)</f>
        <v>Central</v>
      </c>
      <c r="U87" t="str">
        <f>VLOOKUP(Table1[[#This Row],[Customer ID]],Customers!$A$2:$F$201,6,0)</f>
        <v>Corporate</v>
      </c>
      <c r="V87" t="str">
        <f>TEXT(Table1[[#This Row],[Order Date]],"MMM")</f>
        <v>Feb</v>
      </c>
      <c r="W87" t="str">
        <f>TEXT(Table1[[#This Row],[Order Date]],"yyyy")</f>
        <v>2024</v>
      </c>
    </row>
    <row r="88" spans="1:23" x14ac:dyDescent="0.25">
      <c r="A88" s="2" t="s">
        <v>202</v>
      </c>
      <c r="B88" s="4">
        <v>45349</v>
      </c>
      <c r="C88" s="2" t="s">
        <v>203</v>
      </c>
      <c r="D88" s="2" t="str">
        <f>TEXT(Table1[[#This Row],[Order Date]],"mmmm")</f>
        <v>February</v>
      </c>
      <c r="E88" s="2" t="s">
        <v>121</v>
      </c>
      <c r="F88" s="2">
        <v>10</v>
      </c>
      <c r="G88" s="5">
        <v>0</v>
      </c>
      <c r="H88" s="2" t="s">
        <v>30</v>
      </c>
      <c r="I88" s="2" t="s">
        <v>38</v>
      </c>
      <c r="J88" s="2" t="s">
        <v>42</v>
      </c>
      <c r="K88">
        <f>VLOOKUP(E88,Products!$A$2:$E$23,5,0)</f>
        <v>499</v>
      </c>
      <c r="L88">
        <f>VLOOKUP(E88,Products!$A$2:$E$23,4,0)</f>
        <v>250</v>
      </c>
      <c r="M88" s="2">
        <f>K88*F88-Table1[[#This Row],[discount_amount]]</f>
        <v>4990</v>
      </c>
      <c r="N88">
        <f t="shared" si="3"/>
        <v>2500</v>
      </c>
      <c r="O88">
        <f t="shared" si="2"/>
        <v>2490</v>
      </c>
      <c r="P88">
        <f>Table1[[#This Row],[Quantity]]*Table1[[#This Row],[unit_price]]*Table1[[#This Row],[Discount]]</f>
        <v>0</v>
      </c>
      <c r="Q88" t="str">
        <f>VLOOKUP(E88,Products!$A$2:$E$23,2,0)</f>
        <v>Cotton T-Shirt</v>
      </c>
      <c r="R88" t="str">
        <f>VLOOKUP(Table1[[#This Row],[Product ID]],Products!$A$2:$E$23,3,0)</f>
        <v>Clothing</v>
      </c>
      <c r="S88" t="str">
        <f>VLOOKUP(C88,Customers!$A$2:$F$201,4,0)</f>
        <v>Kerala</v>
      </c>
      <c r="T88" t="str">
        <f>VLOOKUP(Table1[[#This Row],[Customer ID]],Customers!$A$2:$F$201,5,0)</f>
        <v>South</v>
      </c>
      <c r="U88" t="str">
        <f>VLOOKUP(Table1[[#This Row],[Customer ID]],Customers!$A$2:$F$201,6,0)</f>
        <v>Corporate</v>
      </c>
      <c r="V88" t="str">
        <f>TEXT(Table1[[#This Row],[Order Date]],"MMM")</f>
        <v>Feb</v>
      </c>
      <c r="W88" t="str">
        <f>TEXT(Table1[[#This Row],[Order Date]],"yyyy")</f>
        <v>2024</v>
      </c>
    </row>
    <row r="89" spans="1:23" x14ac:dyDescent="0.25">
      <c r="A89" s="2" t="s">
        <v>204</v>
      </c>
      <c r="B89" s="4">
        <v>45350</v>
      </c>
      <c r="C89" s="2" t="s">
        <v>205</v>
      </c>
      <c r="D89" s="2" t="str">
        <f>TEXT(Table1[[#This Row],[Order Date]],"mmmm")</f>
        <v>February</v>
      </c>
      <c r="E89" s="2" t="s">
        <v>34</v>
      </c>
      <c r="F89" s="2">
        <v>10</v>
      </c>
      <c r="G89" s="5">
        <v>0.05</v>
      </c>
      <c r="H89" s="2" t="s">
        <v>30</v>
      </c>
      <c r="I89" s="2" t="s">
        <v>46</v>
      </c>
      <c r="J89" s="2" t="s">
        <v>21</v>
      </c>
      <c r="K89">
        <f>VLOOKUP(E89,Products!$A$2:$E$23,5,0)</f>
        <v>4599</v>
      </c>
      <c r="L89">
        <f>VLOOKUP(E89,Products!$A$2:$E$23,4,0)</f>
        <v>3000</v>
      </c>
      <c r="M89" s="2">
        <f>K89*F89-Table1[[#This Row],[discount_amount]]</f>
        <v>43690.5</v>
      </c>
      <c r="N89">
        <f t="shared" si="3"/>
        <v>30000</v>
      </c>
      <c r="O89">
        <f t="shared" si="2"/>
        <v>13690.5</v>
      </c>
      <c r="P89">
        <f>Table1[[#This Row],[Quantity]]*Table1[[#This Row],[unit_price]]*Table1[[#This Row],[Discount]]</f>
        <v>2299.5</v>
      </c>
      <c r="Q89" t="str">
        <f>VLOOKUP(E89,Products!$A$2:$E$23,2,0)</f>
        <v>Filing Cabinet</v>
      </c>
      <c r="R89" t="str">
        <f>VLOOKUP(Table1[[#This Row],[Product ID]],Products!$A$2:$E$23,3,0)</f>
        <v>Furniture</v>
      </c>
      <c r="S89" t="str">
        <f>VLOOKUP(C89,Customers!$A$2:$F$201,4,0)</f>
        <v>Gujarat</v>
      </c>
      <c r="T89" t="str">
        <f>VLOOKUP(Table1[[#This Row],[Customer ID]],Customers!$A$2:$F$201,5,0)</f>
        <v>West</v>
      </c>
      <c r="U89" t="str">
        <f>VLOOKUP(Table1[[#This Row],[Customer ID]],Customers!$A$2:$F$201,6,0)</f>
        <v>Consumer</v>
      </c>
      <c r="V89" t="str">
        <f>TEXT(Table1[[#This Row],[Order Date]],"MMM")</f>
        <v>Feb</v>
      </c>
      <c r="W89" t="str">
        <f>TEXT(Table1[[#This Row],[Order Date]],"yyyy")</f>
        <v>2024</v>
      </c>
    </row>
    <row r="90" spans="1:23" x14ac:dyDescent="0.25">
      <c r="A90" s="2" t="s">
        <v>206</v>
      </c>
      <c r="B90" s="4">
        <v>45353</v>
      </c>
      <c r="C90" s="2" t="s">
        <v>68</v>
      </c>
      <c r="D90" s="2" t="str">
        <f>TEXT(Table1[[#This Row],[Order Date]],"mmmm")</f>
        <v>March</v>
      </c>
      <c r="E90" s="2" t="s">
        <v>54</v>
      </c>
      <c r="F90" s="2">
        <v>2</v>
      </c>
      <c r="G90" s="5">
        <v>0</v>
      </c>
      <c r="H90" s="2" t="s">
        <v>25</v>
      </c>
      <c r="I90" s="2" t="s">
        <v>38</v>
      </c>
      <c r="J90" s="2" t="s">
        <v>94</v>
      </c>
      <c r="K90">
        <f>VLOOKUP(E90,Products!$A$2:$E$23,5,0)</f>
        <v>299</v>
      </c>
      <c r="L90">
        <f>VLOOKUP(E90,Products!$A$2:$E$23,4,0)</f>
        <v>180</v>
      </c>
      <c r="M90" s="2">
        <f>K90*F90-Table1[[#This Row],[discount_amount]]</f>
        <v>598</v>
      </c>
      <c r="N90">
        <f t="shared" si="3"/>
        <v>360</v>
      </c>
      <c r="O90">
        <f t="shared" si="2"/>
        <v>238</v>
      </c>
      <c r="P90">
        <f>Table1[[#This Row],[Quantity]]*Table1[[#This Row],[unit_price]]*Table1[[#This Row],[Discount]]</f>
        <v>0</v>
      </c>
      <c r="Q90" t="str">
        <f>VLOOKUP(E90,Products!$A$2:$E$23,2,0)</f>
        <v>Notebook Pack of 5</v>
      </c>
      <c r="R90" t="str">
        <f>VLOOKUP(Table1[[#This Row],[Product ID]],Products!$A$2:$E$23,3,0)</f>
        <v>Office Supplies</v>
      </c>
      <c r="S90" t="str">
        <f>VLOOKUP(C90,Customers!$A$2:$F$201,4,0)</f>
        <v>Chandigarh</v>
      </c>
      <c r="T90" t="str">
        <f>VLOOKUP(Table1[[#This Row],[Customer ID]],Customers!$A$2:$F$201,5,0)</f>
        <v>North</v>
      </c>
      <c r="U90" t="str">
        <f>VLOOKUP(Table1[[#This Row],[Customer ID]],Customers!$A$2:$F$201,6,0)</f>
        <v>Consumer</v>
      </c>
      <c r="V90" t="str">
        <f>TEXT(Table1[[#This Row],[Order Date]],"MMM")</f>
        <v>Mar</v>
      </c>
      <c r="W90" t="str">
        <f>TEXT(Table1[[#This Row],[Order Date]],"yyyy")</f>
        <v>2024</v>
      </c>
    </row>
    <row r="91" spans="1:23" x14ac:dyDescent="0.25">
      <c r="A91" s="2" t="s">
        <v>207</v>
      </c>
      <c r="B91" s="4">
        <v>45353</v>
      </c>
      <c r="C91" s="2" t="s">
        <v>201</v>
      </c>
      <c r="D91" s="2" t="str">
        <f>TEXT(Table1[[#This Row],[Order Date]],"mmmm")</f>
        <v>March</v>
      </c>
      <c r="E91" s="2" t="s">
        <v>127</v>
      </c>
      <c r="F91" s="2">
        <v>5</v>
      </c>
      <c r="G91" s="5">
        <v>0.05</v>
      </c>
      <c r="H91" s="2" t="s">
        <v>30</v>
      </c>
      <c r="I91" s="2" t="s">
        <v>46</v>
      </c>
      <c r="J91" s="2" t="s">
        <v>94</v>
      </c>
      <c r="K91">
        <f>VLOOKUP(E91,Products!$A$2:$E$23,5,0)</f>
        <v>1999</v>
      </c>
      <c r="L91">
        <f>VLOOKUP(E91,Products!$A$2:$E$23,4,0)</f>
        <v>1200</v>
      </c>
      <c r="M91" s="2">
        <f>K91*F91-Table1[[#This Row],[discount_amount]]</f>
        <v>9495.25</v>
      </c>
      <c r="N91">
        <f t="shared" si="3"/>
        <v>6000</v>
      </c>
      <c r="O91">
        <f t="shared" si="2"/>
        <v>3495.25</v>
      </c>
      <c r="P91">
        <f>Table1[[#This Row],[Quantity]]*Table1[[#This Row],[unit_price]]*Table1[[#This Row],[Discount]]</f>
        <v>499.75</v>
      </c>
      <c r="Q91" t="str">
        <f>VLOOKUP(E91,Products!$A$2:$E$23,2,0)</f>
        <v>Bluetooth Speaker</v>
      </c>
      <c r="R91" t="str">
        <f>VLOOKUP(Table1[[#This Row],[Product ID]],Products!$A$2:$E$23,3,0)</f>
        <v>Electronics</v>
      </c>
      <c r="S91" t="str">
        <f>VLOOKUP(C91,Customers!$A$2:$F$201,4,0)</f>
        <v>Maharashtra</v>
      </c>
      <c r="T91" t="str">
        <f>VLOOKUP(Table1[[#This Row],[Customer ID]],Customers!$A$2:$F$201,5,0)</f>
        <v>Central</v>
      </c>
      <c r="U91" t="str">
        <f>VLOOKUP(Table1[[#This Row],[Customer ID]],Customers!$A$2:$F$201,6,0)</f>
        <v>Corporate</v>
      </c>
      <c r="V91" t="str">
        <f>TEXT(Table1[[#This Row],[Order Date]],"MMM")</f>
        <v>Mar</v>
      </c>
      <c r="W91" t="str">
        <f>TEXT(Table1[[#This Row],[Order Date]],"yyyy")</f>
        <v>2024</v>
      </c>
    </row>
    <row r="92" spans="1:23" x14ac:dyDescent="0.25">
      <c r="A92" s="2" t="s">
        <v>208</v>
      </c>
      <c r="B92" s="4">
        <v>45353</v>
      </c>
      <c r="C92" s="2" t="s">
        <v>209</v>
      </c>
      <c r="D92" s="2" t="str">
        <f>TEXT(Table1[[#This Row],[Order Date]],"mmmm")</f>
        <v>March</v>
      </c>
      <c r="E92" s="2" t="s">
        <v>63</v>
      </c>
      <c r="F92" s="2">
        <v>1</v>
      </c>
      <c r="G92" s="5">
        <v>0.05</v>
      </c>
      <c r="H92" s="2" t="s">
        <v>25</v>
      </c>
      <c r="I92" s="2" t="s">
        <v>38</v>
      </c>
      <c r="J92" s="2" t="s">
        <v>21</v>
      </c>
      <c r="K92">
        <f>VLOOKUP(E92,Products!$A$2:$E$23,5,0)</f>
        <v>5499</v>
      </c>
      <c r="L92">
        <f>VLOOKUP(E92,Products!$A$2:$E$23,4,0)</f>
        <v>3500</v>
      </c>
      <c r="M92" s="2">
        <f>K92*F92-Table1[[#This Row],[discount_amount]]</f>
        <v>5224.05</v>
      </c>
      <c r="N92">
        <f t="shared" si="3"/>
        <v>3500</v>
      </c>
      <c r="O92">
        <f t="shared" si="2"/>
        <v>1724.0500000000002</v>
      </c>
      <c r="P92">
        <f>Table1[[#This Row],[Quantity]]*Table1[[#This Row],[unit_price]]*Table1[[#This Row],[Discount]]</f>
        <v>274.95</v>
      </c>
      <c r="Q92" t="str">
        <f>VLOOKUP(E92,Products!$A$2:$E$23,2,0)</f>
        <v>Office Chair</v>
      </c>
      <c r="R92" t="str">
        <f>VLOOKUP(Table1[[#This Row],[Product ID]],Products!$A$2:$E$23,3,0)</f>
        <v>Furniture</v>
      </c>
      <c r="S92" t="str">
        <f>VLOOKUP(C92,Customers!$A$2:$F$201,4,0)</f>
        <v>Chandigarh</v>
      </c>
      <c r="T92" t="str">
        <f>VLOOKUP(Table1[[#This Row],[Customer ID]],Customers!$A$2:$F$201,5,0)</f>
        <v>North</v>
      </c>
      <c r="U92" t="str">
        <f>VLOOKUP(Table1[[#This Row],[Customer ID]],Customers!$A$2:$F$201,6,0)</f>
        <v>Corporate</v>
      </c>
      <c r="V92" t="str">
        <f>TEXT(Table1[[#This Row],[Order Date]],"MMM")</f>
        <v>Mar</v>
      </c>
      <c r="W92" t="str">
        <f>TEXT(Table1[[#This Row],[Order Date]],"yyyy")</f>
        <v>2024</v>
      </c>
    </row>
    <row r="93" spans="1:23" x14ac:dyDescent="0.25">
      <c r="A93" s="2" t="s">
        <v>210</v>
      </c>
      <c r="B93" s="4">
        <v>45354</v>
      </c>
      <c r="C93" s="2" t="s">
        <v>168</v>
      </c>
      <c r="D93" s="2" t="str">
        <f>TEXT(Table1[[#This Row],[Order Date]],"mmmm")</f>
        <v>March</v>
      </c>
      <c r="E93" s="2" t="s">
        <v>73</v>
      </c>
      <c r="F93" s="2">
        <v>1</v>
      </c>
      <c r="G93" s="5">
        <v>0.05</v>
      </c>
      <c r="H93" s="2" t="s">
        <v>30</v>
      </c>
      <c r="I93" s="2" t="s">
        <v>38</v>
      </c>
      <c r="J93" s="2" t="s">
        <v>21</v>
      </c>
      <c r="K93">
        <f>VLOOKUP(E93,Products!$A$2:$E$23,5,0)</f>
        <v>6499</v>
      </c>
      <c r="L93">
        <f>VLOOKUP(E93,Products!$A$2:$E$23,4,0)</f>
        <v>4200</v>
      </c>
      <c r="M93" s="2">
        <f>K93*F93-Table1[[#This Row],[discount_amount]]</f>
        <v>6174.05</v>
      </c>
      <c r="N93">
        <f t="shared" si="3"/>
        <v>4200</v>
      </c>
      <c r="O93">
        <f t="shared" si="2"/>
        <v>1974.0500000000002</v>
      </c>
      <c r="P93">
        <f>Table1[[#This Row],[Quantity]]*Table1[[#This Row],[unit_price]]*Table1[[#This Row],[Discount]]</f>
        <v>324.95000000000005</v>
      </c>
      <c r="Q93" t="str">
        <f>VLOOKUP(E93,Products!$A$2:$E$23,2,0)</f>
        <v>Study Table</v>
      </c>
      <c r="R93" t="str">
        <f>VLOOKUP(Table1[[#This Row],[Product ID]],Products!$A$2:$E$23,3,0)</f>
        <v>Furniture</v>
      </c>
      <c r="S93" t="str">
        <f>VLOOKUP(C93,Customers!$A$2:$F$201,4,0)</f>
        <v>Delhi</v>
      </c>
      <c r="T93" t="str">
        <f>VLOOKUP(Table1[[#This Row],[Customer ID]],Customers!$A$2:$F$201,5,0)</f>
        <v>North</v>
      </c>
      <c r="U93" t="str">
        <f>VLOOKUP(Table1[[#This Row],[Customer ID]],Customers!$A$2:$F$201,6,0)</f>
        <v>Corporate</v>
      </c>
      <c r="V93" t="str">
        <f>TEXT(Table1[[#This Row],[Order Date]],"MMM")</f>
        <v>Mar</v>
      </c>
      <c r="W93" t="str">
        <f>TEXT(Table1[[#This Row],[Order Date]],"yyyy")</f>
        <v>2024</v>
      </c>
    </row>
    <row r="94" spans="1:23" x14ac:dyDescent="0.25">
      <c r="A94" s="2" t="s">
        <v>211</v>
      </c>
      <c r="B94" s="4">
        <v>45354</v>
      </c>
      <c r="C94" s="2" t="s">
        <v>212</v>
      </c>
      <c r="D94" s="2" t="str">
        <f>TEXT(Table1[[#This Row],[Order Date]],"mmmm")</f>
        <v>March</v>
      </c>
      <c r="E94" s="2" t="s">
        <v>66</v>
      </c>
      <c r="F94" s="2">
        <v>3</v>
      </c>
      <c r="G94" s="5">
        <v>0</v>
      </c>
      <c r="H94" s="2" t="s">
        <v>25</v>
      </c>
      <c r="I94" s="2" t="s">
        <v>26</v>
      </c>
      <c r="J94" s="2" t="s">
        <v>79</v>
      </c>
      <c r="K94">
        <f>VLOOKUP(E94,Products!$A$2:$E$23,5,0)</f>
        <v>1299</v>
      </c>
      <c r="L94">
        <f>VLOOKUP(E94,Products!$A$2:$E$23,4,0)</f>
        <v>800</v>
      </c>
      <c r="M94" s="2">
        <f>K94*F94-Table1[[#This Row],[discount_amount]]</f>
        <v>3897</v>
      </c>
      <c r="N94">
        <f t="shared" si="3"/>
        <v>2400</v>
      </c>
      <c r="O94">
        <f t="shared" si="2"/>
        <v>1497</v>
      </c>
      <c r="P94">
        <f>Table1[[#This Row],[Quantity]]*Table1[[#This Row],[unit_price]]*Table1[[#This Row],[Discount]]</f>
        <v>0</v>
      </c>
      <c r="Q94" t="str">
        <f>VLOOKUP(E94,Products!$A$2:$E$23,2,0)</f>
        <v>Power Bank 10000mAh</v>
      </c>
      <c r="R94" t="str">
        <f>VLOOKUP(Table1[[#This Row],[Product ID]],Products!$A$2:$E$23,3,0)</f>
        <v>Electronics</v>
      </c>
      <c r="S94" t="str">
        <f>VLOOKUP(C94,Customers!$A$2:$F$201,4,0)</f>
        <v>Rajasthan</v>
      </c>
      <c r="T94" t="str">
        <f>VLOOKUP(Table1[[#This Row],[Customer ID]],Customers!$A$2:$F$201,5,0)</f>
        <v>North</v>
      </c>
      <c r="U94" t="str">
        <f>VLOOKUP(Table1[[#This Row],[Customer ID]],Customers!$A$2:$F$201,6,0)</f>
        <v>Corporate</v>
      </c>
      <c r="V94" t="str">
        <f>TEXT(Table1[[#This Row],[Order Date]],"MMM")</f>
        <v>Mar</v>
      </c>
      <c r="W94" t="str">
        <f>TEXT(Table1[[#This Row],[Order Date]],"yyyy")</f>
        <v>2024</v>
      </c>
    </row>
    <row r="95" spans="1:23" x14ac:dyDescent="0.25">
      <c r="A95" s="2" t="s">
        <v>213</v>
      </c>
      <c r="B95" s="4">
        <v>45355</v>
      </c>
      <c r="C95" s="2" t="s">
        <v>214</v>
      </c>
      <c r="D95" s="2" t="str">
        <f>TEXT(Table1[[#This Row],[Order Date]],"mmmm")</f>
        <v>March</v>
      </c>
      <c r="E95" s="2" t="s">
        <v>91</v>
      </c>
      <c r="F95" s="2">
        <v>4</v>
      </c>
      <c r="G95" s="5">
        <v>0</v>
      </c>
      <c r="H95" s="2" t="s">
        <v>25</v>
      </c>
      <c r="I95" s="2" t="s">
        <v>31</v>
      </c>
      <c r="J95" s="2" t="s">
        <v>79</v>
      </c>
      <c r="K95">
        <f>VLOOKUP(E95,Products!$A$2:$E$23,5,0)</f>
        <v>1199</v>
      </c>
      <c r="L95">
        <f>VLOOKUP(E95,Products!$A$2:$E$23,4,0)</f>
        <v>600</v>
      </c>
      <c r="M95" s="2">
        <f>K95*F95-Table1[[#This Row],[discount_amount]]</f>
        <v>4796</v>
      </c>
      <c r="N95">
        <f t="shared" si="3"/>
        <v>2400</v>
      </c>
      <c r="O95">
        <f t="shared" si="2"/>
        <v>2396</v>
      </c>
      <c r="P95">
        <f>Table1[[#This Row],[Quantity]]*Table1[[#This Row],[unit_price]]*Table1[[#This Row],[Discount]]</f>
        <v>0</v>
      </c>
      <c r="Q95" t="str">
        <f>VLOOKUP(E95,Products!$A$2:$E$23,2,0)</f>
        <v>Formal Shirt</v>
      </c>
      <c r="R95" t="str">
        <f>VLOOKUP(Table1[[#This Row],[Product ID]],Products!$A$2:$E$23,3,0)</f>
        <v>Clothing</v>
      </c>
      <c r="S95" t="str">
        <f>VLOOKUP(C95,Customers!$A$2:$F$201,4,0)</f>
        <v>Maharashtra</v>
      </c>
      <c r="T95" t="str">
        <f>VLOOKUP(Table1[[#This Row],[Customer ID]],Customers!$A$2:$F$201,5,0)</f>
        <v>Central</v>
      </c>
      <c r="U95" t="str">
        <f>VLOOKUP(Table1[[#This Row],[Customer ID]],Customers!$A$2:$F$201,6,0)</f>
        <v>Consumer</v>
      </c>
      <c r="V95" t="str">
        <f>TEXT(Table1[[#This Row],[Order Date]],"MMM")</f>
        <v>Mar</v>
      </c>
      <c r="W95" t="str">
        <f>TEXT(Table1[[#This Row],[Order Date]],"yyyy")</f>
        <v>2024</v>
      </c>
    </row>
    <row r="96" spans="1:23" x14ac:dyDescent="0.25">
      <c r="A96" s="2" t="s">
        <v>215</v>
      </c>
      <c r="B96" s="4">
        <v>45356</v>
      </c>
      <c r="C96" s="2" t="s">
        <v>76</v>
      </c>
      <c r="D96" s="2" t="str">
        <f>TEXT(Table1[[#This Row],[Order Date]],"mmmm")</f>
        <v>March</v>
      </c>
      <c r="E96" s="2" t="s">
        <v>73</v>
      </c>
      <c r="F96" s="2">
        <v>3</v>
      </c>
      <c r="G96" s="5">
        <v>0</v>
      </c>
      <c r="H96" s="2" t="s">
        <v>25</v>
      </c>
      <c r="I96" s="2" t="s">
        <v>46</v>
      </c>
      <c r="J96" s="2" t="s">
        <v>21</v>
      </c>
      <c r="K96">
        <f>VLOOKUP(E96,Products!$A$2:$E$23,5,0)</f>
        <v>6499</v>
      </c>
      <c r="L96">
        <f>VLOOKUP(E96,Products!$A$2:$E$23,4,0)</f>
        <v>4200</v>
      </c>
      <c r="M96" s="2">
        <f>K96*F96-Table1[[#This Row],[discount_amount]]</f>
        <v>19497</v>
      </c>
      <c r="N96">
        <f t="shared" si="3"/>
        <v>12600</v>
      </c>
      <c r="O96">
        <f t="shared" si="2"/>
        <v>6897</v>
      </c>
      <c r="P96">
        <f>Table1[[#This Row],[Quantity]]*Table1[[#This Row],[unit_price]]*Table1[[#This Row],[Discount]]</f>
        <v>0</v>
      </c>
      <c r="Q96" t="str">
        <f>VLOOKUP(E96,Products!$A$2:$E$23,2,0)</f>
        <v>Study Table</v>
      </c>
      <c r="R96" t="str">
        <f>VLOOKUP(Table1[[#This Row],[Product ID]],Products!$A$2:$E$23,3,0)</f>
        <v>Furniture</v>
      </c>
      <c r="S96" t="str">
        <f>VLOOKUP(C96,Customers!$A$2:$F$201,4,0)</f>
        <v>West Bengal</v>
      </c>
      <c r="T96" t="str">
        <f>VLOOKUP(Table1[[#This Row],[Customer ID]],Customers!$A$2:$F$201,5,0)</f>
        <v>East</v>
      </c>
      <c r="U96" t="str">
        <f>VLOOKUP(Table1[[#This Row],[Customer ID]],Customers!$A$2:$F$201,6,0)</f>
        <v>Corporate</v>
      </c>
      <c r="V96" t="str">
        <f>TEXT(Table1[[#This Row],[Order Date]],"MMM")</f>
        <v>Mar</v>
      </c>
      <c r="W96" t="str">
        <f>TEXT(Table1[[#This Row],[Order Date]],"yyyy")</f>
        <v>2024</v>
      </c>
    </row>
    <row r="97" spans="1:23" x14ac:dyDescent="0.25">
      <c r="A97" s="2" t="s">
        <v>216</v>
      </c>
      <c r="B97" s="4">
        <v>45356</v>
      </c>
      <c r="C97" s="2" t="s">
        <v>217</v>
      </c>
      <c r="D97" s="2" t="str">
        <f>TEXT(Table1[[#This Row],[Order Date]],"mmmm")</f>
        <v>March</v>
      </c>
      <c r="E97" s="2" t="s">
        <v>57</v>
      </c>
      <c r="F97" s="2">
        <v>5</v>
      </c>
      <c r="G97" s="5">
        <v>0.05</v>
      </c>
      <c r="H97" s="2" t="s">
        <v>19</v>
      </c>
      <c r="I97" s="2" t="s">
        <v>20</v>
      </c>
      <c r="J97" s="2" t="s">
        <v>21</v>
      </c>
      <c r="K97">
        <f>VLOOKUP(E97,Products!$A$2:$E$23,5,0)</f>
        <v>1599</v>
      </c>
      <c r="L97">
        <f>VLOOKUP(E97,Products!$A$2:$E$23,4,0)</f>
        <v>800</v>
      </c>
      <c r="M97" s="2">
        <f>K97*F97-Table1[[#This Row],[discount_amount]]</f>
        <v>7595.25</v>
      </c>
      <c r="N97">
        <f t="shared" si="3"/>
        <v>4000</v>
      </c>
      <c r="O97">
        <f t="shared" si="2"/>
        <v>3595.25</v>
      </c>
      <c r="P97">
        <f>Table1[[#This Row],[Quantity]]*Table1[[#This Row],[unit_price]]*Table1[[#This Row],[Discount]]</f>
        <v>399.75</v>
      </c>
      <c r="Q97" t="str">
        <f>VLOOKUP(E97,Products!$A$2:$E$23,2,0)</f>
        <v>Hoodie</v>
      </c>
      <c r="R97" t="str">
        <f>VLOOKUP(Table1[[#This Row],[Product ID]],Products!$A$2:$E$23,3,0)</f>
        <v>Clothing</v>
      </c>
      <c r="S97" t="str">
        <f>VLOOKUP(C97,Customers!$A$2:$F$201,4,0)</f>
        <v>Madhya Pradesh</v>
      </c>
      <c r="T97" t="str">
        <f>VLOOKUP(Table1[[#This Row],[Customer ID]],Customers!$A$2:$F$201,5,0)</f>
        <v>Central</v>
      </c>
      <c r="U97" t="str">
        <f>VLOOKUP(Table1[[#This Row],[Customer ID]],Customers!$A$2:$F$201,6,0)</f>
        <v>Corporate</v>
      </c>
      <c r="V97" t="str">
        <f>TEXT(Table1[[#This Row],[Order Date]],"MMM")</f>
        <v>Mar</v>
      </c>
      <c r="W97" t="str">
        <f>TEXT(Table1[[#This Row],[Order Date]],"yyyy")</f>
        <v>2024</v>
      </c>
    </row>
    <row r="98" spans="1:23" x14ac:dyDescent="0.25">
      <c r="A98" s="2" t="s">
        <v>218</v>
      </c>
      <c r="B98" s="4">
        <v>45356</v>
      </c>
      <c r="C98" s="2" t="s">
        <v>219</v>
      </c>
      <c r="D98" s="2" t="str">
        <f>TEXT(Table1[[#This Row],[Order Date]],"mmmm")</f>
        <v>March</v>
      </c>
      <c r="E98" s="2" t="s">
        <v>60</v>
      </c>
      <c r="F98" s="2">
        <v>5</v>
      </c>
      <c r="G98" s="5">
        <v>0.05</v>
      </c>
      <c r="H98" s="2" t="s">
        <v>30</v>
      </c>
      <c r="I98" s="2" t="s">
        <v>31</v>
      </c>
      <c r="J98" s="2" t="s">
        <v>21</v>
      </c>
      <c r="K98">
        <f>VLOOKUP(E98,Products!$A$2:$E$23,5,0)</f>
        <v>449</v>
      </c>
      <c r="L98">
        <f>VLOOKUP(E98,Products!$A$2:$E$23,4,0)</f>
        <v>260</v>
      </c>
      <c r="M98" s="2">
        <f>K98*F98-Table1[[#This Row],[discount_amount]]</f>
        <v>2132.75</v>
      </c>
      <c r="N98">
        <f t="shared" si="3"/>
        <v>1300</v>
      </c>
      <c r="O98">
        <f t="shared" si="2"/>
        <v>832.75</v>
      </c>
      <c r="P98">
        <f>Table1[[#This Row],[Quantity]]*Table1[[#This Row],[unit_price]]*Table1[[#This Row],[Discount]]</f>
        <v>112.25</v>
      </c>
      <c r="Q98" t="str">
        <f>VLOOKUP(E98,Products!$A$2:$E$23,2,0)</f>
        <v>Desk Organizer</v>
      </c>
      <c r="R98" t="str">
        <f>VLOOKUP(Table1[[#This Row],[Product ID]],Products!$A$2:$E$23,3,0)</f>
        <v>Office Supplies</v>
      </c>
      <c r="S98" t="str">
        <f>VLOOKUP(C98,Customers!$A$2:$F$201,4,0)</f>
        <v>Gujarat</v>
      </c>
      <c r="T98" t="str">
        <f>VLOOKUP(Table1[[#This Row],[Customer ID]],Customers!$A$2:$F$201,5,0)</f>
        <v>West</v>
      </c>
      <c r="U98" t="str">
        <f>VLOOKUP(Table1[[#This Row],[Customer ID]],Customers!$A$2:$F$201,6,0)</f>
        <v>Consumer</v>
      </c>
      <c r="V98" t="str">
        <f>TEXT(Table1[[#This Row],[Order Date]],"MMM")</f>
        <v>Mar</v>
      </c>
      <c r="W98" t="str">
        <f>TEXT(Table1[[#This Row],[Order Date]],"yyyy")</f>
        <v>2024</v>
      </c>
    </row>
    <row r="99" spans="1:23" x14ac:dyDescent="0.25">
      <c r="A99" s="2" t="s">
        <v>220</v>
      </c>
      <c r="B99" s="4">
        <v>45357</v>
      </c>
      <c r="C99" s="2" t="s">
        <v>221</v>
      </c>
      <c r="D99" s="2" t="str">
        <f>TEXT(Table1[[#This Row],[Order Date]],"mmmm")</f>
        <v>March</v>
      </c>
      <c r="E99" s="2" t="s">
        <v>111</v>
      </c>
      <c r="F99" s="2">
        <v>2</v>
      </c>
      <c r="G99" s="5">
        <v>0</v>
      </c>
      <c r="H99" s="2" t="s">
        <v>19</v>
      </c>
      <c r="I99" s="2" t="s">
        <v>38</v>
      </c>
      <c r="J99" s="2" t="s">
        <v>21</v>
      </c>
      <c r="K99">
        <f>VLOOKUP(E99,Products!$A$2:$E$23,5,0)</f>
        <v>240</v>
      </c>
      <c r="L99">
        <f>VLOOKUP(E99,Products!$A$2:$E$23,4,0)</f>
        <v>140</v>
      </c>
      <c r="M99" s="2">
        <f>K99*F99-Table1[[#This Row],[discount_amount]]</f>
        <v>480</v>
      </c>
      <c r="N99">
        <f t="shared" si="3"/>
        <v>280</v>
      </c>
      <c r="O99">
        <f t="shared" si="2"/>
        <v>200</v>
      </c>
      <c r="P99">
        <f>Table1[[#This Row],[Quantity]]*Table1[[#This Row],[unit_price]]*Table1[[#This Row],[Discount]]</f>
        <v>0</v>
      </c>
      <c r="Q99" t="str">
        <f>VLOOKUP(E99,Products!$A$2:$E$23,2,0)</f>
        <v>Whiteboard Marker Set</v>
      </c>
      <c r="R99" t="str">
        <f>VLOOKUP(Table1[[#This Row],[Product ID]],Products!$A$2:$E$23,3,0)</f>
        <v>Office Supplies</v>
      </c>
      <c r="S99" t="str">
        <f>VLOOKUP(C99,Customers!$A$2:$F$201,4,0)</f>
        <v>Madhya Pradesh</v>
      </c>
      <c r="T99" t="str">
        <f>VLOOKUP(Table1[[#This Row],[Customer ID]],Customers!$A$2:$F$201,5,0)</f>
        <v>Central</v>
      </c>
      <c r="U99" t="str">
        <f>VLOOKUP(Table1[[#This Row],[Customer ID]],Customers!$A$2:$F$201,6,0)</f>
        <v>Home Office</v>
      </c>
      <c r="V99" t="str">
        <f>TEXT(Table1[[#This Row],[Order Date]],"MMM")</f>
        <v>Mar</v>
      </c>
      <c r="W99" t="str">
        <f>TEXT(Table1[[#This Row],[Order Date]],"yyyy")</f>
        <v>2024</v>
      </c>
    </row>
    <row r="100" spans="1:23" x14ac:dyDescent="0.25">
      <c r="A100" s="2" t="s">
        <v>222</v>
      </c>
      <c r="B100" s="4">
        <v>45358</v>
      </c>
      <c r="C100" s="2" t="s">
        <v>76</v>
      </c>
      <c r="D100" s="2" t="str">
        <f>TEXT(Table1[[#This Row],[Order Date]],"mmmm")</f>
        <v>March</v>
      </c>
      <c r="E100" s="2" t="s">
        <v>121</v>
      </c>
      <c r="F100" s="2">
        <v>5</v>
      </c>
      <c r="G100" s="5">
        <v>0.05</v>
      </c>
      <c r="H100" s="2" t="s">
        <v>30</v>
      </c>
      <c r="I100" s="2" t="s">
        <v>26</v>
      </c>
      <c r="J100" s="2" t="s">
        <v>21</v>
      </c>
      <c r="K100">
        <f>VLOOKUP(E100,Products!$A$2:$E$23,5,0)</f>
        <v>499</v>
      </c>
      <c r="L100">
        <f>VLOOKUP(E100,Products!$A$2:$E$23,4,0)</f>
        <v>250</v>
      </c>
      <c r="M100" s="2">
        <f>K100*F100-Table1[[#This Row],[discount_amount]]</f>
        <v>2370.25</v>
      </c>
      <c r="N100">
        <f t="shared" si="3"/>
        <v>1250</v>
      </c>
      <c r="O100">
        <f t="shared" si="2"/>
        <v>1120.25</v>
      </c>
      <c r="P100">
        <f>Table1[[#This Row],[Quantity]]*Table1[[#This Row],[unit_price]]*Table1[[#This Row],[Discount]]</f>
        <v>124.75</v>
      </c>
      <c r="Q100" t="str">
        <f>VLOOKUP(E100,Products!$A$2:$E$23,2,0)</f>
        <v>Cotton T-Shirt</v>
      </c>
      <c r="R100" t="str">
        <f>VLOOKUP(Table1[[#This Row],[Product ID]],Products!$A$2:$E$23,3,0)</f>
        <v>Clothing</v>
      </c>
      <c r="S100" t="str">
        <f>VLOOKUP(C100,Customers!$A$2:$F$201,4,0)</f>
        <v>West Bengal</v>
      </c>
      <c r="T100" t="str">
        <f>VLOOKUP(Table1[[#This Row],[Customer ID]],Customers!$A$2:$F$201,5,0)</f>
        <v>East</v>
      </c>
      <c r="U100" t="str">
        <f>VLOOKUP(Table1[[#This Row],[Customer ID]],Customers!$A$2:$F$201,6,0)</f>
        <v>Corporate</v>
      </c>
      <c r="V100" t="str">
        <f>TEXT(Table1[[#This Row],[Order Date]],"MMM")</f>
        <v>Mar</v>
      </c>
      <c r="W100" t="str">
        <f>TEXT(Table1[[#This Row],[Order Date]],"yyyy")</f>
        <v>2024</v>
      </c>
    </row>
    <row r="101" spans="1:23" x14ac:dyDescent="0.25">
      <c r="A101" s="2" t="s">
        <v>223</v>
      </c>
      <c r="B101" s="4">
        <v>45359</v>
      </c>
      <c r="C101" s="2" t="s">
        <v>224</v>
      </c>
      <c r="D101" s="2" t="str">
        <f>TEXT(Table1[[#This Row],[Order Date]],"mmmm")</f>
        <v>March</v>
      </c>
      <c r="E101" s="2" t="s">
        <v>63</v>
      </c>
      <c r="F101" s="2">
        <v>1</v>
      </c>
      <c r="G101" s="5">
        <v>0.15</v>
      </c>
      <c r="H101" s="2" t="s">
        <v>30</v>
      </c>
      <c r="I101" s="2" t="s">
        <v>31</v>
      </c>
      <c r="J101" s="2" t="s">
        <v>21</v>
      </c>
      <c r="K101">
        <f>VLOOKUP(E101,Products!$A$2:$E$23,5,0)</f>
        <v>5499</v>
      </c>
      <c r="L101">
        <f>VLOOKUP(E101,Products!$A$2:$E$23,4,0)</f>
        <v>3500</v>
      </c>
      <c r="M101" s="2">
        <f>K101*F101-Table1[[#This Row],[discount_amount]]</f>
        <v>4674.1499999999996</v>
      </c>
      <c r="N101">
        <f t="shared" si="3"/>
        <v>3500</v>
      </c>
      <c r="O101">
        <f t="shared" si="2"/>
        <v>1174.1499999999996</v>
      </c>
      <c r="P101">
        <f>Table1[[#This Row],[Quantity]]*Table1[[#This Row],[unit_price]]*Table1[[#This Row],[Discount]]</f>
        <v>824.85</v>
      </c>
      <c r="Q101" t="str">
        <f>VLOOKUP(E101,Products!$A$2:$E$23,2,0)</f>
        <v>Office Chair</v>
      </c>
      <c r="R101" t="str">
        <f>VLOOKUP(Table1[[#This Row],[Product ID]],Products!$A$2:$E$23,3,0)</f>
        <v>Furniture</v>
      </c>
      <c r="S101" t="str">
        <f>VLOOKUP(C101,Customers!$A$2:$F$201,4,0)</f>
        <v>Uttar Pradesh</v>
      </c>
      <c r="T101" t="str">
        <f>VLOOKUP(Table1[[#This Row],[Customer ID]],Customers!$A$2:$F$201,5,0)</f>
        <v>North</v>
      </c>
      <c r="U101" t="str">
        <f>VLOOKUP(Table1[[#This Row],[Customer ID]],Customers!$A$2:$F$201,6,0)</f>
        <v>Consumer</v>
      </c>
      <c r="V101" t="str">
        <f>TEXT(Table1[[#This Row],[Order Date]],"MMM")</f>
        <v>Mar</v>
      </c>
      <c r="W101" t="str">
        <f>TEXT(Table1[[#This Row],[Order Date]],"yyyy")</f>
        <v>2024</v>
      </c>
    </row>
    <row r="102" spans="1:23" x14ac:dyDescent="0.25">
      <c r="A102" s="2" t="s">
        <v>225</v>
      </c>
      <c r="B102" s="4">
        <v>45359</v>
      </c>
      <c r="C102" s="2" t="s">
        <v>226</v>
      </c>
      <c r="D102" s="2" t="str">
        <f>TEXT(Table1[[#This Row],[Order Date]],"mmmm")</f>
        <v>March</v>
      </c>
      <c r="E102" s="2" t="s">
        <v>63</v>
      </c>
      <c r="F102" s="2">
        <v>3</v>
      </c>
      <c r="G102" s="5">
        <v>0</v>
      </c>
      <c r="H102" s="2" t="s">
        <v>30</v>
      </c>
      <c r="I102" s="2" t="s">
        <v>38</v>
      </c>
      <c r="J102" s="2" t="s">
        <v>21</v>
      </c>
      <c r="K102">
        <f>VLOOKUP(E102,Products!$A$2:$E$23,5,0)</f>
        <v>5499</v>
      </c>
      <c r="L102">
        <f>VLOOKUP(E102,Products!$A$2:$E$23,4,0)</f>
        <v>3500</v>
      </c>
      <c r="M102" s="2">
        <f>K102*F102-Table1[[#This Row],[discount_amount]]</f>
        <v>16497</v>
      </c>
      <c r="N102">
        <f t="shared" si="3"/>
        <v>10500</v>
      </c>
      <c r="O102">
        <f t="shared" si="2"/>
        <v>5997</v>
      </c>
      <c r="P102">
        <f>Table1[[#This Row],[Quantity]]*Table1[[#This Row],[unit_price]]*Table1[[#This Row],[Discount]]</f>
        <v>0</v>
      </c>
      <c r="Q102" t="str">
        <f>VLOOKUP(E102,Products!$A$2:$E$23,2,0)</f>
        <v>Office Chair</v>
      </c>
      <c r="R102" t="str">
        <f>VLOOKUP(Table1[[#This Row],[Product ID]],Products!$A$2:$E$23,3,0)</f>
        <v>Furniture</v>
      </c>
      <c r="S102" t="str">
        <f>VLOOKUP(C102,Customers!$A$2:$F$201,4,0)</f>
        <v>Gujarat</v>
      </c>
      <c r="T102" t="str">
        <f>VLOOKUP(Table1[[#This Row],[Customer ID]],Customers!$A$2:$F$201,5,0)</f>
        <v>West</v>
      </c>
      <c r="U102" t="str">
        <f>VLOOKUP(Table1[[#This Row],[Customer ID]],Customers!$A$2:$F$201,6,0)</f>
        <v>Consumer</v>
      </c>
      <c r="V102" t="str">
        <f>TEXT(Table1[[#This Row],[Order Date]],"MMM")</f>
        <v>Mar</v>
      </c>
      <c r="W102" t="str">
        <f>TEXT(Table1[[#This Row],[Order Date]],"yyyy")</f>
        <v>2024</v>
      </c>
    </row>
    <row r="103" spans="1:23" x14ac:dyDescent="0.25">
      <c r="A103" s="2" t="s">
        <v>227</v>
      </c>
      <c r="B103" s="4">
        <v>45360</v>
      </c>
      <c r="C103" s="2" t="s">
        <v>228</v>
      </c>
      <c r="D103" s="2" t="str">
        <f>TEXT(Table1[[#This Row],[Order Date]],"mmmm")</f>
        <v>March</v>
      </c>
      <c r="E103" s="2" t="s">
        <v>63</v>
      </c>
      <c r="F103" s="2">
        <v>10</v>
      </c>
      <c r="G103" s="5">
        <v>0</v>
      </c>
      <c r="H103" s="2" t="s">
        <v>19</v>
      </c>
      <c r="I103" s="2" t="s">
        <v>26</v>
      </c>
      <c r="J103" s="2" t="s">
        <v>21</v>
      </c>
      <c r="K103">
        <f>VLOOKUP(E103,Products!$A$2:$E$23,5,0)</f>
        <v>5499</v>
      </c>
      <c r="L103">
        <f>VLOOKUP(E103,Products!$A$2:$E$23,4,0)</f>
        <v>3500</v>
      </c>
      <c r="M103" s="2">
        <f>K103*F103-Table1[[#This Row],[discount_amount]]</f>
        <v>54990</v>
      </c>
      <c r="N103">
        <f t="shared" si="3"/>
        <v>35000</v>
      </c>
      <c r="O103">
        <f t="shared" si="2"/>
        <v>19990</v>
      </c>
      <c r="P103">
        <f>Table1[[#This Row],[Quantity]]*Table1[[#This Row],[unit_price]]*Table1[[#This Row],[Discount]]</f>
        <v>0</v>
      </c>
      <c r="Q103" t="str">
        <f>VLOOKUP(E103,Products!$A$2:$E$23,2,0)</f>
        <v>Office Chair</v>
      </c>
      <c r="R103" t="str">
        <f>VLOOKUP(Table1[[#This Row],[Product ID]],Products!$A$2:$E$23,3,0)</f>
        <v>Furniture</v>
      </c>
      <c r="S103" t="str">
        <f>VLOOKUP(C103,Customers!$A$2:$F$201,4,0)</f>
        <v>Odisha</v>
      </c>
      <c r="T103" t="str">
        <f>VLOOKUP(Table1[[#This Row],[Customer ID]],Customers!$A$2:$F$201,5,0)</f>
        <v>East</v>
      </c>
      <c r="U103" t="str">
        <f>VLOOKUP(Table1[[#This Row],[Customer ID]],Customers!$A$2:$F$201,6,0)</f>
        <v>Consumer</v>
      </c>
      <c r="V103" t="str">
        <f>TEXT(Table1[[#This Row],[Order Date]],"MMM")</f>
        <v>Mar</v>
      </c>
      <c r="W103" t="str">
        <f>TEXT(Table1[[#This Row],[Order Date]],"yyyy")</f>
        <v>2024</v>
      </c>
    </row>
    <row r="104" spans="1:23" x14ac:dyDescent="0.25">
      <c r="A104" s="2" t="s">
        <v>229</v>
      </c>
      <c r="B104" s="4">
        <v>45361</v>
      </c>
      <c r="C104" s="2" t="s">
        <v>158</v>
      </c>
      <c r="D104" s="2" t="str">
        <f>TEXT(Table1[[#This Row],[Order Date]],"mmmm")</f>
        <v>March</v>
      </c>
      <c r="E104" s="2" t="s">
        <v>49</v>
      </c>
      <c r="F104" s="2">
        <v>2</v>
      </c>
      <c r="G104" s="5">
        <v>0.2</v>
      </c>
      <c r="H104" s="2" t="s">
        <v>19</v>
      </c>
      <c r="I104" s="2" t="s">
        <v>46</v>
      </c>
      <c r="J104" s="2" t="s">
        <v>21</v>
      </c>
      <c r="K104">
        <f>VLOOKUP(E104,Products!$A$2:$E$23,5,0)</f>
        <v>700</v>
      </c>
      <c r="L104">
        <f>VLOOKUP(E104,Products!$A$2:$E$23,4,0)</f>
        <v>450</v>
      </c>
      <c r="M104" s="2">
        <f>K104*F104-Table1[[#This Row],[discount_amount]]</f>
        <v>1120</v>
      </c>
      <c r="N104">
        <f t="shared" si="3"/>
        <v>900</v>
      </c>
      <c r="O104">
        <f t="shared" si="2"/>
        <v>220</v>
      </c>
      <c r="P104">
        <f>Table1[[#This Row],[Quantity]]*Table1[[#This Row],[unit_price]]*Table1[[#This Row],[Discount]]</f>
        <v>280</v>
      </c>
      <c r="Q104" t="str">
        <f>VLOOKUP(E104,Products!$A$2:$E$23,2,0)</f>
        <v>Wireless Mouse</v>
      </c>
      <c r="R104" t="str">
        <f>VLOOKUP(Table1[[#This Row],[Product ID]],Products!$A$2:$E$23,3,0)</f>
        <v>Electronics</v>
      </c>
      <c r="S104" t="str">
        <f>VLOOKUP(C104,Customers!$A$2:$F$201,4,0)</f>
        <v>Kerala</v>
      </c>
      <c r="T104" t="str">
        <f>VLOOKUP(Table1[[#This Row],[Customer ID]],Customers!$A$2:$F$201,5,0)</f>
        <v>South</v>
      </c>
      <c r="U104" t="str">
        <f>VLOOKUP(Table1[[#This Row],[Customer ID]],Customers!$A$2:$F$201,6,0)</f>
        <v>Consumer</v>
      </c>
      <c r="V104" t="str">
        <f>TEXT(Table1[[#This Row],[Order Date]],"MMM")</f>
        <v>Mar</v>
      </c>
      <c r="W104" t="str">
        <f>TEXT(Table1[[#This Row],[Order Date]],"yyyy")</f>
        <v>2024</v>
      </c>
    </row>
    <row r="105" spans="1:23" x14ac:dyDescent="0.25">
      <c r="A105" s="2" t="s">
        <v>230</v>
      </c>
      <c r="B105" s="4">
        <v>45361</v>
      </c>
      <c r="C105" s="2" t="s">
        <v>231</v>
      </c>
      <c r="D105" s="2" t="str">
        <f>TEXT(Table1[[#This Row],[Order Date]],"mmmm")</f>
        <v>March</v>
      </c>
      <c r="E105" s="2" t="s">
        <v>37</v>
      </c>
      <c r="F105" s="2">
        <v>2</v>
      </c>
      <c r="G105" s="5">
        <v>0</v>
      </c>
      <c r="H105" s="2" t="s">
        <v>19</v>
      </c>
      <c r="I105" s="2" t="s">
        <v>26</v>
      </c>
      <c r="J105" s="2" t="s">
        <v>21</v>
      </c>
      <c r="K105">
        <f>VLOOKUP(E105,Products!$A$2:$E$23,5,0)</f>
        <v>1799</v>
      </c>
      <c r="L105">
        <f>VLOOKUP(E105,Products!$A$2:$E$23,4,0)</f>
        <v>900</v>
      </c>
      <c r="M105" s="2">
        <f>K105*F105-Table1[[#This Row],[discount_amount]]</f>
        <v>3598</v>
      </c>
      <c r="N105">
        <f t="shared" si="3"/>
        <v>1800</v>
      </c>
      <c r="O105">
        <f t="shared" si="2"/>
        <v>1798</v>
      </c>
      <c r="P105">
        <f>Table1[[#This Row],[Quantity]]*Table1[[#This Row],[unit_price]]*Table1[[#This Row],[Discount]]</f>
        <v>0</v>
      </c>
      <c r="Q105" t="str">
        <f>VLOOKUP(E105,Products!$A$2:$E$23,2,0)</f>
        <v>Denim Jeans</v>
      </c>
      <c r="R105" t="str">
        <f>VLOOKUP(Table1[[#This Row],[Product ID]],Products!$A$2:$E$23,3,0)</f>
        <v>Clothing</v>
      </c>
      <c r="S105" t="str">
        <f>VLOOKUP(C105,Customers!$A$2:$F$201,4,0)</f>
        <v>Bihar</v>
      </c>
      <c r="T105" t="str">
        <f>VLOOKUP(Table1[[#This Row],[Customer ID]],Customers!$A$2:$F$201,5,0)</f>
        <v>East</v>
      </c>
      <c r="U105" t="str">
        <f>VLOOKUP(Table1[[#This Row],[Customer ID]],Customers!$A$2:$F$201,6,0)</f>
        <v>Corporate</v>
      </c>
      <c r="V105" t="str">
        <f>TEXT(Table1[[#This Row],[Order Date]],"MMM")</f>
        <v>Mar</v>
      </c>
      <c r="W105" t="str">
        <f>TEXT(Table1[[#This Row],[Order Date]],"yyyy")</f>
        <v>2024</v>
      </c>
    </row>
    <row r="106" spans="1:23" x14ac:dyDescent="0.25">
      <c r="A106" s="2" t="s">
        <v>232</v>
      </c>
      <c r="B106" s="4">
        <v>45361</v>
      </c>
      <c r="C106" s="2" t="s">
        <v>78</v>
      </c>
      <c r="D106" s="2" t="str">
        <f>TEXT(Table1[[#This Row],[Order Date]],"mmmm")</f>
        <v>March</v>
      </c>
      <c r="E106" s="2" t="s">
        <v>118</v>
      </c>
      <c r="F106" s="2">
        <v>10</v>
      </c>
      <c r="G106" s="5">
        <v>0.05</v>
      </c>
      <c r="H106" s="2" t="s">
        <v>19</v>
      </c>
      <c r="I106" s="2" t="s">
        <v>31</v>
      </c>
      <c r="J106" s="2" t="s">
        <v>21</v>
      </c>
      <c r="K106">
        <f>VLOOKUP(E106,Products!$A$2:$E$23,5,0)</f>
        <v>150</v>
      </c>
      <c r="L106">
        <f>VLOOKUP(E106,Products!$A$2:$E$23,4,0)</f>
        <v>90</v>
      </c>
      <c r="M106" s="2">
        <f>K106*F106-Table1[[#This Row],[discount_amount]]</f>
        <v>1425</v>
      </c>
      <c r="N106">
        <f t="shared" si="3"/>
        <v>900</v>
      </c>
      <c r="O106">
        <f t="shared" si="2"/>
        <v>525</v>
      </c>
      <c r="P106">
        <f>Table1[[#This Row],[Quantity]]*Table1[[#This Row],[unit_price]]*Table1[[#This Row],[Discount]]</f>
        <v>75</v>
      </c>
      <c r="Q106" t="str">
        <f>VLOOKUP(E106,Products!$A$2:$E$23,2,0)</f>
        <v>Gel Pen Box</v>
      </c>
      <c r="R106" t="str">
        <f>VLOOKUP(Table1[[#This Row],[Product ID]],Products!$A$2:$E$23,3,0)</f>
        <v>Office Supplies</v>
      </c>
      <c r="S106" t="str">
        <f>VLOOKUP(C106,Customers!$A$2:$F$201,4,0)</f>
        <v>Kerala</v>
      </c>
      <c r="T106" t="str">
        <f>VLOOKUP(Table1[[#This Row],[Customer ID]],Customers!$A$2:$F$201,5,0)</f>
        <v>South</v>
      </c>
      <c r="U106" t="str">
        <f>VLOOKUP(Table1[[#This Row],[Customer ID]],Customers!$A$2:$F$201,6,0)</f>
        <v>Corporate</v>
      </c>
      <c r="V106" t="str">
        <f>TEXT(Table1[[#This Row],[Order Date]],"MMM")</f>
        <v>Mar</v>
      </c>
      <c r="W106" t="str">
        <f>TEXT(Table1[[#This Row],[Order Date]],"yyyy")</f>
        <v>2024</v>
      </c>
    </row>
    <row r="107" spans="1:23" x14ac:dyDescent="0.25">
      <c r="A107" s="2" t="s">
        <v>233</v>
      </c>
      <c r="B107" s="4">
        <v>45362</v>
      </c>
      <c r="C107" s="2" t="s">
        <v>78</v>
      </c>
      <c r="D107" s="2" t="str">
        <f>TEXT(Table1[[#This Row],[Order Date]],"mmmm")</f>
        <v>March</v>
      </c>
      <c r="E107" s="2" t="s">
        <v>111</v>
      </c>
      <c r="F107" s="2">
        <v>1</v>
      </c>
      <c r="G107" s="5">
        <v>0.1</v>
      </c>
      <c r="H107" s="2" t="s">
        <v>19</v>
      </c>
      <c r="I107" s="2" t="s">
        <v>46</v>
      </c>
      <c r="J107" s="2" t="s">
        <v>21</v>
      </c>
      <c r="K107">
        <f>VLOOKUP(E107,Products!$A$2:$E$23,5,0)</f>
        <v>240</v>
      </c>
      <c r="L107">
        <f>VLOOKUP(E107,Products!$A$2:$E$23,4,0)</f>
        <v>140</v>
      </c>
      <c r="M107" s="2">
        <f>K107*F107-Table1[[#This Row],[discount_amount]]</f>
        <v>216</v>
      </c>
      <c r="N107">
        <f t="shared" si="3"/>
        <v>140</v>
      </c>
      <c r="O107">
        <f t="shared" si="2"/>
        <v>76</v>
      </c>
      <c r="P107">
        <f>Table1[[#This Row],[Quantity]]*Table1[[#This Row],[unit_price]]*Table1[[#This Row],[Discount]]</f>
        <v>24</v>
      </c>
      <c r="Q107" t="str">
        <f>VLOOKUP(E107,Products!$A$2:$E$23,2,0)</f>
        <v>Whiteboard Marker Set</v>
      </c>
      <c r="R107" t="str">
        <f>VLOOKUP(Table1[[#This Row],[Product ID]],Products!$A$2:$E$23,3,0)</f>
        <v>Office Supplies</v>
      </c>
      <c r="S107" t="str">
        <f>VLOOKUP(C107,Customers!$A$2:$F$201,4,0)</f>
        <v>Kerala</v>
      </c>
      <c r="T107" t="str">
        <f>VLOOKUP(Table1[[#This Row],[Customer ID]],Customers!$A$2:$F$201,5,0)</f>
        <v>South</v>
      </c>
      <c r="U107" t="str">
        <f>VLOOKUP(Table1[[#This Row],[Customer ID]],Customers!$A$2:$F$201,6,0)</f>
        <v>Corporate</v>
      </c>
      <c r="V107" t="str">
        <f>TEXT(Table1[[#This Row],[Order Date]],"MMM")</f>
        <v>Mar</v>
      </c>
      <c r="W107" t="str">
        <f>TEXT(Table1[[#This Row],[Order Date]],"yyyy")</f>
        <v>2024</v>
      </c>
    </row>
    <row r="108" spans="1:23" x14ac:dyDescent="0.25">
      <c r="A108" s="2" t="s">
        <v>234</v>
      </c>
      <c r="B108" s="4">
        <v>45362</v>
      </c>
      <c r="C108" s="2" t="s">
        <v>235</v>
      </c>
      <c r="D108" s="2" t="str">
        <f>TEXT(Table1[[#This Row],[Order Date]],"mmmm")</f>
        <v>March</v>
      </c>
      <c r="E108" s="2" t="s">
        <v>41</v>
      </c>
      <c r="F108" s="2">
        <v>5</v>
      </c>
      <c r="G108" s="5">
        <v>0</v>
      </c>
      <c r="H108" s="2" t="s">
        <v>25</v>
      </c>
      <c r="I108" s="2" t="s">
        <v>46</v>
      </c>
      <c r="J108" s="2" t="s">
        <v>79</v>
      </c>
      <c r="K108">
        <f>VLOOKUP(E108,Products!$A$2:$E$23,5,0)</f>
        <v>320</v>
      </c>
      <c r="L108">
        <f>VLOOKUP(E108,Products!$A$2:$E$23,4,0)</f>
        <v>220</v>
      </c>
      <c r="M108" s="2">
        <f>K108*F108-Table1[[#This Row],[discount_amount]]</f>
        <v>1600</v>
      </c>
      <c r="N108">
        <f t="shared" si="3"/>
        <v>1100</v>
      </c>
      <c r="O108">
        <f t="shared" si="2"/>
        <v>500</v>
      </c>
      <c r="P108">
        <f>Table1[[#This Row],[Quantity]]*Table1[[#This Row],[unit_price]]*Table1[[#This Row],[Discount]]</f>
        <v>0</v>
      </c>
      <c r="Q108" t="str">
        <f>VLOOKUP(E108,Products!$A$2:$E$23,2,0)</f>
        <v>A4 Paper Ream</v>
      </c>
      <c r="R108" t="str">
        <f>VLOOKUP(Table1[[#This Row],[Product ID]],Products!$A$2:$E$23,3,0)</f>
        <v>Office Supplies</v>
      </c>
      <c r="S108" t="str">
        <f>VLOOKUP(C108,Customers!$A$2:$F$201,4,0)</f>
        <v>Bihar</v>
      </c>
      <c r="T108" t="str">
        <f>VLOOKUP(Table1[[#This Row],[Customer ID]],Customers!$A$2:$F$201,5,0)</f>
        <v>East</v>
      </c>
      <c r="U108" t="str">
        <f>VLOOKUP(Table1[[#This Row],[Customer ID]],Customers!$A$2:$F$201,6,0)</f>
        <v>Home Office</v>
      </c>
      <c r="V108" t="str">
        <f>TEXT(Table1[[#This Row],[Order Date]],"MMM")</f>
        <v>Mar</v>
      </c>
      <c r="W108" t="str">
        <f>TEXT(Table1[[#This Row],[Order Date]],"yyyy")</f>
        <v>2024</v>
      </c>
    </row>
    <row r="109" spans="1:23" x14ac:dyDescent="0.25">
      <c r="A109" s="2" t="s">
        <v>236</v>
      </c>
      <c r="B109" s="4">
        <v>45363</v>
      </c>
      <c r="C109" s="2" t="s">
        <v>237</v>
      </c>
      <c r="D109" s="2" t="str">
        <f>TEXT(Table1[[#This Row],[Order Date]],"mmmm")</f>
        <v>March</v>
      </c>
      <c r="E109" s="2" t="s">
        <v>49</v>
      </c>
      <c r="F109" s="2">
        <v>10</v>
      </c>
      <c r="G109" s="5">
        <v>0.15</v>
      </c>
      <c r="H109" s="2" t="s">
        <v>19</v>
      </c>
      <c r="I109" s="2" t="s">
        <v>26</v>
      </c>
      <c r="J109" s="2" t="s">
        <v>21</v>
      </c>
      <c r="K109">
        <f>VLOOKUP(E109,Products!$A$2:$E$23,5,0)</f>
        <v>700</v>
      </c>
      <c r="L109">
        <f>VLOOKUP(E109,Products!$A$2:$E$23,4,0)</f>
        <v>450</v>
      </c>
      <c r="M109" s="2">
        <f>K109*F109-Table1[[#This Row],[discount_amount]]</f>
        <v>5950</v>
      </c>
      <c r="N109">
        <f t="shared" si="3"/>
        <v>4500</v>
      </c>
      <c r="O109">
        <f t="shared" si="2"/>
        <v>1450</v>
      </c>
      <c r="P109">
        <f>Table1[[#This Row],[Quantity]]*Table1[[#This Row],[unit_price]]*Table1[[#This Row],[Discount]]</f>
        <v>1050</v>
      </c>
      <c r="Q109" t="str">
        <f>VLOOKUP(E109,Products!$A$2:$E$23,2,0)</f>
        <v>Wireless Mouse</v>
      </c>
      <c r="R109" t="str">
        <f>VLOOKUP(Table1[[#This Row],[Product ID]],Products!$A$2:$E$23,3,0)</f>
        <v>Electronics</v>
      </c>
      <c r="S109" t="str">
        <f>VLOOKUP(C109,Customers!$A$2:$F$201,4,0)</f>
        <v>Madhya Pradesh</v>
      </c>
      <c r="T109" t="str">
        <f>VLOOKUP(Table1[[#This Row],[Customer ID]],Customers!$A$2:$F$201,5,0)</f>
        <v>Central</v>
      </c>
      <c r="U109" t="str">
        <f>VLOOKUP(Table1[[#This Row],[Customer ID]],Customers!$A$2:$F$201,6,0)</f>
        <v>Consumer</v>
      </c>
      <c r="V109" t="str">
        <f>TEXT(Table1[[#This Row],[Order Date]],"MMM")</f>
        <v>Mar</v>
      </c>
      <c r="W109" t="str">
        <f>TEXT(Table1[[#This Row],[Order Date]],"yyyy")</f>
        <v>2024</v>
      </c>
    </row>
    <row r="110" spans="1:23" x14ac:dyDescent="0.25">
      <c r="A110" s="2" t="s">
        <v>238</v>
      </c>
      <c r="B110" s="4">
        <v>45363</v>
      </c>
      <c r="C110" s="2" t="s">
        <v>239</v>
      </c>
      <c r="D110" s="2" t="str">
        <f>TEXT(Table1[[#This Row],[Order Date]],"mmmm")</f>
        <v>March</v>
      </c>
      <c r="E110" s="2" t="s">
        <v>66</v>
      </c>
      <c r="F110" s="2">
        <v>4</v>
      </c>
      <c r="G110" s="5">
        <v>0</v>
      </c>
      <c r="H110" s="2" t="s">
        <v>30</v>
      </c>
      <c r="I110" s="2" t="s">
        <v>20</v>
      </c>
      <c r="J110" s="2" t="s">
        <v>21</v>
      </c>
      <c r="K110">
        <f>VLOOKUP(E110,Products!$A$2:$E$23,5,0)</f>
        <v>1299</v>
      </c>
      <c r="L110">
        <f>VLOOKUP(E110,Products!$A$2:$E$23,4,0)</f>
        <v>800</v>
      </c>
      <c r="M110" s="2">
        <f>K110*F110-Table1[[#This Row],[discount_amount]]</f>
        <v>5196</v>
      </c>
      <c r="N110">
        <f t="shared" si="3"/>
        <v>3200</v>
      </c>
      <c r="O110">
        <f t="shared" si="2"/>
        <v>1996</v>
      </c>
      <c r="P110">
        <f>Table1[[#This Row],[Quantity]]*Table1[[#This Row],[unit_price]]*Table1[[#This Row],[Discount]]</f>
        <v>0</v>
      </c>
      <c r="Q110" t="str">
        <f>VLOOKUP(E110,Products!$A$2:$E$23,2,0)</f>
        <v>Power Bank 10000mAh</v>
      </c>
      <c r="R110" t="str">
        <f>VLOOKUP(Table1[[#This Row],[Product ID]],Products!$A$2:$E$23,3,0)</f>
        <v>Electronics</v>
      </c>
      <c r="S110" t="str">
        <f>VLOOKUP(C110,Customers!$A$2:$F$201,4,0)</f>
        <v>Karnataka</v>
      </c>
      <c r="T110" t="str">
        <f>VLOOKUP(Table1[[#This Row],[Customer ID]],Customers!$A$2:$F$201,5,0)</f>
        <v>South</v>
      </c>
      <c r="U110" t="str">
        <f>VLOOKUP(Table1[[#This Row],[Customer ID]],Customers!$A$2:$F$201,6,0)</f>
        <v>Consumer</v>
      </c>
      <c r="V110" t="str">
        <f>TEXT(Table1[[#This Row],[Order Date]],"MMM")</f>
        <v>Mar</v>
      </c>
      <c r="W110" t="str">
        <f>TEXT(Table1[[#This Row],[Order Date]],"yyyy")</f>
        <v>2024</v>
      </c>
    </row>
    <row r="111" spans="1:23" x14ac:dyDescent="0.25">
      <c r="A111" s="2" t="s">
        <v>240</v>
      </c>
      <c r="B111" s="4">
        <v>45364</v>
      </c>
      <c r="C111" s="2" t="s">
        <v>241</v>
      </c>
      <c r="D111" s="2" t="str">
        <f>TEXT(Table1[[#This Row],[Order Date]],"mmmm")</f>
        <v>March</v>
      </c>
      <c r="E111" s="2" t="s">
        <v>121</v>
      </c>
      <c r="F111" s="2">
        <v>4</v>
      </c>
      <c r="G111" s="5">
        <v>0</v>
      </c>
      <c r="H111" s="2" t="s">
        <v>25</v>
      </c>
      <c r="I111" s="2" t="s">
        <v>20</v>
      </c>
      <c r="J111" s="2" t="s">
        <v>21</v>
      </c>
      <c r="K111">
        <f>VLOOKUP(E111,Products!$A$2:$E$23,5,0)</f>
        <v>499</v>
      </c>
      <c r="L111">
        <f>VLOOKUP(E111,Products!$A$2:$E$23,4,0)</f>
        <v>250</v>
      </c>
      <c r="M111" s="2">
        <f>K111*F111-Table1[[#This Row],[discount_amount]]</f>
        <v>1996</v>
      </c>
      <c r="N111">
        <f t="shared" si="3"/>
        <v>1000</v>
      </c>
      <c r="O111">
        <f t="shared" si="2"/>
        <v>996</v>
      </c>
      <c r="P111">
        <f>Table1[[#This Row],[Quantity]]*Table1[[#This Row],[unit_price]]*Table1[[#This Row],[Discount]]</f>
        <v>0</v>
      </c>
      <c r="Q111" t="str">
        <f>VLOOKUP(E111,Products!$A$2:$E$23,2,0)</f>
        <v>Cotton T-Shirt</v>
      </c>
      <c r="R111" t="str">
        <f>VLOOKUP(Table1[[#This Row],[Product ID]],Products!$A$2:$E$23,3,0)</f>
        <v>Clothing</v>
      </c>
      <c r="S111" t="str">
        <f>VLOOKUP(C111,Customers!$A$2:$F$201,4,0)</f>
        <v>Odisha</v>
      </c>
      <c r="T111" t="str">
        <f>VLOOKUP(Table1[[#This Row],[Customer ID]],Customers!$A$2:$F$201,5,0)</f>
        <v>East</v>
      </c>
      <c r="U111" t="str">
        <f>VLOOKUP(Table1[[#This Row],[Customer ID]],Customers!$A$2:$F$201,6,0)</f>
        <v>Home Office</v>
      </c>
      <c r="V111" t="str">
        <f>TEXT(Table1[[#This Row],[Order Date]],"MMM")</f>
        <v>Mar</v>
      </c>
      <c r="W111" t="str">
        <f>TEXT(Table1[[#This Row],[Order Date]],"yyyy")</f>
        <v>2024</v>
      </c>
    </row>
    <row r="112" spans="1:23" x14ac:dyDescent="0.25">
      <c r="A112" s="2" t="s">
        <v>242</v>
      </c>
      <c r="B112" s="4">
        <v>45365</v>
      </c>
      <c r="C112" s="2" t="s">
        <v>243</v>
      </c>
      <c r="D112" s="2" t="str">
        <f>TEXT(Table1[[#This Row],[Order Date]],"mmmm")</f>
        <v>March</v>
      </c>
      <c r="E112" s="2" t="s">
        <v>54</v>
      </c>
      <c r="F112" s="2">
        <v>4</v>
      </c>
      <c r="G112" s="5">
        <v>0</v>
      </c>
      <c r="H112" s="2" t="s">
        <v>19</v>
      </c>
      <c r="I112" s="2" t="s">
        <v>46</v>
      </c>
      <c r="J112" s="2" t="s">
        <v>21</v>
      </c>
      <c r="K112">
        <f>VLOOKUP(E112,Products!$A$2:$E$23,5,0)</f>
        <v>299</v>
      </c>
      <c r="L112">
        <f>VLOOKUP(E112,Products!$A$2:$E$23,4,0)</f>
        <v>180</v>
      </c>
      <c r="M112" s="2">
        <f>K112*F112-Table1[[#This Row],[discount_amount]]</f>
        <v>1196</v>
      </c>
      <c r="N112">
        <f t="shared" si="3"/>
        <v>720</v>
      </c>
      <c r="O112">
        <f t="shared" si="2"/>
        <v>476</v>
      </c>
      <c r="P112">
        <f>Table1[[#This Row],[Quantity]]*Table1[[#This Row],[unit_price]]*Table1[[#This Row],[Discount]]</f>
        <v>0</v>
      </c>
      <c r="Q112" t="str">
        <f>VLOOKUP(E112,Products!$A$2:$E$23,2,0)</f>
        <v>Notebook Pack of 5</v>
      </c>
      <c r="R112" t="str">
        <f>VLOOKUP(Table1[[#This Row],[Product ID]],Products!$A$2:$E$23,3,0)</f>
        <v>Office Supplies</v>
      </c>
      <c r="S112" t="str">
        <f>VLOOKUP(C112,Customers!$A$2:$F$201,4,0)</f>
        <v>Maharashtra</v>
      </c>
      <c r="T112" t="str">
        <f>VLOOKUP(Table1[[#This Row],[Customer ID]],Customers!$A$2:$F$201,5,0)</f>
        <v>Central</v>
      </c>
      <c r="U112" t="str">
        <f>VLOOKUP(Table1[[#This Row],[Customer ID]],Customers!$A$2:$F$201,6,0)</f>
        <v>Home Office</v>
      </c>
      <c r="V112" t="str">
        <f>TEXT(Table1[[#This Row],[Order Date]],"MMM")</f>
        <v>Mar</v>
      </c>
      <c r="W112" t="str">
        <f>TEXT(Table1[[#This Row],[Order Date]],"yyyy")</f>
        <v>2024</v>
      </c>
    </row>
    <row r="113" spans="1:23" x14ac:dyDescent="0.25">
      <c r="A113" s="2" t="s">
        <v>244</v>
      </c>
      <c r="B113" s="4">
        <v>45365</v>
      </c>
      <c r="C113" s="2" t="s">
        <v>98</v>
      </c>
      <c r="D113" s="2" t="str">
        <f>TEXT(Table1[[#This Row],[Order Date]],"mmmm")</f>
        <v>March</v>
      </c>
      <c r="E113" s="2" t="s">
        <v>121</v>
      </c>
      <c r="F113" s="2">
        <v>1</v>
      </c>
      <c r="G113" s="5">
        <v>0.05</v>
      </c>
      <c r="H113" s="2" t="s">
        <v>30</v>
      </c>
      <c r="I113" s="2" t="s">
        <v>38</v>
      </c>
      <c r="J113" s="2" t="s">
        <v>21</v>
      </c>
      <c r="K113">
        <f>VLOOKUP(E113,Products!$A$2:$E$23,5,0)</f>
        <v>499</v>
      </c>
      <c r="L113">
        <f>VLOOKUP(E113,Products!$A$2:$E$23,4,0)</f>
        <v>250</v>
      </c>
      <c r="M113" s="2">
        <f>K113*F113-Table1[[#This Row],[discount_amount]]</f>
        <v>474.05</v>
      </c>
      <c r="N113">
        <f t="shared" si="3"/>
        <v>250</v>
      </c>
      <c r="O113">
        <f t="shared" si="2"/>
        <v>224.05</v>
      </c>
      <c r="P113">
        <f>Table1[[#This Row],[Quantity]]*Table1[[#This Row],[unit_price]]*Table1[[#This Row],[Discount]]</f>
        <v>24.950000000000003</v>
      </c>
      <c r="Q113" t="str">
        <f>VLOOKUP(E113,Products!$A$2:$E$23,2,0)</f>
        <v>Cotton T-Shirt</v>
      </c>
      <c r="R113" t="str">
        <f>VLOOKUP(Table1[[#This Row],[Product ID]],Products!$A$2:$E$23,3,0)</f>
        <v>Clothing</v>
      </c>
      <c r="S113" t="str">
        <f>VLOOKUP(C113,Customers!$A$2:$F$201,4,0)</f>
        <v>Tamil Nadu</v>
      </c>
      <c r="T113" t="str">
        <f>VLOOKUP(Table1[[#This Row],[Customer ID]],Customers!$A$2:$F$201,5,0)</f>
        <v>South</v>
      </c>
      <c r="U113" t="str">
        <f>VLOOKUP(Table1[[#This Row],[Customer ID]],Customers!$A$2:$F$201,6,0)</f>
        <v>Consumer</v>
      </c>
      <c r="V113" t="str">
        <f>TEXT(Table1[[#This Row],[Order Date]],"MMM")</f>
        <v>Mar</v>
      </c>
      <c r="W113" t="str">
        <f>TEXT(Table1[[#This Row],[Order Date]],"yyyy")</f>
        <v>2024</v>
      </c>
    </row>
    <row r="114" spans="1:23" x14ac:dyDescent="0.25">
      <c r="A114" s="2" t="s">
        <v>245</v>
      </c>
      <c r="B114" s="4">
        <v>45367</v>
      </c>
      <c r="C114" s="2" t="s">
        <v>76</v>
      </c>
      <c r="D114" s="2" t="str">
        <f>TEXT(Table1[[#This Row],[Order Date]],"mmmm")</f>
        <v>March</v>
      </c>
      <c r="E114" s="2" t="s">
        <v>49</v>
      </c>
      <c r="F114" s="2">
        <v>2</v>
      </c>
      <c r="G114" s="5">
        <v>0.1</v>
      </c>
      <c r="H114" s="2" t="s">
        <v>25</v>
      </c>
      <c r="I114" s="2" t="s">
        <v>46</v>
      </c>
      <c r="J114" s="2" t="s">
        <v>21</v>
      </c>
      <c r="K114">
        <f>VLOOKUP(E114,Products!$A$2:$E$23,5,0)</f>
        <v>700</v>
      </c>
      <c r="L114">
        <f>VLOOKUP(E114,Products!$A$2:$E$23,4,0)</f>
        <v>450</v>
      </c>
      <c r="M114" s="2">
        <f>K114*F114-Table1[[#This Row],[discount_amount]]</f>
        <v>1260</v>
      </c>
      <c r="N114">
        <f t="shared" si="3"/>
        <v>900</v>
      </c>
      <c r="O114">
        <f t="shared" si="2"/>
        <v>360</v>
      </c>
      <c r="P114">
        <f>Table1[[#This Row],[Quantity]]*Table1[[#This Row],[unit_price]]*Table1[[#This Row],[Discount]]</f>
        <v>140</v>
      </c>
      <c r="Q114" t="str">
        <f>VLOOKUP(E114,Products!$A$2:$E$23,2,0)</f>
        <v>Wireless Mouse</v>
      </c>
      <c r="R114" t="str">
        <f>VLOOKUP(Table1[[#This Row],[Product ID]],Products!$A$2:$E$23,3,0)</f>
        <v>Electronics</v>
      </c>
      <c r="S114" t="str">
        <f>VLOOKUP(C114,Customers!$A$2:$F$201,4,0)</f>
        <v>West Bengal</v>
      </c>
      <c r="T114" t="str">
        <f>VLOOKUP(Table1[[#This Row],[Customer ID]],Customers!$A$2:$F$201,5,0)</f>
        <v>East</v>
      </c>
      <c r="U114" t="str">
        <f>VLOOKUP(Table1[[#This Row],[Customer ID]],Customers!$A$2:$F$201,6,0)</f>
        <v>Corporate</v>
      </c>
      <c r="V114" t="str">
        <f>TEXT(Table1[[#This Row],[Order Date]],"MMM")</f>
        <v>Mar</v>
      </c>
      <c r="W114" t="str">
        <f>TEXT(Table1[[#This Row],[Order Date]],"yyyy")</f>
        <v>2024</v>
      </c>
    </row>
    <row r="115" spans="1:23" x14ac:dyDescent="0.25">
      <c r="A115" s="2" t="s">
        <v>246</v>
      </c>
      <c r="B115" s="4">
        <v>45367</v>
      </c>
      <c r="C115" s="2" t="s">
        <v>113</v>
      </c>
      <c r="D115" s="2" t="str">
        <f>TEXT(Table1[[#This Row],[Order Date]],"mmmm")</f>
        <v>March</v>
      </c>
      <c r="E115" s="2" t="s">
        <v>49</v>
      </c>
      <c r="F115" s="2">
        <v>10</v>
      </c>
      <c r="G115" s="5">
        <v>0.05</v>
      </c>
      <c r="H115" s="2" t="s">
        <v>25</v>
      </c>
      <c r="I115" s="2" t="s">
        <v>31</v>
      </c>
      <c r="J115" s="2" t="s">
        <v>21</v>
      </c>
      <c r="K115">
        <f>VLOOKUP(E115,Products!$A$2:$E$23,5,0)</f>
        <v>700</v>
      </c>
      <c r="L115">
        <f>VLOOKUP(E115,Products!$A$2:$E$23,4,0)</f>
        <v>450</v>
      </c>
      <c r="M115" s="2">
        <f>K115*F115-Table1[[#This Row],[discount_amount]]</f>
        <v>6650</v>
      </c>
      <c r="N115">
        <f t="shared" si="3"/>
        <v>4500</v>
      </c>
      <c r="O115">
        <f t="shared" si="2"/>
        <v>2150</v>
      </c>
      <c r="P115">
        <f>Table1[[#This Row],[Quantity]]*Table1[[#This Row],[unit_price]]*Table1[[#This Row],[Discount]]</f>
        <v>350</v>
      </c>
      <c r="Q115" t="str">
        <f>VLOOKUP(E115,Products!$A$2:$E$23,2,0)</f>
        <v>Wireless Mouse</v>
      </c>
      <c r="R115" t="str">
        <f>VLOOKUP(Table1[[#This Row],[Product ID]],Products!$A$2:$E$23,3,0)</f>
        <v>Electronics</v>
      </c>
      <c r="S115" t="str">
        <f>VLOOKUP(C115,Customers!$A$2:$F$201,4,0)</f>
        <v>Gujarat</v>
      </c>
      <c r="T115" t="str">
        <f>VLOOKUP(Table1[[#This Row],[Customer ID]],Customers!$A$2:$F$201,5,0)</f>
        <v>West</v>
      </c>
      <c r="U115" t="str">
        <f>VLOOKUP(Table1[[#This Row],[Customer ID]],Customers!$A$2:$F$201,6,0)</f>
        <v>Consumer</v>
      </c>
      <c r="V115" t="str">
        <f>TEXT(Table1[[#This Row],[Order Date]],"MMM")</f>
        <v>Mar</v>
      </c>
      <c r="W115" t="str">
        <f>TEXT(Table1[[#This Row],[Order Date]],"yyyy")</f>
        <v>2024</v>
      </c>
    </row>
    <row r="116" spans="1:23" x14ac:dyDescent="0.25">
      <c r="A116" s="2" t="s">
        <v>247</v>
      </c>
      <c r="B116" s="4">
        <v>45367</v>
      </c>
      <c r="C116" s="2" t="s">
        <v>248</v>
      </c>
      <c r="D116" s="2" t="str">
        <f>TEXT(Table1[[#This Row],[Order Date]],"mmmm")</f>
        <v>March</v>
      </c>
      <c r="E116" s="2" t="s">
        <v>111</v>
      </c>
      <c r="F116" s="2">
        <v>6</v>
      </c>
      <c r="G116" s="5">
        <v>0</v>
      </c>
      <c r="H116" s="2" t="s">
        <v>19</v>
      </c>
      <c r="I116" s="2" t="s">
        <v>38</v>
      </c>
      <c r="J116" s="2" t="s">
        <v>21</v>
      </c>
      <c r="K116">
        <f>VLOOKUP(E116,Products!$A$2:$E$23,5,0)</f>
        <v>240</v>
      </c>
      <c r="L116">
        <f>VLOOKUP(E116,Products!$A$2:$E$23,4,0)</f>
        <v>140</v>
      </c>
      <c r="M116" s="2">
        <f>K116*F116-Table1[[#This Row],[discount_amount]]</f>
        <v>1440</v>
      </c>
      <c r="N116">
        <f t="shared" si="3"/>
        <v>840</v>
      </c>
      <c r="O116">
        <f t="shared" si="2"/>
        <v>600</v>
      </c>
      <c r="P116">
        <f>Table1[[#This Row],[Quantity]]*Table1[[#This Row],[unit_price]]*Table1[[#This Row],[Discount]]</f>
        <v>0</v>
      </c>
      <c r="Q116" t="str">
        <f>VLOOKUP(E116,Products!$A$2:$E$23,2,0)</f>
        <v>Whiteboard Marker Set</v>
      </c>
      <c r="R116" t="str">
        <f>VLOOKUP(Table1[[#This Row],[Product ID]],Products!$A$2:$E$23,3,0)</f>
        <v>Office Supplies</v>
      </c>
      <c r="S116" t="str">
        <f>VLOOKUP(C116,Customers!$A$2:$F$201,4,0)</f>
        <v>West Bengal</v>
      </c>
      <c r="T116" t="str">
        <f>VLOOKUP(Table1[[#This Row],[Customer ID]],Customers!$A$2:$F$201,5,0)</f>
        <v>East</v>
      </c>
      <c r="U116" t="str">
        <f>VLOOKUP(Table1[[#This Row],[Customer ID]],Customers!$A$2:$F$201,6,0)</f>
        <v>Consumer</v>
      </c>
      <c r="V116" t="str">
        <f>TEXT(Table1[[#This Row],[Order Date]],"MMM")</f>
        <v>Mar</v>
      </c>
      <c r="W116" t="str">
        <f>TEXT(Table1[[#This Row],[Order Date]],"yyyy")</f>
        <v>2024</v>
      </c>
    </row>
    <row r="117" spans="1:23" x14ac:dyDescent="0.25">
      <c r="A117" s="2" t="s">
        <v>249</v>
      </c>
      <c r="B117" s="4">
        <v>45367</v>
      </c>
      <c r="C117" s="2" t="s">
        <v>188</v>
      </c>
      <c r="D117" s="2" t="str">
        <f>TEXT(Table1[[#This Row],[Order Date]],"mmmm")</f>
        <v>March</v>
      </c>
      <c r="E117" s="2" t="s">
        <v>49</v>
      </c>
      <c r="F117" s="2">
        <v>3</v>
      </c>
      <c r="G117" s="5">
        <v>0.05</v>
      </c>
      <c r="H117" s="2" t="s">
        <v>25</v>
      </c>
      <c r="I117" s="2" t="s">
        <v>20</v>
      </c>
      <c r="J117" s="2" t="s">
        <v>21</v>
      </c>
      <c r="K117">
        <f>VLOOKUP(E117,Products!$A$2:$E$23,5,0)</f>
        <v>700</v>
      </c>
      <c r="L117">
        <f>VLOOKUP(E117,Products!$A$2:$E$23,4,0)</f>
        <v>450</v>
      </c>
      <c r="M117" s="2">
        <f>K117*F117-Table1[[#This Row],[discount_amount]]</f>
        <v>1995</v>
      </c>
      <c r="N117">
        <f t="shared" si="3"/>
        <v>1350</v>
      </c>
      <c r="O117">
        <f t="shared" si="2"/>
        <v>645</v>
      </c>
      <c r="P117">
        <f>Table1[[#This Row],[Quantity]]*Table1[[#This Row],[unit_price]]*Table1[[#This Row],[Discount]]</f>
        <v>105</v>
      </c>
      <c r="Q117" t="str">
        <f>VLOOKUP(E117,Products!$A$2:$E$23,2,0)</f>
        <v>Wireless Mouse</v>
      </c>
      <c r="R117" t="str">
        <f>VLOOKUP(Table1[[#This Row],[Product ID]],Products!$A$2:$E$23,3,0)</f>
        <v>Electronics</v>
      </c>
      <c r="S117" t="str">
        <f>VLOOKUP(C117,Customers!$A$2:$F$201,4,0)</f>
        <v>Bihar</v>
      </c>
      <c r="T117" t="str">
        <f>VLOOKUP(Table1[[#This Row],[Customer ID]],Customers!$A$2:$F$201,5,0)</f>
        <v>East</v>
      </c>
      <c r="U117" t="str">
        <f>VLOOKUP(Table1[[#This Row],[Customer ID]],Customers!$A$2:$F$201,6,0)</f>
        <v>Corporate</v>
      </c>
      <c r="V117" t="str">
        <f>TEXT(Table1[[#This Row],[Order Date]],"MMM")</f>
        <v>Mar</v>
      </c>
      <c r="W117" t="str">
        <f>TEXT(Table1[[#This Row],[Order Date]],"yyyy")</f>
        <v>2024</v>
      </c>
    </row>
    <row r="118" spans="1:23" x14ac:dyDescent="0.25">
      <c r="A118" s="2" t="s">
        <v>250</v>
      </c>
      <c r="B118" s="4">
        <v>45368</v>
      </c>
      <c r="C118" s="2" t="s">
        <v>160</v>
      </c>
      <c r="D118" s="2" t="str">
        <f>TEXT(Table1[[#This Row],[Order Date]],"mmmm")</f>
        <v>March</v>
      </c>
      <c r="E118" s="2" t="s">
        <v>82</v>
      </c>
      <c r="F118" s="2">
        <v>1</v>
      </c>
      <c r="G118" s="5">
        <v>0.05</v>
      </c>
      <c r="H118" s="2" t="s">
        <v>25</v>
      </c>
      <c r="I118" s="2" t="s">
        <v>31</v>
      </c>
      <c r="J118" s="2" t="s">
        <v>21</v>
      </c>
      <c r="K118">
        <f>VLOOKUP(E118,Products!$A$2:$E$23,5,0)</f>
        <v>1799</v>
      </c>
      <c r="L118">
        <f>VLOOKUP(E118,Products!$A$2:$E$23,4,0)</f>
        <v>1100</v>
      </c>
      <c r="M118" s="2">
        <f>K118*F118-Table1[[#This Row],[discount_amount]]</f>
        <v>1709.05</v>
      </c>
      <c r="N118">
        <f t="shared" si="3"/>
        <v>1100</v>
      </c>
      <c r="O118">
        <f t="shared" si="2"/>
        <v>609.04999999999995</v>
      </c>
      <c r="P118">
        <f>Table1[[#This Row],[Quantity]]*Table1[[#This Row],[unit_price]]*Table1[[#This Row],[Discount]]</f>
        <v>89.95</v>
      </c>
      <c r="Q118" t="str">
        <f>VLOOKUP(E118,Products!$A$2:$E$23,2,0)</f>
        <v>Webcam HD</v>
      </c>
      <c r="R118" t="str">
        <f>VLOOKUP(Table1[[#This Row],[Product ID]],Products!$A$2:$E$23,3,0)</f>
        <v>Electronics</v>
      </c>
      <c r="S118" t="str">
        <f>VLOOKUP(C118,Customers!$A$2:$F$201,4,0)</f>
        <v>Gujarat</v>
      </c>
      <c r="T118" t="str">
        <f>VLOOKUP(Table1[[#This Row],[Customer ID]],Customers!$A$2:$F$201,5,0)</f>
        <v>West</v>
      </c>
      <c r="U118" t="str">
        <f>VLOOKUP(Table1[[#This Row],[Customer ID]],Customers!$A$2:$F$201,6,0)</f>
        <v>Consumer</v>
      </c>
      <c r="V118" t="str">
        <f>TEXT(Table1[[#This Row],[Order Date]],"MMM")</f>
        <v>Mar</v>
      </c>
      <c r="W118" t="str">
        <f>TEXT(Table1[[#This Row],[Order Date]],"yyyy")</f>
        <v>2024</v>
      </c>
    </row>
    <row r="119" spans="1:23" x14ac:dyDescent="0.25">
      <c r="A119" s="2" t="s">
        <v>251</v>
      </c>
      <c r="B119" s="4">
        <v>45368</v>
      </c>
      <c r="C119" s="2" t="s">
        <v>252</v>
      </c>
      <c r="D119" s="2" t="str">
        <f>TEXT(Table1[[#This Row],[Order Date]],"mmmm")</f>
        <v>March</v>
      </c>
      <c r="E119" s="2" t="s">
        <v>18</v>
      </c>
      <c r="F119" s="2">
        <v>3</v>
      </c>
      <c r="G119" s="5">
        <v>0.1</v>
      </c>
      <c r="H119" s="2" t="s">
        <v>19</v>
      </c>
      <c r="I119" s="2" t="s">
        <v>20</v>
      </c>
      <c r="J119" s="2" t="s">
        <v>21</v>
      </c>
      <c r="K119">
        <f>VLOOKUP(E119,Products!$A$2:$E$23,5,0)</f>
        <v>4299</v>
      </c>
      <c r="L119">
        <f>VLOOKUP(E119,Products!$A$2:$E$23,4,0)</f>
        <v>2800</v>
      </c>
      <c r="M119" s="2">
        <f>K119*F119-Table1[[#This Row],[discount_amount]]</f>
        <v>11607.3</v>
      </c>
      <c r="N119">
        <f t="shared" si="3"/>
        <v>8400</v>
      </c>
      <c r="O119">
        <f t="shared" si="2"/>
        <v>3207.2999999999993</v>
      </c>
      <c r="P119">
        <f>Table1[[#This Row],[Quantity]]*Table1[[#This Row],[unit_price]]*Table1[[#This Row],[Discount]]</f>
        <v>1289.7</v>
      </c>
      <c r="Q119" t="str">
        <f>VLOOKUP(E119,Products!$A$2:$E$23,2,0)</f>
        <v>Bookshelf</v>
      </c>
      <c r="R119" t="str">
        <f>VLOOKUP(Table1[[#This Row],[Product ID]],Products!$A$2:$E$23,3,0)</f>
        <v>Furniture</v>
      </c>
      <c r="S119" t="str">
        <f>VLOOKUP(C119,Customers!$A$2:$F$201,4,0)</f>
        <v>Chandigarh</v>
      </c>
      <c r="T119" t="str">
        <f>VLOOKUP(Table1[[#This Row],[Customer ID]],Customers!$A$2:$F$201,5,0)</f>
        <v>North</v>
      </c>
      <c r="U119" t="str">
        <f>VLOOKUP(Table1[[#This Row],[Customer ID]],Customers!$A$2:$F$201,6,0)</f>
        <v>Consumer</v>
      </c>
      <c r="V119" t="str">
        <f>TEXT(Table1[[#This Row],[Order Date]],"MMM")</f>
        <v>Mar</v>
      </c>
      <c r="W119" t="str">
        <f>TEXT(Table1[[#This Row],[Order Date]],"yyyy")</f>
        <v>2024</v>
      </c>
    </row>
    <row r="120" spans="1:23" x14ac:dyDescent="0.25">
      <c r="A120" s="2" t="s">
        <v>253</v>
      </c>
      <c r="B120" s="4">
        <v>45369</v>
      </c>
      <c r="C120" s="2" t="s">
        <v>254</v>
      </c>
      <c r="D120" s="2" t="str">
        <f>TEXT(Table1[[#This Row],[Order Date]],"mmmm")</f>
        <v>March</v>
      </c>
      <c r="E120" s="2" t="s">
        <v>91</v>
      </c>
      <c r="F120" s="2">
        <v>2</v>
      </c>
      <c r="G120" s="5">
        <v>0</v>
      </c>
      <c r="H120" s="2" t="s">
        <v>30</v>
      </c>
      <c r="I120" s="2" t="s">
        <v>38</v>
      </c>
      <c r="J120" s="2" t="s">
        <v>21</v>
      </c>
      <c r="K120">
        <f>VLOOKUP(E120,Products!$A$2:$E$23,5,0)</f>
        <v>1199</v>
      </c>
      <c r="L120">
        <f>VLOOKUP(E120,Products!$A$2:$E$23,4,0)</f>
        <v>600</v>
      </c>
      <c r="M120" s="2">
        <f>K120*F120-Table1[[#This Row],[discount_amount]]</f>
        <v>2398</v>
      </c>
      <c r="N120">
        <f t="shared" si="3"/>
        <v>1200</v>
      </c>
      <c r="O120">
        <f t="shared" si="2"/>
        <v>1198</v>
      </c>
      <c r="P120">
        <f>Table1[[#This Row],[Quantity]]*Table1[[#This Row],[unit_price]]*Table1[[#This Row],[Discount]]</f>
        <v>0</v>
      </c>
      <c r="Q120" t="str">
        <f>VLOOKUP(E120,Products!$A$2:$E$23,2,0)</f>
        <v>Formal Shirt</v>
      </c>
      <c r="R120" t="str">
        <f>VLOOKUP(Table1[[#This Row],[Product ID]],Products!$A$2:$E$23,3,0)</f>
        <v>Clothing</v>
      </c>
      <c r="S120" t="str">
        <f>VLOOKUP(C120,Customers!$A$2:$F$201,4,0)</f>
        <v>Rajasthan</v>
      </c>
      <c r="T120" t="str">
        <f>VLOOKUP(Table1[[#This Row],[Customer ID]],Customers!$A$2:$F$201,5,0)</f>
        <v>North</v>
      </c>
      <c r="U120" t="str">
        <f>VLOOKUP(Table1[[#This Row],[Customer ID]],Customers!$A$2:$F$201,6,0)</f>
        <v>Consumer</v>
      </c>
      <c r="V120" t="str">
        <f>TEXT(Table1[[#This Row],[Order Date]],"MMM")</f>
        <v>Mar</v>
      </c>
      <c r="W120" t="str">
        <f>TEXT(Table1[[#This Row],[Order Date]],"yyyy")</f>
        <v>2024</v>
      </c>
    </row>
    <row r="121" spans="1:23" x14ac:dyDescent="0.25">
      <c r="A121" s="2" t="s">
        <v>255</v>
      </c>
      <c r="B121" s="4">
        <v>45369</v>
      </c>
      <c r="C121" s="2" t="s">
        <v>256</v>
      </c>
      <c r="D121" s="2" t="str">
        <f>TEXT(Table1[[#This Row],[Order Date]],"mmmm")</f>
        <v>March</v>
      </c>
      <c r="E121" s="2" t="s">
        <v>29</v>
      </c>
      <c r="F121" s="2">
        <v>5</v>
      </c>
      <c r="G121" s="5">
        <v>0</v>
      </c>
      <c r="H121" s="2" t="s">
        <v>25</v>
      </c>
      <c r="I121" s="2" t="s">
        <v>38</v>
      </c>
      <c r="J121" s="2" t="s">
        <v>21</v>
      </c>
      <c r="K121">
        <f>VLOOKUP(E121,Products!$A$2:$E$23,5,0)</f>
        <v>599</v>
      </c>
      <c r="L121">
        <f>VLOOKUP(E121,Products!$A$2:$E$23,4,0)</f>
        <v>350</v>
      </c>
      <c r="M121" s="2">
        <f>K121*F121-Table1[[#This Row],[discount_amount]]</f>
        <v>2995</v>
      </c>
      <c r="N121">
        <f t="shared" si="3"/>
        <v>1750</v>
      </c>
      <c r="O121">
        <f t="shared" si="2"/>
        <v>1245</v>
      </c>
      <c r="P121">
        <f>Table1[[#This Row],[Quantity]]*Table1[[#This Row],[unit_price]]*Table1[[#This Row],[Discount]]</f>
        <v>0</v>
      </c>
      <c r="Q121" t="str">
        <f>VLOOKUP(E121,Products!$A$2:$E$23,2,0)</f>
        <v>USB Flash Drive 64GB</v>
      </c>
      <c r="R121" t="str">
        <f>VLOOKUP(Table1[[#This Row],[Product ID]],Products!$A$2:$E$23,3,0)</f>
        <v>Electronics</v>
      </c>
      <c r="S121" t="str">
        <f>VLOOKUP(C121,Customers!$A$2:$F$201,4,0)</f>
        <v>Gujarat</v>
      </c>
      <c r="T121" t="str">
        <f>VLOOKUP(Table1[[#This Row],[Customer ID]],Customers!$A$2:$F$201,5,0)</f>
        <v>West</v>
      </c>
      <c r="U121" t="str">
        <f>VLOOKUP(Table1[[#This Row],[Customer ID]],Customers!$A$2:$F$201,6,0)</f>
        <v>Consumer</v>
      </c>
      <c r="V121" t="str">
        <f>TEXT(Table1[[#This Row],[Order Date]],"MMM")</f>
        <v>Mar</v>
      </c>
      <c r="W121" t="str">
        <f>TEXT(Table1[[#This Row],[Order Date]],"yyyy")</f>
        <v>2024</v>
      </c>
    </row>
    <row r="122" spans="1:23" x14ac:dyDescent="0.25">
      <c r="A122" s="2" t="s">
        <v>257</v>
      </c>
      <c r="B122" s="4">
        <v>45370</v>
      </c>
      <c r="C122" s="2" t="s">
        <v>258</v>
      </c>
      <c r="D122" s="2" t="str">
        <f>TEXT(Table1[[#This Row],[Order Date]],"mmmm")</f>
        <v>March</v>
      </c>
      <c r="E122" s="2" t="s">
        <v>82</v>
      </c>
      <c r="F122" s="2">
        <v>6</v>
      </c>
      <c r="G122" s="5">
        <v>0.1</v>
      </c>
      <c r="H122" s="2" t="s">
        <v>19</v>
      </c>
      <c r="I122" s="2" t="s">
        <v>31</v>
      </c>
      <c r="J122" s="2" t="s">
        <v>21</v>
      </c>
      <c r="K122">
        <f>VLOOKUP(E122,Products!$A$2:$E$23,5,0)</f>
        <v>1799</v>
      </c>
      <c r="L122">
        <f>VLOOKUP(E122,Products!$A$2:$E$23,4,0)</f>
        <v>1100</v>
      </c>
      <c r="M122" s="2">
        <f>K122*F122-Table1[[#This Row],[discount_amount]]</f>
        <v>9714.6</v>
      </c>
      <c r="N122">
        <f t="shared" si="3"/>
        <v>6600</v>
      </c>
      <c r="O122">
        <f t="shared" si="2"/>
        <v>3114.6000000000004</v>
      </c>
      <c r="P122">
        <f>Table1[[#This Row],[Quantity]]*Table1[[#This Row],[unit_price]]*Table1[[#This Row],[Discount]]</f>
        <v>1079.4000000000001</v>
      </c>
      <c r="Q122" t="str">
        <f>VLOOKUP(E122,Products!$A$2:$E$23,2,0)</f>
        <v>Webcam HD</v>
      </c>
      <c r="R122" t="str">
        <f>VLOOKUP(Table1[[#This Row],[Product ID]],Products!$A$2:$E$23,3,0)</f>
        <v>Electronics</v>
      </c>
      <c r="S122" t="str">
        <f>VLOOKUP(C122,Customers!$A$2:$F$201,4,0)</f>
        <v>Karnataka</v>
      </c>
      <c r="T122" t="str">
        <f>VLOOKUP(Table1[[#This Row],[Customer ID]],Customers!$A$2:$F$201,5,0)</f>
        <v>South</v>
      </c>
      <c r="U122" t="str">
        <f>VLOOKUP(Table1[[#This Row],[Customer ID]],Customers!$A$2:$F$201,6,0)</f>
        <v>Consumer</v>
      </c>
      <c r="V122" t="str">
        <f>TEXT(Table1[[#This Row],[Order Date]],"MMM")</f>
        <v>Mar</v>
      </c>
      <c r="W122" t="str">
        <f>TEXT(Table1[[#This Row],[Order Date]],"yyyy")</f>
        <v>2024</v>
      </c>
    </row>
    <row r="123" spans="1:23" x14ac:dyDescent="0.25">
      <c r="A123" s="2" t="s">
        <v>259</v>
      </c>
      <c r="B123" s="4">
        <v>45370</v>
      </c>
      <c r="C123" s="2" t="s">
        <v>188</v>
      </c>
      <c r="D123" s="2" t="str">
        <f>TEXT(Table1[[#This Row],[Order Date]],"mmmm")</f>
        <v>March</v>
      </c>
      <c r="E123" s="2" t="s">
        <v>155</v>
      </c>
      <c r="F123" s="2">
        <v>1</v>
      </c>
      <c r="G123" s="5">
        <v>0</v>
      </c>
      <c r="H123" s="2" t="s">
        <v>25</v>
      </c>
      <c r="I123" s="2" t="s">
        <v>31</v>
      </c>
      <c r="J123" s="2" t="s">
        <v>79</v>
      </c>
      <c r="K123">
        <f>VLOOKUP(E123,Products!$A$2:$E$23,5,0)</f>
        <v>1599</v>
      </c>
      <c r="L123">
        <f>VLOOKUP(E123,Products!$A$2:$E$23,4,0)</f>
        <v>900</v>
      </c>
      <c r="M123" s="2">
        <f>K123*F123-Table1[[#This Row],[discount_amount]]</f>
        <v>1599</v>
      </c>
      <c r="N123">
        <f t="shared" si="3"/>
        <v>900</v>
      </c>
      <c r="O123">
        <f t="shared" si="2"/>
        <v>699</v>
      </c>
      <c r="P123">
        <f>Table1[[#This Row],[Quantity]]*Table1[[#This Row],[unit_price]]*Table1[[#This Row],[Discount]]</f>
        <v>0</v>
      </c>
      <c r="Q123" t="str">
        <f>VLOOKUP(E123,Products!$A$2:$E$23,2,0)</f>
        <v>Headphones</v>
      </c>
      <c r="R123" t="str">
        <f>VLOOKUP(Table1[[#This Row],[Product ID]],Products!$A$2:$E$23,3,0)</f>
        <v>Electronics</v>
      </c>
      <c r="S123" t="str">
        <f>VLOOKUP(C123,Customers!$A$2:$F$201,4,0)</f>
        <v>Bihar</v>
      </c>
      <c r="T123" t="str">
        <f>VLOOKUP(Table1[[#This Row],[Customer ID]],Customers!$A$2:$F$201,5,0)</f>
        <v>East</v>
      </c>
      <c r="U123" t="str">
        <f>VLOOKUP(Table1[[#This Row],[Customer ID]],Customers!$A$2:$F$201,6,0)</f>
        <v>Corporate</v>
      </c>
      <c r="V123" t="str">
        <f>TEXT(Table1[[#This Row],[Order Date]],"MMM")</f>
        <v>Mar</v>
      </c>
      <c r="W123" t="str">
        <f>TEXT(Table1[[#This Row],[Order Date]],"yyyy")</f>
        <v>2024</v>
      </c>
    </row>
    <row r="124" spans="1:23" x14ac:dyDescent="0.25">
      <c r="A124" s="2" t="s">
        <v>260</v>
      </c>
      <c r="B124" s="4">
        <v>45371</v>
      </c>
      <c r="C124" s="2" t="s">
        <v>261</v>
      </c>
      <c r="D124" s="2" t="str">
        <f>TEXT(Table1[[#This Row],[Order Date]],"mmmm")</f>
        <v>March</v>
      </c>
      <c r="E124" s="2" t="s">
        <v>111</v>
      </c>
      <c r="F124" s="2">
        <v>1</v>
      </c>
      <c r="G124" s="5">
        <v>0.15</v>
      </c>
      <c r="H124" s="2" t="s">
        <v>19</v>
      </c>
      <c r="I124" s="2" t="s">
        <v>31</v>
      </c>
      <c r="J124" s="2" t="s">
        <v>21</v>
      </c>
      <c r="K124">
        <f>VLOOKUP(E124,Products!$A$2:$E$23,5,0)</f>
        <v>240</v>
      </c>
      <c r="L124">
        <f>VLOOKUP(E124,Products!$A$2:$E$23,4,0)</f>
        <v>140</v>
      </c>
      <c r="M124" s="2">
        <f>K124*F124-Table1[[#This Row],[discount_amount]]</f>
        <v>204</v>
      </c>
      <c r="N124">
        <f t="shared" si="3"/>
        <v>140</v>
      </c>
      <c r="O124">
        <f t="shared" si="2"/>
        <v>64</v>
      </c>
      <c r="P124">
        <f>Table1[[#This Row],[Quantity]]*Table1[[#This Row],[unit_price]]*Table1[[#This Row],[Discount]]</f>
        <v>36</v>
      </c>
      <c r="Q124" t="str">
        <f>VLOOKUP(E124,Products!$A$2:$E$23,2,0)</f>
        <v>Whiteboard Marker Set</v>
      </c>
      <c r="R124" t="str">
        <f>VLOOKUP(Table1[[#This Row],[Product ID]],Products!$A$2:$E$23,3,0)</f>
        <v>Office Supplies</v>
      </c>
      <c r="S124" t="str">
        <f>VLOOKUP(C124,Customers!$A$2:$F$201,4,0)</f>
        <v>Odisha</v>
      </c>
      <c r="T124" t="str">
        <f>VLOOKUP(Table1[[#This Row],[Customer ID]],Customers!$A$2:$F$201,5,0)</f>
        <v>East</v>
      </c>
      <c r="U124" t="str">
        <f>VLOOKUP(Table1[[#This Row],[Customer ID]],Customers!$A$2:$F$201,6,0)</f>
        <v>Home Office</v>
      </c>
      <c r="V124" t="str">
        <f>TEXT(Table1[[#This Row],[Order Date]],"MMM")</f>
        <v>Mar</v>
      </c>
      <c r="W124" t="str">
        <f>TEXT(Table1[[#This Row],[Order Date]],"yyyy")</f>
        <v>2024</v>
      </c>
    </row>
    <row r="125" spans="1:23" x14ac:dyDescent="0.25">
      <c r="A125" s="2" t="s">
        <v>262</v>
      </c>
      <c r="B125" s="4">
        <v>45371</v>
      </c>
      <c r="C125" s="2" t="s">
        <v>248</v>
      </c>
      <c r="D125" s="2" t="str">
        <f>TEXT(Table1[[#This Row],[Order Date]],"mmmm")</f>
        <v>March</v>
      </c>
      <c r="E125" s="2" t="s">
        <v>91</v>
      </c>
      <c r="F125" s="2">
        <v>1</v>
      </c>
      <c r="G125" s="5">
        <v>0</v>
      </c>
      <c r="H125" s="2" t="s">
        <v>30</v>
      </c>
      <c r="I125" s="2" t="s">
        <v>46</v>
      </c>
      <c r="J125" s="2" t="s">
        <v>21</v>
      </c>
      <c r="K125">
        <f>VLOOKUP(E125,Products!$A$2:$E$23,5,0)</f>
        <v>1199</v>
      </c>
      <c r="L125">
        <f>VLOOKUP(E125,Products!$A$2:$E$23,4,0)</f>
        <v>600</v>
      </c>
      <c r="M125" s="2">
        <f>K125*F125-Table1[[#This Row],[discount_amount]]</f>
        <v>1199</v>
      </c>
      <c r="N125">
        <f t="shared" si="3"/>
        <v>600</v>
      </c>
      <c r="O125">
        <f t="shared" si="2"/>
        <v>599</v>
      </c>
      <c r="P125">
        <f>Table1[[#This Row],[Quantity]]*Table1[[#This Row],[unit_price]]*Table1[[#This Row],[Discount]]</f>
        <v>0</v>
      </c>
      <c r="Q125" t="str">
        <f>VLOOKUP(E125,Products!$A$2:$E$23,2,0)</f>
        <v>Formal Shirt</v>
      </c>
      <c r="R125" t="str">
        <f>VLOOKUP(Table1[[#This Row],[Product ID]],Products!$A$2:$E$23,3,0)</f>
        <v>Clothing</v>
      </c>
      <c r="S125" t="str">
        <f>VLOOKUP(C125,Customers!$A$2:$F$201,4,0)</f>
        <v>West Bengal</v>
      </c>
      <c r="T125" t="str">
        <f>VLOOKUP(Table1[[#This Row],[Customer ID]],Customers!$A$2:$F$201,5,0)</f>
        <v>East</v>
      </c>
      <c r="U125" t="str">
        <f>VLOOKUP(Table1[[#This Row],[Customer ID]],Customers!$A$2:$F$201,6,0)</f>
        <v>Consumer</v>
      </c>
      <c r="V125" t="str">
        <f>TEXT(Table1[[#This Row],[Order Date]],"MMM")</f>
        <v>Mar</v>
      </c>
      <c r="W125" t="str">
        <f>TEXT(Table1[[#This Row],[Order Date]],"yyyy")</f>
        <v>2024</v>
      </c>
    </row>
    <row r="126" spans="1:23" x14ac:dyDescent="0.25">
      <c r="A126" s="2" t="s">
        <v>263</v>
      </c>
      <c r="B126" s="4">
        <v>45372</v>
      </c>
      <c r="C126" s="2" t="s">
        <v>48</v>
      </c>
      <c r="D126" s="2" t="str">
        <f>TEXT(Table1[[#This Row],[Order Date]],"mmmm")</f>
        <v>March</v>
      </c>
      <c r="E126" s="2" t="s">
        <v>91</v>
      </c>
      <c r="F126" s="2">
        <v>5</v>
      </c>
      <c r="G126" s="5">
        <v>0.15</v>
      </c>
      <c r="H126" s="2" t="s">
        <v>25</v>
      </c>
      <c r="I126" s="2" t="s">
        <v>46</v>
      </c>
      <c r="J126" s="2" t="s">
        <v>21</v>
      </c>
      <c r="K126">
        <f>VLOOKUP(E126,Products!$A$2:$E$23,5,0)</f>
        <v>1199</v>
      </c>
      <c r="L126">
        <f>VLOOKUP(E126,Products!$A$2:$E$23,4,0)</f>
        <v>600</v>
      </c>
      <c r="M126" s="2">
        <f>K126*F126-Table1[[#This Row],[discount_amount]]</f>
        <v>5095.75</v>
      </c>
      <c r="N126">
        <f t="shared" si="3"/>
        <v>3000</v>
      </c>
      <c r="O126">
        <f t="shared" si="2"/>
        <v>2095.75</v>
      </c>
      <c r="P126">
        <f>Table1[[#This Row],[Quantity]]*Table1[[#This Row],[unit_price]]*Table1[[#This Row],[Discount]]</f>
        <v>899.25</v>
      </c>
      <c r="Q126" t="str">
        <f>VLOOKUP(E126,Products!$A$2:$E$23,2,0)</f>
        <v>Formal Shirt</v>
      </c>
      <c r="R126" t="str">
        <f>VLOOKUP(Table1[[#This Row],[Product ID]],Products!$A$2:$E$23,3,0)</f>
        <v>Clothing</v>
      </c>
      <c r="S126" t="str">
        <f>VLOOKUP(C126,Customers!$A$2:$F$201,4,0)</f>
        <v>Maharashtra</v>
      </c>
      <c r="T126" t="str">
        <f>VLOOKUP(Table1[[#This Row],[Customer ID]],Customers!$A$2:$F$201,5,0)</f>
        <v>West</v>
      </c>
      <c r="U126" t="str">
        <f>VLOOKUP(Table1[[#This Row],[Customer ID]],Customers!$A$2:$F$201,6,0)</f>
        <v>Home Office</v>
      </c>
      <c r="V126" t="str">
        <f>TEXT(Table1[[#This Row],[Order Date]],"MMM")</f>
        <v>Mar</v>
      </c>
      <c r="W126" t="str">
        <f>TEXT(Table1[[#This Row],[Order Date]],"yyyy")</f>
        <v>2024</v>
      </c>
    </row>
    <row r="127" spans="1:23" x14ac:dyDescent="0.25">
      <c r="A127" s="2" t="s">
        <v>264</v>
      </c>
      <c r="B127" s="4">
        <v>45372</v>
      </c>
      <c r="C127" s="2" t="s">
        <v>59</v>
      </c>
      <c r="D127" s="2" t="str">
        <f>TEXT(Table1[[#This Row],[Order Date]],"mmmm")</f>
        <v>March</v>
      </c>
      <c r="E127" s="2" t="s">
        <v>91</v>
      </c>
      <c r="F127" s="2">
        <v>10</v>
      </c>
      <c r="G127" s="5">
        <v>0</v>
      </c>
      <c r="H127" s="2" t="s">
        <v>30</v>
      </c>
      <c r="I127" s="2" t="s">
        <v>38</v>
      </c>
      <c r="J127" s="2" t="s">
        <v>21</v>
      </c>
      <c r="K127">
        <f>VLOOKUP(E127,Products!$A$2:$E$23,5,0)</f>
        <v>1199</v>
      </c>
      <c r="L127">
        <f>VLOOKUP(E127,Products!$A$2:$E$23,4,0)</f>
        <v>600</v>
      </c>
      <c r="M127" s="2">
        <f>K127*F127-Table1[[#This Row],[discount_amount]]</f>
        <v>11990</v>
      </c>
      <c r="N127">
        <f t="shared" si="3"/>
        <v>6000</v>
      </c>
      <c r="O127">
        <f t="shared" si="2"/>
        <v>5990</v>
      </c>
      <c r="P127">
        <f>Table1[[#This Row],[Quantity]]*Table1[[#This Row],[unit_price]]*Table1[[#This Row],[Discount]]</f>
        <v>0</v>
      </c>
      <c r="Q127" t="str">
        <f>VLOOKUP(E127,Products!$A$2:$E$23,2,0)</f>
        <v>Formal Shirt</v>
      </c>
      <c r="R127" t="str">
        <f>VLOOKUP(Table1[[#This Row],[Product ID]],Products!$A$2:$E$23,3,0)</f>
        <v>Clothing</v>
      </c>
      <c r="S127" t="str">
        <f>VLOOKUP(C127,Customers!$A$2:$F$201,4,0)</f>
        <v>Rajasthan</v>
      </c>
      <c r="T127" t="str">
        <f>VLOOKUP(Table1[[#This Row],[Customer ID]],Customers!$A$2:$F$201,5,0)</f>
        <v>North</v>
      </c>
      <c r="U127" t="str">
        <f>VLOOKUP(Table1[[#This Row],[Customer ID]],Customers!$A$2:$F$201,6,0)</f>
        <v>Corporate</v>
      </c>
      <c r="V127" t="str">
        <f>TEXT(Table1[[#This Row],[Order Date]],"MMM")</f>
        <v>Mar</v>
      </c>
      <c r="W127" t="str">
        <f>TEXT(Table1[[#This Row],[Order Date]],"yyyy")</f>
        <v>2024</v>
      </c>
    </row>
    <row r="128" spans="1:23" x14ac:dyDescent="0.25">
      <c r="A128" s="2" t="s">
        <v>265</v>
      </c>
      <c r="B128" s="4">
        <v>45373</v>
      </c>
      <c r="C128" s="2" t="s">
        <v>266</v>
      </c>
      <c r="D128" s="2" t="str">
        <f>TEXT(Table1[[#This Row],[Order Date]],"mmmm")</f>
        <v>March</v>
      </c>
      <c r="E128" s="2" t="s">
        <v>60</v>
      </c>
      <c r="F128" s="2">
        <v>4</v>
      </c>
      <c r="G128" s="5">
        <v>0</v>
      </c>
      <c r="H128" s="2" t="s">
        <v>30</v>
      </c>
      <c r="I128" s="2" t="s">
        <v>26</v>
      </c>
      <c r="J128" s="2" t="s">
        <v>21</v>
      </c>
      <c r="K128">
        <f>VLOOKUP(E128,Products!$A$2:$E$23,5,0)</f>
        <v>449</v>
      </c>
      <c r="L128">
        <f>VLOOKUP(E128,Products!$A$2:$E$23,4,0)</f>
        <v>260</v>
      </c>
      <c r="M128" s="2">
        <f>K128*F128-Table1[[#This Row],[discount_amount]]</f>
        <v>1796</v>
      </c>
      <c r="N128">
        <f t="shared" si="3"/>
        <v>1040</v>
      </c>
      <c r="O128">
        <f t="shared" si="2"/>
        <v>756</v>
      </c>
      <c r="P128">
        <f>Table1[[#This Row],[Quantity]]*Table1[[#This Row],[unit_price]]*Table1[[#This Row],[Discount]]</f>
        <v>0</v>
      </c>
      <c r="Q128" t="str">
        <f>VLOOKUP(E128,Products!$A$2:$E$23,2,0)</f>
        <v>Desk Organizer</v>
      </c>
      <c r="R128" t="str">
        <f>VLOOKUP(Table1[[#This Row],[Product ID]],Products!$A$2:$E$23,3,0)</f>
        <v>Office Supplies</v>
      </c>
      <c r="S128" t="str">
        <f>VLOOKUP(C128,Customers!$A$2:$F$201,4,0)</f>
        <v>Odisha</v>
      </c>
      <c r="T128" t="str">
        <f>VLOOKUP(Table1[[#This Row],[Customer ID]],Customers!$A$2:$F$201,5,0)</f>
        <v>East</v>
      </c>
      <c r="U128" t="str">
        <f>VLOOKUP(Table1[[#This Row],[Customer ID]],Customers!$A$2:$F$201,6,0)</f>
        <v>Consumer</v>
      </c>
      <c r="V128" t="str">
        <f>TEXT(Table1[[#This Row],[Order Date]],"MMM")</f>
        <v>Mar</v>
      </c>
      <c r="W128" t="str">
        <f>TEXT(Table1[[#This Row],[Order Date]],"yyyy")</f>
        <v>2024</v>
      </c>
    </row>
    <row r="129" spans="1:23" x14ac:dyDescent="0.25">
      <c r="A129" s="2" t="s">
        <v>267</v>
      </c>
      <c r="B129" s="4">
        <v>45374</v>
      </c>
      <c r="C129" s="2" t="s">
        <v>81</v>
      </c>
      <c r="D129" s="2" t="str">
        <f>TEXT(Table1[[#This Row],[Order Date]],"mmmm")</f>
        <v>March</v>
      </c>
      <c r="E129" s="2" t="s">
        <v>37</v>
      </c>
      <c r="F129" s="2">
        <v>5</v>
      </c>
      <c r="G129" s="5">
        <v>0.2</v>
      </c>
      <c r="H129" s="2" t="s">
        <v>25</v>
      </c>
      <c r="I129" s="2" t="s">
        <v>26</v>
      </c>
      <c r="J129" s="2" t="s">
        <v>21</v>
      </c>
      <c r="K129">
        <f>VLOOKUP(E129,Products!$A$2:$E$23,5,0)</f>
        <v>1799</v>
      </c>
      <c r="L129">
        <f>VLOOKUP(E129,Products!$A$2:$E$23,4,0)</f>
        <v>900</v>
      </c>
      <c r="M129" s="2">
        <f>K129*F129-Table1[[#This Row],[discount_amount]]</f>
        <v>7196</v>
      </c>
      <c r="N129">
        <f t="shared" si="3"/>
        <v>4500</v>
      </c>
      <c r="O129">
        <f t="shared" si="2"/>
        <v>2696</v>
      </c>
      <c r="P129">
        <f>Table1[[#This Row],[Quantity]]*Table1[[#This Row],[unit_price]]*Table1[[#This Row],[Discount]]</f>
        <v>1799</v>
      </c>
      <c r="Q129" t="str">
        <f>VLOOKUP(E129,Products!$A$2:$E$23,2,0)</f>
        <v>Denim Jeans</v>
      </c>
      <c r="R129" t="str">
        <f>VLOOKUP(Table1[[#This Row],[Product ID]],Products!$A$2:$E$23,3,0)</f>
        <v>Clothing</v>
      </c>
      <c r="S129" t="str">
        <f>VLOOKUP(C129,Customers!$A$2:$F$201,4,0)</f>
        <v>Chandigarh</v>
      </c>
      <c r="T129" t="str">
        <f>VLOOKUP(Table1[[#This Row],[Customer ID]],Customers!$A$2:$F$201,5,0)</f>
        <v>North</v>
      </c>
      <c r="U129" t="str">
        <f>VLOOKUP(Table1[[#This Row],[Customer ID]],Customers!$A$2:$F$201,6,0)</f>
        <v>Consumer</v>
      </c>
      <c r="V129" t="str">
        <f>TEXT(Table1[[#This Row],[Order Date]],"MMM")</f>
        <v>Mar</v>
      </c>
      <c r="W129" t="str">
        <f>TEXT(Table1[[#This Row],[Order Date]],"yyyy")</f>
        <v>2024</v>
      </c>
    </row>
    <row r="130" spans="1:23" x14ac:dyDescent="0.25">
      <c r="A130" s="2" t="s">
        <v>268</v>
      </c>
      <c r="B130" s="4">
        <v>45374</v>
      </c>
      <c r="C130" s="2" t="s">
        <v>269</v>
      </c>
      <c r="D130" s="2" t="str">
        <f>TEXT(Table1[[#This Row],[Order Date]],"mmmm")</f>
        <v>March</v>
      </c>
      <c r="E130" s="2" t="s">
        <v>54</v>
      </c>
      <c r="F130" s="2">
        <v>2</v>
      </c>
      <c r="G130" s="5">
        <v>0</v>
      </c>
      <c r="H130" s="2" t="s">
        <v>19</v>
      </c>
      <c r="I130" s="2" t="s">
        <v>46</v>
      </c>
      <c r="J130" s="2" t="s">
        <v>94</v>
      </c>
      <c r="K130">
        <f>VLOOKUP(E130,Products!$A$2:$E$23,5,0)</f>
        <v>299</v>
      </c>
      <c r="L130">
        <f>VLOOKUP(E130,Products!$A$2:$E$23,4,0)</f>
        <v>180</v>
      </c>
      <c r="M130" s="2">
        <f>K130*F130-Table1[[#This Row],[discount_amount]]</f>
        <v>598</v>
      </c>
      <c r="N130">
        <f t="shared" si="3"/>
        <v>360</v>
      </c>
      <c r="O130">
        <f t="shared" ref="O130:O193" si="4">M130-N130</f>
        <v>238</v>
      </c>
      <c r="P130">
        <f>Table1[[#This Row],[Quantity]]*Table1[[#This Row],[unit_price]]*Table1[[#This Row],[Discount]]</f>
        <v>0</v>
      </c>
      <c r="Q130" t="str">
        <f>VLOOKUP(E130,Products!$A$2:$E$23,2,0)</f>
        <v>Notebook Pack of 5</v>
      </c>
      <c r="R130" t="str">
        <f>VLOOKUP(Table1[[#This Row],[Product ID]],Products!$A$2:$E$23,3,0)</f>
        <v>Office Supplies</v>
      </c>
      <c r="S130" t="str">
        <f>VLOOKUP(C130,Customers!$A$2:$F$201,4,0)</f>
        <v>Delhi</v>
      </c>
      <c r="T130" t="str">
        <f>VLOOKUP(Table1[[#This Row],[Customer ID]],Customers!$A$2:$F$201,5,0)</f>
        <v>North</v>
      </c>
      <c r="U130" t="str">
        <f>VLOOKUP(Table1[[#This Row],[Customer ID]],Customers!$A$2:$F$201,6,0)</f>
        <v>Corporate</v>
      </c>
      <c r="V130" t="str">
        <f>TEXT(Table1[[#This Row],[Order Date]],"MMM")</f>
        <v>Mar</v>
      </c>
      <c r="W130" t="str">
        <f>TEXT(Table1[[#This Row],[Order Date]],"yyyy")</f>
        <v>2024</v>
      </c>
    </row>
    <row r="131" spans="1:23" x14ac:dyDescent="0.25">
      <c r="A131" s="2" t="s">
        <v>270</v>
      </c>
      <c r="B131" s="4">
        <v>45374</v>
      </c>
      <c r="C131" s="2" t="s">
        <v>134</v>
      </c>
      <c r="D131" s="2" t="str">
        <f>TEXT(Table1[[#This Row],[Order Date]],"mmmm")</f>
        <v>March</v>
      </c>
      <c r="E131" s="2" t="s">
        <v>45</v>
      </c>
      <c r="F131" s="2">
        <v>5</v>
      </c>
      <c r="G131" s="5">
        <v>0</v>
      </c>
      <c r="H131" s="2" t="s">
        <v>30</v>
      </c>
      <c r="I131" s="2" t="s">
        <v>38</v>
      </c>
      <c r="J131" s="2" t="s">
        <v>21</v>
      </c>
      <c r="K131">
        <f>VLOOKUP(E131,Products!$A$2:$E$23,5,0)</f>
        <v>899</v>
      </c>
      <c r="L131">
        <f>VLOOKUP(E131,Products!$A$2:$E$23,4,0)</f>
        <v>450</v>
      </c>
      <c r="M131" s="2">
        <f>K131*F131-Table1[[#This Row],[discount_amount]]</f>
        <v>4495</v>
      </c>
      <c r="N131">
        <f t="shared" ref="N131:N194" si="5">F131*L131</f>
        <v>2250</v>
      </c>
      <c r="O131">
        <f t="shared" si="4"/>
        <v>2245</v>
      </c>
      <c r="P131">
        <f>Table1[[#This Row],[Quantity]]*Table1[[#This Row],[unit_price]]*Table1[[#This Row],[Discount]]</f>
        <v>0</v>
      </c>
      <c r="Q131" t="str">
        <f>VLOOKUP(E131,Products!$A$2:$E$23,2,0)</f>
        <v>Track Pants</v>
      </c>
      <c r="R131" t="str">
        <f>VLOOKUP(Table1[[#This Row],[Product ID]],Products!$A$2:$E$23,3,0)</f>
        <v>Clothing</v>
      </c>
      <c r="S131" t="str">
        <f>VLOOKUP(C131,Customers!$A$2:$F$201,4,0)</f>
        <v>Telangana</v>
      </c>
      <c r="T131" t="str">
        <f>VLOOKUP(Table1[[#This Row],[Customer ID]],Customers!$A$2:$F$201,5,0)</f>
        <v>South</v>
      </c>
      <c r="U131" t="str">
        <f>VLOOKUP(Table1[[#This Row],[Customer ID]],Customers!$A$2:$F$201,6,0)</f>
        <v>Consumer</v>
      </c>
      <c r="V131" t="str">
        <f>TEXT(Table1[[#This Row],[Order Date]],"MMM")</f>
        <v>Mar</v>
      </c>
      <c r="W131" t="str">
        <f>TEXT(Table1[[#This Row],[Order Date]],"yyyy")</f>
        <v>2024</v>
      </c>
    </row>
    <row r="132" spans="1:23" x14ac:dyDescent="0.25">
      <c r="A132" s="2" t="s">
        <v>271</v>
      </c>
      <c r="B132" s="4">
        <v>45375</v>
      </c>
      <c r="C132" s="2" t="s">
        <v>272</v>
      </c>
      <c r="D132" s="2" t="str">
        <f>TEXT(Table1[[#This Row],[Order Date]],"mmmm")</f>
        <v>March</v>
      </c>
      <c r="E132" s="2" t="s">
        <v>29</v>
      </c>
      <c r="F132" s="2">
        <v>2</v>
      </c>
      <c r="G132" s="5">
        <v>0</v>
      </c>
      <c r="H132" s="2" t="s">
        <v>30</v>
      </c>
      <c r="I132" s="2" t="s">
        <v>20</v>
      </c>
      <c r="J132" s="2" t="s">
        <v>21</v>
      </c>
      <c r="K132">
        <f>VLOOKUP(E132,Products!$A$2:$E$23,5,0)</f>
        <v>599</v>
      </c>
      <c r="L132">
        <f>VLOOKUP(E132,Products!$A$2:$E$23,4,0)</f>
        <v>350</v>
      </c>
      <c r="M132" s="2">
        <f>K132*F132-Table1[[#This Row],[discount_amount]]</f>
        <v>1198</v>
      </c>
      <c r="N132">
        <f t="shared" si="5"/>
        <v>700</v>
      </c>
      <c r="O132">
        <f t="shared" si="4"/>
        <v>498</v>
      </c>
      <c r="P132">
        <f>Table1[[#This Row],[Quantity]]*Table1[[#This Row],[unit_price]]*Table1[[#This Row],[Discount]]</f>
        <v>0</v>
      </c>
      <c r="Q132" t="str">
        <f>VLOOKUP(E132,Products!$A$2:$E$23,2,0)</f>
        <v>USB Flash Drive 64GB</v>
      </c>
      <c r="R132" t="str">
        <f>VLOOKUP(Table1[[#This Row],[Product ID]],Products!$A$2:$E$23,3,0)</f>
        <v>Electronics</v>
      </c>
      <c r="S132" t="str">
        <f>VLOOKUP(C132,Customers!$A$2:$F$201,4,0)</f>
        <v>Gujarat</v>
      </c>
      <c r="T132" t="str">
        <f>VLOOKUP(Table1[[#This Row],[Customer ID]],Customers!$A$2:$F$201,5,0)</f>
        <v>West</v>
      </c>
      <c r="U132" t="str">
        <f>VLOOKUP(Table1[[#This Row],[Customer ID]],Customers!$A$2:$F$201,6,0)</f>
        <v>Consumer</v>
      </c>
      <c r="V132" t="str">
        <f>TEXT(Table1[[#This Row],[Order Date]],"MMM")</f>
        <v>Mar</v>
      </c>
      <c r="W132" t="str">
        <f>TEXT(Table1[[#This Row],[Order Date]],"yyyy")</f>
        <v>2024</v>
      </c>
    </row>
    <row r="133" spans="1:23" x14ac:dyDescent="0.25">
      <c r="A133" s="2" t="s">
        <v>273</v>
      </c>
      <c r="B133" s="4">
        <v>45375</v>
      </c>
      <c r="C133" s="2" t="s">
        <v>274</v>
      </c>
      <c r="D133" s="2" t="str">
        <f>TEXT(Table1[[#This Row],[Order Date]],"mmmm")</f>
        <v>March</v>
      </c>
      <c r="E133" s="2" t="s">
        <v>24</v>
      </c>
      <c r="F133" s="2">
        <v>1</v>
      </c>
      <c r="G133" s="5">
        <v>0</v>
      </c>
      <c r="H133" s="2" t="s">
        <v>19</v>
      </c>
      <c r="I133" s="2" t="s">
        <v>26</v>
      </c>
      <c r="J133" s="2" t="s">
        <v>94</v>
      </c>
      <c r="K133">
        <f>VLOOKUP(E133,Products!$A$2:$E$23,5,0)</f>
        <v>899</v>
      </c>
      <c r="L133">
        <f>VLOOKUP(E133,Products!$A$2:$E$23,4,0)</f>
        <v>500</v>
      </c>
      <c r="M133" s="2">
        <f>K133*F133-Table1[[#This Row],[discount_amount]]</f>
        <v>899</v>
      </c>
      <c r="N133">
        <f t="shared" si="5"/>
        <v>500</v>
      </c>
      <c r="O133">
        <f t="shared" si="4"/>
        <v>399</v>
      </c>
      <c r="P133">
        <f>Table1[[#This Row],[Quantity]]*Table1[[#This Row],[unit_price]]*Table1[[#This Row],[Discount]]</f>
        <v>0</v>
      </c>
      <c r="Q133" t="str">
        <f>VLOOKUP(E133,Products!$A$2:$E$23,2,0)</f>
        <v>Monitor Stand</v>
      </c>
      <c r="R133" t="str">
        <f>VLOOKUP(Table1[[#This Row],[Product ID]],Products!$A$2:$E$23,3,0)</f>
        <v>Furniture</v>
      </c>
      <c r="S133" t="str">
        <f>VLOOKUP(C133,Customers!$A$2:$F$201,4,0)</f>
        <v>Madhya Pradesh</v>
      </c>
      <c r="T133" t="str">
        <f>VLOOKUP(Table1[[#This Row],[Customer ID]],Customers!$A$2:$F$201,5,0)</f>
        <v>Central</v>
      </c>
      <c r="U133" t="str">
        <f>VLOOKUP(Table1[[#This Row],[Customer ID]],Customers!$A$2:$F$201,6,0)</f>
        <v>Consumer</v>
      </c>
      <c r="V133" t="str">
        <f>TEXT(Table1[[#This Row],[Order Date]],"MMM")</f>
        <v>Mar</v>
      </c>
      <c r="W133" t="str">
        <f>TEXT(Table1[[#This Row],[Order Date]],"yyyy")</f>
        <v>2024</v>
      </c>
    </row>
    <row r="134" spans="1:23" x14ac:dyDescent="0.25">
      <c r="A134" s="2" t="s">
        <v>275</v>
      </c>
      <c r="B134" s="4">
        <v>45375</v>
      </c>
      <c r="C134" s="2" t="s">
        <v>276</v>
      </c>
      <c r="D134" s="2" t="str">
        <f>TEXT(Table1[[#This Row],[Order Date]],"mmmm")</f>
        <v>March</v>
      </c>
      <c r="E134" s="2" t="s">
        <v>18</v>
      </c>
      <c r="F134" s="2">
        <v>2</v>
      </c>
      <c r="G134" s="5">
        <v>0</v>
      </c>
      <c r="H134" s="2" t="s">
        <v>25</v>
      </c>
      <c r="I134" s="2" t="s">
        <v>31</v>
      </c>
      <c r="J134" s="2" t="s">
        <v>21</v>
      </c>
      <c r="K134">
        <f>VLOOKUP(E134,Products!$A$2:$E$23,5,0)</f>
        <v>4299</v>
      </c>
      <c r="L134">
        <f>VLOOKUP(E134,Products!$A$2:$E$23,4,0)</f>
        <v>2800</v>
      </c>
      <c r="M134" s="2">
        <f>K134*F134-Table1[[#This Row],[discount_amount]]</f>
        <v>8598</v>
      </c>
      <c r="N134">
        <f t="shared" si="5"/>
        <v>5600</v>
      </c>
      <c r="O134">
        <f t="shared" si="4"/>
        <v>2998</v>
      </c>
      <c r="P134">
        <f>Table1[[#This Row],[Quantity]]*Table1[[#This Row],[unit_price]]*Table1[[#This Row],[Discount]]</f>
        <v>0</v>
      </c>
      <c r="Q134" t="str">
        <f>VLOOKUP(E134,Products!$A$2:$E$23,2,0)</f>
        <v>Bookshelf</v>
      </c>
      <c r="R134" t="str">
        <f>VLOOKUP(Table1[[#This Row],[Product ID]],Products!$A$2:$E$23,3,0)</f>
        <v>Furniture</v>
      </c>
      <c r="S134" t="str">
        <f>VLOOKUP(C134,Customers!$A$2:$F$201,4,0)</f>
        <v>Tamil Nadu</v>
      </c>
      <c r="T134" t="str">
        <f>VLOOKUP(Table1[[#This Row],[Customer ID]],Customers!$A$2:$F$201,5,0)</f>
        <v>South</v>
      </c>
      <c r="U134" t="str">
        <f>VLOOKUP(Table1[[#This Row],[Customer ID]],Customers!$A$2:$F$201,6,0)</f>
        <v>Consumer</v>
      </c>
      <c r="V134" t="str">
        <f>TEXT(Table1[[#This Row],[Order Date]],"MMM")</f>
        <v>Mar</v>
      </c>
      <c r="W134" t="str">
        <f>TEXT(Table1[[#This Row],[Order Date]],"yyyy")</f>
        <v>2024</v>
      </c>
    </row>
    <row r="135" spans="1:23" x14ac:dyDescent="0.25">
      <c r="A135" s="2" t="s">
        <v>277</v>
      </c>
      <c r="B135" s="4">
        <v>45375</v>
      </c>
      <c r="C135" s="2" t="s">
        <v>278</v>
      </c>
      <c r="D135" s="2" t="str">
        <f>TEXT(Table1[[#This Row],[Order Date]],"mmmm")</f>
        <v>March</v>
      </c>
      <c r="E135" s="2" t="s">
        <v>60</v>
      </c>
      <c r="F135" s="2">
        <v>1</v>
      </c>
      <c r="G135" s="5">
        <v>0</v>
      </c>
      <c r="H135" s="2" t="s">
        <v>30</v>
      </c>
      <c r="I135" s="2" t="s">
        <v>31</v>
      </c>
      <c r="J135" s="2" t="s">
        <v>21</v>
      </c>
      <c r="K135">
        <f>VLOOKUP(E135,Products!$A$2:$E$23,5,0)</f>
        <v>449</v>
      </c>
      <c r="L135">
        <f>VLOOKUP(E135,Products!$A$2:$E$23,4,0)</f>
        <v>260</v>
      </c>
      <c r="M135" s="2">
        <f>K135*F135-Table1[[#This Row],[discount_amount]]</f>
        <v>449</v>
      </c>
      <c r="N135">
        <f t="shared" si="5"/>
        <v>260</v>
      </c>
      <c r="O135">
        <f t="shared" si="4"/>
        <v>189</v>
      </c>
      <c r="P135">
        <f>Table1[[#This Row],[Quantity]]*Table1[[#This Row],[unit_price]]*Table1[[#This Row],[Discount]]</f>
        <v>0</v>
      </c>
      <c r="Q135" t="str">
        <f>VLOOKUP(E135,Products!$A$2:$E$23,2,0)</f>
        <v>Desk Organizer</v>
      </c>
      <c r="R135" t="str">
        <f>VLOOKUP(Table1[[#This Row],[Product ID]],Products!$A$2:$E$23,3,0)</f>
        <v>Office Supplies</v>
      </c>
      <c r="S135" t="str">
        <f>VLOOKUP(C135,Customers!$A$2:$F$201,4,0)</f>
        <v>Odisha</v>
      </c>
      <c r="T135" t="str">
        <f>VLOOKUP(Table1[[#This Row],[Customer ID]],Customers!$A$2:$F$201,5,0)</f>
        <v>East</v>
      </c>
      <c r="U135" t="str">
        <f>VLOOKUP(Table1[[#This Row],[Customer ID]],Customers!$A$2:$F$201,6,0)</f>
        <v>Corporate</v>
      </c>
      <c r="V135" t="str">
        <f>TEXT(Table1[[#This Row],[Order Date]],"MMM")</f>
        <v>Mar</v>
      </c>
      <c r="W135" t="str">
        <f>TEXT(Table1[[#This Row],[Order Date]],"yyyy")</f>
        <v>2024</v>
      </c>
    </row>
    <row r="136" spans="1:23" x14ac:dyDescent="0.25">
      <c r="A136" s="2" t="s">
        <v>279</v>
      </c>
      <c r="B136" s="4">
        <v>45377</v>
      </c>
      <c r="C136" s="2" t="s">
        <v>178</v>
      </c>
      <c r="D136" s="2" t="str">
        <f>TEXT(Table1[[#This Row],[Order Date]],"mmmm")</f>
        <v>March</v>
      </c>
      <c r="E136" s="2" t="s">
        <v>37</v>
      </c>
      <c r="F136" s="2">
        <v>5</v>
      </c>
      <c r="G136" s="5">
        <v>0</v>
      </c>
      <c r="H136" s="2" t="s">
        <v>30</v>
      </c>
      <c r="I136" s="2" t="s">
        <v>31</v>
      </c>
      <c r="J136" s="2" t="s">
        <v>21</v>
      </c>
      <c r="K136">
        <f>VLOOKUP(E136,Products!$A$2:$E$23,5,0)</f>
        <v>1799</v>
      </c>
      <c r="L136">
        <f>VLOOKUP(E136,Products!$A$2:$E$23,4,0)</f>
        <v>900</v>
      </c>
      <c r="M136" s="2">
        <f>K136*F136-Table1[[#This Row],[discount_amount]]</f>
        <v>8995</v>
      </c>
      <c r="N136">
        <f t="shared" si="5"/>
        <v>4500</v>
      </c>
      <c r="O136">
        <f t="shared" si="4"/>
        <v>4495</v>
      </c>
      <c r="P136">
        <f>Table1[[#This Row],[Quantity]]*Table1[[#This Row],[unit_price]]*Table1[[#This Row],[Discount]]</f>
        <v>0</v>
      </c>
      <c r="Q136" t="str">
        <f>VLOOKUP(E136,Products!$A$2:$E$23,2,0)</f>
        <v>Denim Jeans</v>
      </c>
      <c r="R136" t="str">
        <f>VLOOKUP(Table1[[#This Row],[Product ID]],Products!$A$2:$E$23,3,0)</f>
        <v>Clothing</v>
      </c>
      <c r="S136" t="str">
        <f>VLOOKUP(C136,Customers!$A$2:$F$201,4,0)</f>
        <v>Bihar</v>
      </c>
      <c r="T136" t="str">
        <f>VLOOKUP(Table1[[#This Row],[Customer ID]],Customers!$A$2:$F$201,5,0)</f>
        <v>East</v>
      </c>
      <c r="U136" t="str">
        <f>VLOOKUP(Table1[[#This Row],[Customer ID]],Customers!$A$2:$F$201,6,0)</f>
        <v>Corporate</v>
      </c>
      <c r="V136" t="str">
        <f>TEXT(Table1[[#This Row],[Order Date]],"MMM")</f>
        <v>Mar</v>
      </c>
      <c r="W136" t="str">
        <f>TEXT(Table1[[#This Row],[Order Date]],"yyyy")</f>
        <v>2024</v>
      </c>
    </row>
    <row r="137" spans="1:23" x14ac:dyDescent="0.25">
      <c r="A137" s="2" t="s">
        <v>280</v>
      </c>
      <c r="B137" s="4">
        <v>45378</v>
      </c>
      <c r="C137" s="2" t="s">
        <v>154</v>
      </c>
      <c r="D137" s="2" t="str">
        <f>TEXT(Table1[[#This Row],[Order Date]],"mmmm")</f>
        <v>March</v>
      </c>
      <c r="E137" s="2" t="s">
        <v>73</v>
      </c>
      <c r="F137" s="2">
        <v>10</v>
      </c>
      <c r="G137" s="5">
        <v>0</v>
      </c>
      <c r="H137" s="2" t="s">
        <v>30</v>
      </c>
      <c r="I137" s="2" t="s">
        <v>26</v>
      </c>
      <c r="J137" s="2" t="s">
        <v>21</v>
      </c>
      <c r="K137">
        <f>VLOOKUP(E137,Products!$A$2:$E$23,5,0)</f>
        <v>6499</v>
      </c>
      <c r="L137">
        <f>VLOOKUP(E137,Products!$A$2:$E$23,4,0)</f>
        <v>4200</v>
      </c>
      <c r="M137" s="2">
        <f>K137*F137-Table1[[#This Row],[discount_amount]]</f>
        <v>64990</v>
      </c>
      <c r="N137">
        <f t="shared" si="5"/>
        <v>42000</v>
      </c>
      <c r="O137">
        <f t="shared" si="4"/>
        <v>22990</v>
      </c>
      <c r="P137">
        <f>Table1[[#This Row],[Quantity]]*Table1[[#This Row],[unit_price]]*Table1[[#This Row],[Discount]]</f>
        <v>0</v>
      </c>
      <c r="Q137" t="str">
        <f>VLOOKUP(E137,Products!$A$2:$E$23,2,0)</f>
        <v>Study Table</v>
      </c>
      <c r="R137" t="str">
        <f>VLOOKUP(Table1[[#This Row],[Product ID]],Products!$A$2:$E$23,3,0)</f>
        <v>Furniture</v>
      </c>
      <c r="S137" t="str">
        <f>VLOOKUP(C137,Customers!$A$2:$F$201,4,0)</f>
        <v>Telangana</v>
      </c>
      <c r="T137" t="str">
        <f>VLOOKUP(Table1[[#This Row],[Customer ID]],Customers!$A$2:$F$201,5,0)</f>
        <v>South</v>
      </c>
      <c r="U137" t="str">
        <f>VLOOKUP(Table1[[#This Row],[Customer ID]],Customers!$A$2:$F$201,6,0)</f>
        <v>Consumer</v>
      </c>
      <c r="V137" t="str">
        <f>TEXT(Table1[[#This Row],[Order Date]],"MMM")</f>
        <v>Mar</v>
      </c>
      <c r="W137" t="str">
        <f>TEXT(Table1[[#This Row],[Order Date]],"yyyy")</f>
        <v>2024</v>
      </c>
    </row>
    <row r="138" spans="1:23" x14ac:dyDescent="0.25">
      <c r="A138" s="2" t="s">
        <v>281</v>
      </c>
      <c r="B138" s="4">
        <v>45378</v>
      </c>
      <c r="C138" s="2" t="s">
        <v>272</v>
      </c>
      <c r="D138" s="2" t="str">
        <f>TEXT(Table1[[#This Row],[Order Date]],"mmmm")</f>
        <v>March</v>
      </c>
      <c r="E138" s="2" t="s">
        <v>34</v>
      </c>
      <c r="F138" s="2">
        <v>6</v>
      </c>
      <c r="G138" s="5">
        <v>0</v>
      </c>
      <c r="H138" s="2" t="s">
        <v>19</v>
      </c>
      <c r="I138" s="2" t="s">
        <v>20</v>
      </c>
      <c r="J138" s="2" t="s">
        <v>21</v>
      </c>
      <c r="K138">
        <f>VLOOKUP(E138,Products!$A$2:$E$23,5,0)</f>
        <v>4599</v>
      </c>
      <c r="L138">
        <f>VLOOKUP(E138,Products!$A$2:$E$23,4,0)</f>
        <v>3000</v>
      </c>
      <c r="M138" s="2">
        <f>K138*F138-Table1[[#This Row],[discount_amount]]</f>
        <v>27594</v>
      </c>
      <c r="N138">
        <f t="shared" si="5"/>
        <v>18000</v>
      </c>
      <c r="O138">
        <f t="shared" si="4"/>
        <v>9594</v>
      </c>
      <c r="P138">
        <f>Table1[[#This Row],[Quantity]]*Table1[[#This Row],[unit_price]]*Table1[[#This Row],[Discount]]</f>
        <v>0</v>
      </c>
      <c r="Q138" t="str">
        <f>VLOOKUP(E138,Products!$A$2:$E$23,2,0)</f>
        <v>Filing Cabinet</v>
      </c>
      <c r="R138" t="str">
        <f>VLOOKUP(Table1[[#This Row],[Product ID]],Products!$A$2:$E$23,3,0)</f>
        <v>Furniture</v>
      </c>
      <c r="S138" t="str">
        <f>VLOOKUP(C138,Customers!$A$2:$F$201,4,0)</f>
        <v>Gujarat</v>
      </c>
      <c r="T138" t="str">
        <f>VLOOKUP(Table1[[#This Row],[Customer ID]],Customers!$A$2:$F$201,5,0)</f>
        <v>West</v>
      </c>
      <c r="U138" t="str">
        <f>VLOOKUP(Table1[[#This Row],[Customer ID]],Customers!$A$2:$F$201,6,0)</f>
        <v>Consumer</v>
      </c>
      <c r="V138" t="str">
        <f>TEXT(Table1[[#This Row],[Order Date]],"MMM")</f>
        <v>Mar</v>
      </c>
      <c r="W138" t="str">
        <f>TEXT(Table1[[#This Row],[Order Date]],"yyyy")</f>
        <v>2024</v>
      </c>
    </row>
    <row r="139" spans="1:23" x14ac:dyDescent="0.25">
      <c r="A139" s="2" t="s">
        <v>282</v>
      </c>
      <c r="B139" s="4">
        <v>45378</v>
      </c>
      <c r="C139" s="2" t="s">
        <v>148</v>
      </c>
      <c r="D139" s="2" t="str">
        <f>TEXT(Table1[[#This Row],[Order Date]],"mmmm")</f>
        <v>March</v>
      </c>
      <c r="E139" s="2" t="s">
        <v>34</v>
      </c>
      <c r="F139" s="2">
        <v>1</v>
      </c>
      <c r="G139" s="5">
        <v>0</v>
      </c>
      <c r="H139" s="2" t="s">
        <v>25</v>
      </c>
      <c r="I139" s="2" t="s">
        <v>20</v>
      </c>
      <c r="J139" s="2" t="s">
        <v>94</v>
      </c>
      <c r="K139">
        <f>VLOOKUP(E139,Products!$A$2:$E$23,5,0)</f>
        <v>4599</v>
      </c>
      <c r="L139">
        <f>VLOOKUP(E139,Products!$A$2:$E$23,4,0)</f>
        <v>3000</v>
      </c>
      <c r="M139" s="2">
        <f>K139*F139-Table1[[#This Row],[discount_amount]]</f>
        <v>4599</v>
      </c>
      <c r="N139">
        <f t="shared" si="5"/>
        <v>3000</v>
      </c>
      <c r="O139">
        <f t="shared" si="4"/>
        <v>1599</v>
      </c>
      <c r="P139">
        <f>Table1[[#This Row],[Quantity]]*Table1[[#This Row],[unit_price]]*Table1[[#This Row],[Discount]]</f>
        <v>0</v>
      </c>
      <c r="Q139" t="str">
        <f>VLOOKUP(E139,Products!$A$2:$E$23,2,0)</f>
        <v>Filing Cabinet</v>
      </c>
      <c r="R139" t="str">
        <f>VLOOKUP(Table1[[#This Row],[Product ID]],Products!$A$2:$E$23,3,0)</f>
        <v>Furniture</v>
      </c>
      <c r="S139" t="str">
        <f>VLOOKUP(C139,Customers!$A$2:$F$201,4,0)</f>
        <v>Uttar Pradesh</v>
      </c>
      <c r="T139" t="str">
        <f>VLOOKUP(Table1[[#This Row],[Customer ID]],Customers!$A$2:$F$201,5,0)</f>
        <v>North</v>
      </c>
      <c r="U139" t="str">
        <f>VLOOKUP(Table1[[#This Row],[Customer ID]],Customers!$A$2:$F$201,6,0)</f>
        <v>Corporate</v>
      </c>
      <c r="V139" t="str">
        <f>TEXT(Table1[[#This Row],[Order Date]],"MMM")</f>
        <v>Mar</v>
      </c>
      <c r="W139" t="str">
        <f>TEXT(Table1[[#This Row],[Order Date]],"yyyy")</f>
        <v>2024</v>
      </c>
    </row>
    <row r="140" spans="1:23" x14ac:dyDescent="0.25">
      <c r="A140" s="2" t="s">
        <v>283</v>
      </c>
      <c r="B140" s="4">
        <v>45379</v>
      </c>
      <c r="C140" s="2" t="s">
        <v>40</v>
      </c>
      <c r="D140" s="2" t="str">
        <f>TEXT(Table1[[#This Row],[Order Date]],"mmmm")</f>
        <v>March</v>
      </c>
      <c r="E140" s="2" t="s">
        <v>37</v>
      </c>
      <c r="F140" s="2">
        <v>2</v>
      </c>
      <c r="G140" s="5">
        <v>0.05</v>
      </c>
      <c r="H140" s="2" t="s">
        <v>30</v>
      </c>
      <c r="I140" s="2" t="s">
        <v>20</v>
      </c>
      <c r="J140" s="2" t="s">
        <v>21</v>
      </c>
      <c r="K140">
        <f>VLOOKUP(E140,Products!$A$2:$E$23,5,0)</f>
        <v>1799</v>
      </c>
      <c r="L140">
        <f>VLOOKUP(E140,Products!$A$2:$E$23,4,0)</f>
        <v>900</v>
      </c>
      <c r="M140" s="2">
        <f>K140*F140-Table1[[#This Row],[discount_amount]]</f>
        <v>3418.1</v>
      </c>
      <c r="N140">
        <f t="shared" si="5"/>
        <v>1800</v>
      </c>
      <c r="O140">
        <f t="shared" si="4"/>
        <v>1618.1</v>
      </c>
      <c r="P140">
        <f>Table1[[#This Row],[Quantity]]*Table1[[#This Row],[unit_price]]*Table1[[#This Row],[Discount]]</f>
        <v>179.9</v>
      </c>
      <c r="Q140" t="str">
        <f>VLOOKUP(E140,Products!$A$2:$E$23,2,0)</f>
        <v>Denim Jeans</v>
      </c>
      <c r="R140" t="str">
        <f>VLOOKUP(Table1[[#This Row],[Product ID]],Products!$A$2:$E$23,3,0)</f>
        <v>Clothing</v>
      </c>
      <c r="S140" t="str">
        <f>VLOOKUP(C140,Customers!$A$2:$F$201,4,0)</f>
        <v>Telangana</v>
      </c>
      <c r="T140" t="str">
        <f>VLOOKUP(Table1[[#This Row],[Customer ID]],Customers!$A$2:$F$201,5,0)</f>
        <v>South</v>
      </c>
      <c r="U140" t="str">
        <f>VLOOKUP(Table1[[#This Row],[Customer ID]],Customers!$A$2:$F$201,6,0)</f>
        <v>Corporate</v>
      </c>
      <c r="V140" t="str">
        <f>TEXT(Table1[[#This Row],[Order Date]],"MMM")</f>
        <v>Mar</v>
      </c>
      <c r="W140" t="str">
        <f>TEXT(Table1[[#This Row],[Order Date]],"yyyy")</f>
        <v>2024</v>
      </c>
    </row>
    <row r="141" spans="1:23" x14ac:dyDescent="0.25">
      <c r="A141" s="2" t="s">
        <v>284</v>
      </c>
      <c r="B141" s="4">
        <v>45379</v>
      </c>
      <c r="C141" s="2" t="s">
        <v>285</v>
      </c>
      <c r="D141" s="2" t="str">
        <f>TEXT(Table1[[#This Row],[Order Date]],"mmmm")</f>
        <v>March</v>
      </c>
      <c r="E141" s="2" t="s">
        <v>24</v>
      </c>
      <c r="F141" s="2">
        <v>5</v>
      </c>
      <c r="G141" s="5">
        <v>0.1</v>
      </c>
      <c r="H141" s="2" t="s">
        <v>19</v>
      </c>
      <c r="I141" s="2" t="s">
        <v>20</v>
      </c>
      <c r="J141" s="2" t="s">
        <v>21</v>
      </c>
      <c r="K141">
        <f>VLOOKUP(E141,Products!$A$2:$E$23,5,0)</f>
        <v>899</v>
      </c>
      <c r="L141">
        <f>VLOOKUP(E141,Products!$A$2:$E$23,4,0)</f>
        <v>500</v>
      </c>
      <c r="M141" s="2">
        <f>K141*F141-Table1[[#This Row],[discount_amount]]</f>
        <v>4045.5</v>
      </c>
      <c r="N141">
        <f t="shared" si="5"/>
        <v>2500</v>
      </c>
      <c r="O141">
        <f t="shared" si="4"/>
        <v>1545.5</v>
      </c>
      <c r="P141">
        <f>Table1[[#This Row],[Quantity]]*Table1[[#This Row],[unit_price]]*Table1[[#This Row],[Discount]]</f>
        <v>449.5</v>
      </c>
      <c r="Q141" t="str">
        <f>VLOOKUP(E141,Products!$A$2:$E$23,2,0)</f>
        <v>Monitor Stand</v>
      </c>
      <c r="R141" t="str">
        <f>VLOOKUP(Table1[[#This Row],[Product ID]],Products!$A$2:$E$23,3,0)</f>
        <v>Furniture</v>
      </c>
      <c r="S141" t="str">
        <f>VLOOKUP(C141,Customers!$A$2:$F$201,4,0)</f>
        <v>Gujarat</v>
      </c>
      <c r="T141" t="str">
        <f>VLOOKUP(Table1[[#This Row],[Customer ID]],Customers!$A$2:$F$201,5,0)</f>
        <v>West</v>
      </c>
      <c r="U141" t="str">
        <f>VLOOKUP(Table1[[#This Row],[Customer ID]],Customers!$A$2:$F$201,6,0)</f>
        <v>Home Office</v>
      </c>
      <c r="V141" t="str">
        <f>TEXT(Table1[[#This Row],[Order Date]],"MMM")</f>
        <v>Mar</v>
      </c>
      <c r="W141" t="str">
        <f>TEXT(Table1[[#This Row],[Order Date]],"yyyy")</f>
        <v>2024</v>
      </c>
    </row>
    <row r="142" spans="1:23" x14ac:dyDescent="0.25">
      <c r="A142" s="2" t="s">
        <v>286</v>
      </c>
      <c r="B142" s="4">
        <v>45379</v>
      </c>
      <c r="C142" s="2" t="s">
        <v>287</v>
      </c>
      <c r="D142" s="2" t="str">
        <f>TEXT(Table1[[#This Row],[Order Date]],"mmmm")</f>
        <v>March</v>
      </c>
      <c r="E142" s="2" t="s">
        <v>57</v>
      </c>
      <c r="F142" s="2">
        <v>2</v>
      </c>
      <c r="G142" s="5">
        <v>0</v>
      </c>
      <c r="H142" s="2" t="s">
        <v>25</v>
      </c>
      <c r="I142" s="2" t="s">
        <v>46</v>
      </c>
      <c r="J142" s="2" t="s">
        <v>21</v>
      </c>
      <c r="K142">
        <f>VLOOKUP(E142,Products!$A$2:$E$23,5,0)</f>
        <v>1599</v>
      </c>
      <c r="L142">
        <f>VLOOKUP(E142,Products!$A$2:$E$23,4,0)</f>
        <v>800</v>
      </c>
      <c r="M142" s="2">
        <f>K142*F142-Table1[[#This Row],[discount_amount]]</f>
        <v>3198</v>
      </c>
      <c r="N142">
        <f t="shared" si="5"/>
        <v>1600</v>
      </c>
      <c r="O142">
        <f t="shared" si="4"/>
        <v>1598</v>
      </c>
      <c r="P142">
        <f>Table1[[#This Row],[Quantity]]*Table1[[#This Row],[unit_price]]*Table1[[#This Row],[Discount]]</f>
        <v>0</v>
      </c>
      <c r="Q142" t="str">
        <f>VLOOKUP(E142,Products!$A$2:$E$23,2,0)</f>
        <v>Hoodie</v>
      </c>
      <c r="R142" t="str">
        <f>VLOOKUP(Table1[[#This Row],[Product ID]],Products!$A$2:$E$23,3,0)</f>
        <v>Clothing</v>
      </c>
      <c r="S142" t="str">
        <f>VLOOKUP(C142,Customers!$A$2:$F$201,4,0)</f>
        <v>Kerala</v>
      </c>
      <c r="T142" t="str">
        <f>VLOOKUP(Table1[[#This Row],[Customer ID]],Customers!$A$2:$F$201,5,0)</f>
        <v>South</v>
      </c>
      <c r="U142" t="str">
        <f>VLOOKUP(Table1[[#This Row],[Customer ID]],Customers!$A$2:$F$201,6,0)</f>
        <v>Corporate</v>
      </c>
      <c r="V142" t="str">
        <f>TEXT(Table1[[#This Row],[Order Date]],"MMM")</f>
        <v>Mar</v>
      </c>
      <c r="W142" t="str">
        <f>TEXT(Table1[[#This Row],[Order Date]],"yyyy")</f>
        <v>2024</v>
      </c>
    </row>
    <row r="143" spans="1:23" x14ac:dyDescent="0.25">
      <c r="A143" s="2" t="s">
        <v>288</v>
      </c>
      <c r="B143" s="4">
        <v>45382</v>
      </c>
      <c r="C143" s="2" t="s">
        <v>235</v>
      </c>
      <c r="D143" s="2" t="str">
        <f>TEXT(Table1[[#This Row],[Order Date]],"mmmm")</f>
        <v>March</v>
      </c>
      <c r="E143" s="2" t="s">
        <v>111</v>
      </c>
      <c r="F143" s="2">
        <v>2</v>
      </c>
      <c r="G143" s="5">
        <v>0.2</v>
      </c>
      <c r="H143" s="2" t="s">
        <v>19</v>
      </c>
      <c r="I143" s="2" t="s">
        <v>20</v>
      </c>
      <c r="J143" s="2" t="s">
        <v>94</v>
      </c>
      <c r="K143">
        <f>VLOOKUP(E143,Products!$A$2:$E$23,5,0)</f>
        <v>240</v>
      </c>
      <c r="L143">
        <f>VLOOKUP(E143,Products!$A$2:$E$23,4,0)</f>
        <v>140</v>
      </c>
      <c r="M143" s="2">
        <f>K143*F143-Table1[[#This Row],[discount_amount]]</f>
        <v>384</v>
      </c>
      <c r="N143">
        <f t="shared" si="5"/>
        <v>280</v>
      </c>
      <c r="O143">
        <f t="shared" si="4"/>
        <v>104</v>
      </c>
      <c r="P143">
        <f>Table1[[#This Row],[Quantity]]*Table1[[#This Row],[unit_price]]*Table1[[#This Row],[Discount]]</f>
        <v>96</v>
      </c>
      <c r="Q143" t="str">
        <f>VLOOKUP(E143,Products!$A$2:$E$23,2,0)</f>
        <v>Whiteboard Marker Set</v>
      </c>
      <c r="R143" t="str">
        <f>VLOOKUP(Table1[[#This Row],[Product ID]],Products!$A$2:$E$23,3,0)</f>
        <v>Office Supplies</v>
      </c>
      <c r="S143" t="str">
        <f>VLOOKUP(C143,Customers!$A$2:$F$201,4,0)</f>
        <v>Bihar</v>
      </c>
      <c r="T143" t="str">
        <f>VLOOKUP(Table1[[#This Row],[Customer ID]],Customers!$A$2:$F$201,5,0)</f>
        <v>East</v>
      </c>
      <c r="U143" t="str">
        <f>VLOOKUP(Table1[[#This Row],[Customer ID]],Customers!$A$2:$F$201,6,0)</f>
        <v>Home Office</v>
      </c>
      <c r="V143" t="str">
        <f>TEXT(Table1[[#This Row],[Order Date]],"MMM")</f>
        <v>Mar</v>
      </c>
      <c r="W143" t="str">
        <f>TEXT(Table1[[#This Row],[Order Date]],"yyyy")</f>
        <v>2024</v>
      </c>
    </row>
    <row r="144" spans="1:23" x14ac:dyDescent="0.25">
      <c r="A144" s="2" t="s">
        <v>289</v>
      </c>
      <c r="B144" s="4">
        <v>45382</v>
      </c>
      <c r="C144" s="2" t="s">
        <v>254</v>
      </c>
      <c r="D144" s="2" t="str">
        <f>TEXT(Table1[[#This Row],[Order Date]],"mmmm")</f>
        <v>March</v>
      </c>
      <c r="E144" s="2" t="s">
        <v>91</v>
      </c>
      <c r="F144" s="2">
        <v>4</v>
      </c>
      <c r="G144" s="5">
        <v>0</v>
      </c>
      <c r="H144" s="2" t="s">
        <v>19</v>
      </c>
      <c r="I144" s="2" t="s">
        <v>26</v>
      </c>
      <c r="J144" s="2" t="s">
        <v>21</v>
      </c>
      <c r="K144">
        <f>VLOOKUP(E144,Products!$A$2:$E$23,5,0)</f>
        <v>1199</v>
      </c>
      <c r="L144">
        <f>VLOOKUP(E144,Products!$A$2:$E$23,4,0)</f>
        <v>600</v>
      </c>
      <c r="M144" s="2">
        <f>K144*F144-Table1[[#This Row],[discount_amount]]</f>
        <v>4796</v>
      </c>
      <c r="N144">
        <f t="shared" si="5"/>
        <v>2400</v>
      </c>
      <c r="O144">
        <f t="shared" si="4"/>
        <v>2396</v>
      </c>
      <c r="P144">
        <f>Table1[[#This Row],[Quantity]]*Table1[[#This Row],[unit_price]]*Table1[[#This Row],[Discount]]</f>
        <v>0</v>
      </c>
      <c r="Q144" t="str">
        <f>VLOOKUP(E144,Products!$A$2:$E$23,2,0)</f>
        <v>Formal Shirt</v>
      </c>
      <c r="R144" t="str">
        <f>VLOOKUP(Table1[[#This Row],[Product ID]],Products!$A$2:$E$23,3,0)</f>
        <v>Clothing</v>
      </c>
      <c r="S144" t="str">
        <f>VLOOKUP(C144,Customers!$A$2:$F$201,4,0)</f>
        <v>Rajasthan</v>
      </c>
      <c r="T144" t="str">
        <f>VLOOKUP(Table1[[#This Row],[Customer ID]],Customers!$A$2:$F$201,5,0)</f>
        <v>North</v>
      </c>
      <c r="U144" t="str">
        <f>VLOOKUP(Table1[[#This Row],[Customer ID]],Customers!$A$2:$F$201,6,0)</f>
        <v>Consumer</v>
      </c>
      <c r="V144" t="str">
        <f>TEXT(Table1[[#This Row],[Order Date]],"MMM")</f>
        <v>Mar</v>
      </c>
      <c r="W144" t="str">
        <f>TEXT(Table1[[#This Row],[Order Date]],"yyyy")</f>
        <v>2024</v>
      </c>
    </row>
    <row r="145" spans="1:23" x14ac:dyDescent="0.25">
      <c r="A145" s="2" t="s">
        <v>290</v>
      </c>
      <c r="B145" s="4">
        <v>45384</v>
      </c>
      <c r="C145" s="2" t="s">
        <v>291</v>
      </c>
      <c r="D145" s="2" t="str">
        <f>TEXT(Table1[[#This Row],[Order Date]],"mmmm")</f>
        <v>April</v>
      </c>
      <c r="E145" s="2" t="s">
        <v>155</v>
      </c>
      <c r="F145" s="2">
        <v>2</v>
      </c>
      <c r="G145" s="5">
        <v>0.05</v>
      </c>
      <c r="H145" s="2" t="s">
        <v>25</v>
      </c>
      <c r="I145" s="2" t="s">
        <v>31</v>
      </c>
      <c r="J145" s="2" t="s">
        <v>21</v>
      </c>
      <c r="K145">
        <f>VLOOKUP(E145,Products!$A$2:$E$23,5,0)</f>
        <v>1599</v>
      </c>
      <c r="L145">
        <f>VLOOKUP(E145,Products!$A$2:$E$23,4,0)</f>
        <v>900</v>
      </c>
      <c r="M145" s="2">
        <f>K145*F145-Table1[[#This Row],[discount_amount]]</f>
        <v>3038.1</v>
      </c>
      <c r="N145">
        <f t="shared" si="5"/>
        <v>1800</v>
      </c>
      <c r="O145">
        <f t="shared" si="4"/>
        <v>1238.0999999999999</v>
      </c>
      <c r="P145">
        <f>Table1[[#This Row],[Quantity]]*Table1[[#This Row],[unit_price]]*Table1[[#This Row],[Discount]]</f>
        <v>159.9</v>
      </c>
      <c r="Q145" t="str">
        <f>VLOOKUP(E145,Products!$A$2:$E$23,2,0)</f>
        <v>Headphones</v>
      </c>
      <c r="R145" t="str">
        <f>VLOOKUP(Table1[[#This Row],[Product ID]],Products!$A$2:$E$23,3,0)</f>
        <v>Electronics</v>
      </c>
      <c r="S145" t="str">
        <f>VLOOKUP(C145,Customers!$A$2:$F$201,4,0)</f>
        <v>Rajasthan</v>
      </c>
      <c r="T145" t="str">
        <f>VLOOKUP(Table1[[#This Row],[Customer ID]],Customers!$A$2:$F$201,5,0)</f>
        <v>North</v>
      </c>
      <c r="U145" t="str">
        <f>VLOOKUP(Table1[[#This Row],[Customer ID]],Customers!$A$2:$F$201,6,0)</f>
        <v>Consumer</v>
      </c>
      <c r="V145" t="str">
        <f>TEXT(Table1[[#This Row],[Order Date]],"MMM")</f>
        <v>Apr</v>
      </c>
      <c r="W145" t="str">
        <f>TEXT(Table1[[#This Row],[Order Date]],"yyyy")</f>
        <v>2024</v>
      </c>
    </row>
    <row r="146" spans="1:23" x14ac:dyDescent="0.25">
      <c r="A146" s="2" t="s">
        <v>292</v>
      </c>
      <c r="B146" s="4">
        <v>45384</v>
      </c>
      <c r="C146" s="2" t="s">
        <v>28</v>
      </c>
      <c r="D146" s="2" t="str">
        <f>TEXT(Table1[[#This Row],[Order Date]],"mmmm")</f>
        <v>April</v>
      </c>
      <c r="E146" s="2" t="s">
        <v>49</v>
      </c>
      <c r="F146" s="2">
        <v>6</v>
      </c>
      <c r="G146" s="5">
        <v>0.15</v>
      </c>
      <c r="H146" s="2" t="s">
        <v>19</v>
      </c>
      <c r="I146" s="2" t="s">
        <v>38</v>
      </c>
      <c r="J146" s="2" t="s">
        <v>21</v>
      </c>
      <c r="K146">
        <f>VLOOKUP(E146,Products!$A$2:$E$23,5,0)</f>
        <v>700</v>
      </c>
      <c r="L146">
        <f>VLOOKUP(E146,Products!$A$2:$E$23,4,0)</f>
        <v>450</v>
      </c>
      <c r="M146" s="2">
        <f>K146*F146-Table1[[#This Row],[discount_amount]]</f>
        <v>3570</v>
      </c>
      <c r="N146">
        <f t="shared" si="5"/>
        <v>2700</v>
      </c>
      <c r="O146">
        <f t="shared" si="4"/>
        <v>870</v>
      </c>
      <c r="P146">
        <f>Table1[[#This Row],[Quantity]]*Table1[[#This Row],[unit_price]]*Table1[[#This Row],[Discount]]</f>
        <v>630</v>
      </c>
      <c r="Q146" t="str">
        <f>VLOOKUP(E146,Products!$A$2:$E$23,2,0)</f>
        <v>Wireless Mouse</v>
      </c>
      <c r="R146" t="str">
        <f>VLOOKUP(Table1[[#This Row],[Product ID]],Products!$A$2:$E$23,3,0)</f>
        <v>Electronics</v>
      </c>
      <c r="S146" t="str">
        <f>VLOOKUP(C146,Customers!$A$2:$F$201,4,0)</f>
        <v>Maharashtra</v>
      </c>
      <c r="T146" t="str">
        <f>VLOOKUP(Table1[[#This Row],[Customer ID]],Customers!$A$2:$F$201,5,0)</f>
        <v>West</v>
      </c>
      <c r="U146" t="str">
        <f>VLOOKUP(Table1[[#This Row],[Customer ID]],Customers!$A$2:$F$201,6,0)</f>
        <v>Consumer</v>
      </c>
      <c r="V146" t="str">
        <f>TEXT(Table1[[#This Row],[Order Date]],"MMM")</f>
        <v>Apr</v>
      </c>
      <c r="W146" t="str">
        <f>TEXT(Table1[[#This Row],[Order Date]],"yyyy")</f>
        <v>2024</v>
      </c>
    </row>
    <row r="147" spans="1:23" x14ac:dyDescent="0.25">
      <c r="A147" s="2" t="s">
        <v>293</v>
      </c>
      <c r="B147" s="4">
        <v>45384</v>
      </c>
      <c r="C147" s="2" t="s">
        <v>194</v>
      </c>
      <c r="D147" s="2" t="str">
        <f>TEXT(Table1[[#This Row],[Order Date]],"mmmm")</f>
        <v>April</v>
      </c>
      <c r="E147" s="2" t="s">
        <v>135</v>
      </c>
      <c r="F147" s="2">
        <v>6</v>
      </c>
      <c r="G147" s="5">
        <v>0</v>
      </c>
      <c r="H147" s="2" t="s">
        <v>19</v>
      </c>
      <c r="I147" s="2" t="s">
        <v>46</v>
      </c>
      <c r="J147" s="2" t="s">
        <v>21</v>
      </c>
      <c r="K147">
        <f>VLOOKUP(E147,Products!$A$2:$E$23,5,0)</f>
        <v>220</v>
      </c>
      <c r="L147">
        <f>VLOOKUP(E147,Products!$A$2:$E$23,4,0)</f>
        <v>120</v>
      </c>
      <c r="M147" s="2">
        <f>K147*F147-Table1[[#This Row],[discount_amount]]</f>
        <v>1320</v>
      </c>
      <c r="N147">
        <f t="shared" si="5"/>
        <v>720</v>
      </c>
      <c r="O147">
        <f t="shared" si="4"/>
        <v>600</v>
      </c>
      <c r="P147">
        <f>Table1[[#This Row],[Quantity]]*Table1[[#This Row],[unit_price]]*Table1[[#This Row],[Discount]]</f>
        <v>0</v>
      </c>
      <c r="Q147" t="str">
        <f>VLOOKUP(E147,Products!$A$2:$E$23,2,0)</f>
        <v>Stapler</v>
      </c>
      <c r="R147" t="str">
        <f>VLOOKUP(Table1[[#This Row],[Product ID]],Products!$A$2:$E$23,3,0)</f>
        <v>Office Supplies</v>
      </c>
      <c r="S147" t="str">
        <f>VLOOKUP(C147,Customers!$A$2:$F$201,4,0)</f>
        <v>Telangana</v>
      </c>
      <c r="T147" t="str">
        <f>VLOOKUP(Table1[[#This Row],[Customer ID]],Customers!$A$2:$F$201,5,0)</f>
        <v>South</v>
      </c>
      <c r="U147" t="str">
        <f>VLOOKUP(Table1[[#This Row],[Customer ID]],Customers!$A$2:$F$201,6,0)</f>
        <v>Consumer</v>
      </c>
      <c r="V147" t="str">
        <f>TEXT(Table1[[#This Row],[Order Date]],"MMM")</f>
        <v>Apr</v>
      </c>
      <c r="W147" t="str">
        <f>TEXT(Table1[[#This Row],[Order Date]],"yyyy")</f>
        <v>2024</v>
      </c>
    </row>
    <row r="148" spans="1:23" x14ac:dyDescent="0.25">
      <c r="A148" s="2" t="s">
        <v>294</v>
      </c>
      <c r="B148" s="4">
        <v>45384</v>
      </c>
      <c r="C148" s="2" t="s">
        <v>295</v>
      </c>
      <c r="D148" s="2" t="str">
        <f>TEXT(Table1[[#This Row],[Order Date]],"mmmm")</f>
        <v>April</v>
      </c>
      <c r="E148" s="2" t="s">
        <v>135</v>
      </c>
      <c r="F148" s="2">
        <v>1</v>
      </c>
      <c r="G148" s="5">
        <v>0.05</v>
      </c>
      <c r="H148" s="2" t="s">
        <v>25</v>
      </c>
      <c r="I148" s="2" t="s">
        <v>20</v>
      </c>
      <c r="J148" s="2" t="s">
        <v>21</v>
      </c>
      <c r="K148">
        <f>VLOOKUP(E148,Products!$A$2:$E$23,5,0)</f>
        <v>220</v>
      </c>
      <c r="L148">
        <f>VLOOKUP(E148,Products!$A$2:$E$23,4,0)</f>
        <v>120</v>
      </c>
      <c r="M148" s="2">
        <f>K148*F148-Table1[[#This Row],[discount_amount]]</f>
        <v>209</v>
      </c>
      <c r="N148">
        <f t="shared" si="5"/>
        <v>120</v>
      </c>
      <c r="O148">
        <f t="shared" si="4"/>
        <v>89</v>
      </c>
      <c r="P148">
        <f>Table1[[#This Row],[Quantity]]*Table1[[#This Row],[unit_price]]*Table1[[#This Row],[Discount]]</f>
        <v>11</v>
      </c>
      <c r="Q148" t="str">
        <f>VLOOKUP(E148,Products!$A$2:$E$23,2,0)</f>
        <v>Stapler</v>
      </c>
      <c r="R148" t="str">
        <f>VLOOKUP(Table1[[#This Row],[Product ID]],Products!$A$2:$E$23,3,0)</f>
        <v>Office Supplies</v>
      </c>
      <c r="S148" t="str">
        <f>VLOOKUP(C148,Customers!$A$2:$F$201,4,0)</f>
        <v>Gujarat</v>
      </c>
      <c r="T148" t="str">
        <f>VLOOKUP(Table1[[#This Row],[Customer ID]],Customers!$A$2:$F$201,5,0)</f>
        <v>West</v>
      </c>
      <c r="U148" t="str">
        <f>VLOOKUP(Table1[[#This Row],[Customer ID]],Customers!$A$2:$F$201,6,0)</f>
        <v>Corporate</v>
      </c>
      <c r="V148" t="str">
        <f>TEXT(Table1[[#This Row],[Order Date]],"MMM")</f>
        <v>Apr</v>
      </c>
      <c r="W148" t="str">
        <f>TEXT(Table1[[#This Row],[Order Date]],"yyyy")</f>
        <v>2024</v>
      </c>
    </row>
    <row r="149" spans="1:23" x14ac:dyDescent="0.25">
      <c r="A149" s="2" t="s">
        <v>296</v>
      </c>
      <c r="B149" s="4">
        <v>45385</v>
      </c>
      <c r="C149" s="2" t="s">
        <v>297</v>
      </c>
      <c r="D149" s="2" t="str">
        <f>TEXT(Table1[[#This Row],[Order Date]],"mmmm")</f>
        <v>April</v>
      </c>
      <c r="E149" s="2" t="s">
        <v>121</v>
      </c>
      <c r="F149" s="2">
        <v>5</v>
      </c>
      <c r="G149" s="5">
        <v>0.05</v>
      </c>
      <c r="H149" s="2" t="s">
        <v>19</v>
      </c>
      <c r="I149" s="2" t="s">
        <v>31</v>
      </c>
      <c r="J149" s="2" t="s">
        <v>21</v>
      </c>
      <c r="K149">
        <f>VLOOKUP(E149,Products!$A$2:$E$23,5,0)</f>
        <v>499</v>
      </c>
      <c r="L149">
        <f>VLOOKUP(E149,Products!$A$2:$E$23,4,0)</f>
        <v>250</v>
      </c>
      <c r="M149" s="2">
        <f>K149*F149-Table1[[#This Row],[discount_amount]]</f>
        <v>2370.25</v>
      </c>
      <c r="N149">
        <f t="shared" si="5"/>
        <v>1250</v>
      </c>
      <c r="O149">
        <f t="shared" si="4"/>
        <v>1120.25</v>
      </c>
      <c r="P149">
        <f>Table1[[#This Row],[Quantity]]*Table1[[#This Row],[unit_price]]*Table1[[#This Row],[Discount]]</f>
        <v>124.75</v>
      </c>
      <c r="Q149" t="str">
        <f>VLOOKUP(E149,Products!$A$2:$E$23,2,0)</f>
        <v>Cotton T-Shirt</v>
      </c>
      <c r="R149" t="str">
        <f>VLOOKUP(Table1[[#This Row],[Product ID]],Products!$A$2:$E$23,3,0)</f>
        <v>Clothing</v>
      </c>
      <c r="S149" t="str">
        <f>VLOOKUP(C149,Customers!$A$2:$F$201,4,0)</f>
        <v>Maharashtra</v>
      </c>
      <c r="T149" t="str">
        <f>VLOOKUP(Table1[[#This Row],[Customer ID]],Customers!$A$2:$F$201,5,0)</f>
        <v>West</v>
      </c>
      <c r="U149" t="str">
        <f>VLOOKUP(Table1[[#This Row],[Customer ID]],Customers!$A$2:$F$201,6,0)</f>
        <v>Consumer</v>
      </c>
      <c r="V149" t="str">
        <f>TEXT(Table1[[#This Row],[Order Date]],"MMM")</f>
        <v>Apr</v>
      </c>
      <c r="W149" t="str">
        <f>TEXT(Table1[[#This Row],[Order Date]],"yyyy")</f>
        <v>2024</v>
      </c>
    </row>
    <row r="150" spans="1:23" x14ac:dyDescent="0.25">
      <c r="A150" s="2" t="s">
        <v>298</v>
      </c>
      <c r="B150" s="4">
        <v>45385</v>
      </c>
      <c r="C150" s="2" t="s">
        <v>44</v>
      </c>
      <c r="D150" s="2" t="str">
        <f>TEXT(Table1[[#This Row],[Order Date]],"mmmm")</f>
        <v>April</v>
      </c>
      <c r="E150" s="2" t="s">
        <v>37</v>
      </c>
      <c r="F150" s="2">
        <v>1</v>
      </c>
      <c r="G150" s="5">
        <v>0</v>
      </c>
      <c r="H150" s="2" t="s">
        <v>25</v>
      </c>
      <c r="I150" s="2" t="s">
        <v>26</v>
      </c>
      <c r="J150" s="2" t="s">
        <v>21</v>
      </c>
      <c r="K150">
        <f>VLOOKUP(E150,Products!$A$2:$E$23,5,0)</f>
        <v>1799</v>
      </c>
      <c r="L150">
        <f>VLOOKUP(E150,Products!$A$2:$E$23,4,0)</f>
        <v>900</v>
      </c>
      <c r="M150" s="2">
        <f>K150*F150-Table1[[#This Row],[discount_amount]]</f>
        <v>1799</v>
      </c>
      <c r="N150">
        <f t="shared" si="5"/>
        <v>900</v>
      </c>
      <c r="O150">
        <f t="shared" si="4"/>
        <v>899</v>
      </c>
      <c r="P150">
        <f>Table1[[#This Row],[Quantity]]*Table1[[#This Row],[unit_price]]*Table1[[#This Row],[Discount]]</f>
        <v>0</v>
      </c>
      <c r="Q150" t="str">
        <f>VLOOKUP(E150,Products!$A$2:$E$23,2,0)</f>
        <v>Denim Jeans</v>
      </c>
      <c r="R150" t="str">
        <f>VLOOKUP(Table1[[#This Row],[Product ID]],Products!$A$2:$E$23,3,0)</f>
        <v>Clothing</v>
      </c>
      <c r="S150" t="str">
        <f>VLOOKUP(C150,Customers!$A$2:$F$201,4,0)</f>
        <v>Gujarat</v>
      </c>
      <c r="T150" t="str">
        <f>VLOOKUP(Table1[[#This Row],[Customer ID]],Customers!$A$2:$F$201,5,0)</f>
        <v>West</v>
      </c>
      <c r="U150" t="str">
        <f>VLOOKUP(Table1[[#This Row],[Customer ID]],Customers!$A$2:$F$201,6,0)</f>
        <v>Home Office</v>
      </c>
      <c r="V150" t="str">
        <f>TEXT(Table1[[#This Row],[Order Date]],"MMM")</f>
        <v>Apr</v>
      </c>
      <c r="W150" t="str">
        <f>TEXT(Table1[[#This Row],[Order Date]],"yyyy")</f>
        <v>2024</v>
      </c>
    </row>
    <row r="151" spans="1:23" x14ac:dyDescent="0.25">
      <c r="A151" s="2" t="s">
        <v>299</v>
      </c>
      <c r="B151" s="4">
        <v>45385</v>
      </c>
      <c r="C151" s="2" t="s">
        <v>166</v>
      </c>
      <c r="D151" s="2" t="str">
        <f>TEXT(Table1[[#This Row],[Order Date]],"mmmm")</f>
        <v>April</v>
      </c>
      <c r="E151" s="2" t="s">
        <v>82</v>
      </c>
      <c r="F151" s="2">
        <v>1</v>
      </c>
      <c r="G151" s="5">
        <v>0.05</v>
      </c>
      <c r="H151" s="2" t="s">
        <v>25</v>
      </c>
      <c r="I151" s="2" t="s">
        <v>20</v>
      </c>
      <c r="J151" s="2" t="s">
        <v>21</v>
      </c>
      <c r="K151">
        <f>VLOOKUP(E151,Products!$A$2:$E$23,5,0)</f>
        <v>1799</v>
      </c>
      <c r="L151">
        <f>VLOOKUP(E151,Products!$A$2:$E$23,4,0)</f>
        <v>1100</v>
      </c>
      <c r="M151" s="2">
        <f>K151*F151-Table1[[#This Row],[discount_amount]]</f>
        <v>1709.05</v>
      </c>
      <c r="N151">
        <f t="shared" si="5"/>
        <v>1100</v>
      </c>
      <c r="O151">
        <f t="shared" si="4"/>
        <v>609.04999999999995</v>
      </c>
      <c r="P151">
        <f>Table1[[#This Row],[Quantity]]*Table1[[#This Row],[unit_price]]*Table1[[#This Row],[Discount]]</f>
        <v>89.95</v>
      </c>
      <c r="Q151" t="str">
        <f>VLOOKUP(E151,Products!$A$2:$E$23,2,0)</f>
        <v>Webcam HD</v>
      </c>
      <c r="R151" t="str">
        <f>VLOOKUP(Table1[[#This Row],[Product ID]],Products!$A$2:$E$23,3,0)</f>
        <v>Electronics</v>
      </c>
      <c r="S151" t="str">
        <f>VLOOKUP(C151,Customers!$A$2:$F$201,4,0)</f>
        <v>Gujarat</v>
      </c>
      <c r="T151" t="str">
        <f>VLOOKUP(Table1[[#This Row],[Customer ID]],Customers!$A$2:$F$201,5,0)</f>
        <v>West</v>
      </c>
      <c r="U151" t="str">
        <f>VLOOKUP(Table1[[#This Row],[Customer ID]],Customers!$A$2:$F$201,6,0)</f>
        <v>Consumer</v>
      </c>
      <c r="V151" t="str">
        <f>TEXT(Table1[[#This Row],[Order Date]],"MMM")</f>
        <v>Apr</v>
      </c>
      <c r="W151" t="str">
        <f>TEXT(Table1[[#This Row],[Order Date]],"yyyy")</f>
        <v>2024</v>
      </c>
    </row>
    <row r="152" spans="1:23" x14ac:dyDescent="0.25">
      <c r="A152" s="2" t="s">
        <v>300</v>
      </c>
      <c r="B152" s="4">
        <v>45385</v>
      </c>
      <c r="C152" s="2" t="s">
        <v>301</v>
      </c>
      <c r="D152" s="2" t="str">
        <f>TEXT(Table1[[#This Row],[Order Date]],"mmmm")</f>
        <v>April</v>
      </c>
      <c r="E152" s="2" t="s">
        <v>24</v>
      </c>
      <c r="F152" s="2">
        <v>1</v>
      </c>
      <c r="G152" s="5">
        <v>0</v>
      </c>
      <c r="H152" s="2" t="s">
        <v>25</v>
      </c>
      <c r="I152" s="2" t="s">
        <v>31</v>
      </c>
      <c r="J152" s="2" t="s">
        <v>21</v>
      </c>
      <c r="K152">
        <f>VLOOKUP(E152,Products!$A$2:$E$23,5,0)</f>
        <v>899</v>
      </c>
      <c r="L152">
        <f>VLOOKUP(E152,Products!$A$2:$E$23,4,0)</f>
        <v>500</v>
      </c>
      <c r="M152" s="2">
        <f>K152*F152-Table1[[#This Row],[discount_amount]]</f>
        <v>899</v>
      </c>
      <c r="N152">
        <f t="shared" si="5"/>
        <v>500</v>
      </c>
      <c r="O152">
        <f t="shared" si="4"/>
        <v>399</v>
      </c>
      <c r="P152">
        <f>Table1[[#This Row],[Quantity]]*Table1[[#This Row],[unit_price]]*Table1[[#This Row],[Discount]]</f>
        <v>0</v>
      </c>
      <c r="Q152" t="str">
        <f>VLOOKUP(E152,Products!$A$2:$E$23,2,0)</f>
        <v>Monitor Stand</v>
      </c>
      <c r="R152" t="str">
        <f>VLOOKUP(Table1[[#This Row],[Product ID]],Products!$A$2:$E$23,3,0)</f>
        <v>Furniture</v>
      </c>
      <c r="S152" t="str">
        <f>VLOOKUP(C152,Customers!$A$2:$F$201,4,0)</f>
        <v>Chandigarh</v>
      </c>
      <c r="T152" t="str">
        <f>VLOOKUP(Table1[[#This Row],[Customer ID]],Customers!$A$2:$F$201,5,0)</f>
        <v>North</v>
      </c>
      <c r="U152" t="str">
        <f>VLOOKUP(Table1[[#This Row],[Customer ID]],Customers!$A$2:$F$201,6,0)</f>
        <v>Home Office</v>
      </c>
      <c r="V152" t="str">
        <f>TEXT(Table1[[#This Row],[Order Date]],"MMM")</f>
        <v>Apr</v>
      </c>
      <c r="W152" t="str">
        <f>TEXT(Table1[[#This Row],[Order Date]],"yyyy")</f>
        <v>2024</v>
      </c>
    </row>
    <row r="153" spans="1:23" x14ac:dyDescent="0.25">
      <c r="A153" s="2" t="s">
        <v>302</v>
      </c>
      <c r="B153" s="4">
        <v>45385</v>
      </c>
      <c r="C153" s="2" t="s">
        <v>90</v>
      </c>
      <c r="D153" s="2" t="str">
        <f>TEXT(Table1[[#This Row],[Order Date]],"mmmm")</f>
        <v>April</v>
      </c>
      <c r="E153" s="2" t="s">
        <v>121</v>
      </c>
      <c r="F153" s="2">
        <v>2</v>
      </c>
      <c r="G153" s="5">
        <v>0.05</v>
      </c>
      <c r="H153" s="2" t="s">
        <v>25</v>
      </c>
      <c r="I153" s="2" t="s">
        <v>31</v>
      </c>
      <c r="J153" s="2" t="s">
        <v>21</v>
      </c>
      <c r="K153">
        <f>VLOOKUP(E153,Products!$A$2:$E$23,5,0)</f>
        <v>499</v>
      </c>
      <c r="L153">
        <f>VLOOKUP(E153,Products!$A$2:$E$23,4,0)</f>
        <v>250</v>
      </c>
      <c r="M153" s="2">
        <f>K153*F153-Table1[[#This Row],[discount_amount]]</f>
        <v>948.1</v>
      </c>
      <c r="N153">
        <f t="shared" si="5"/>
        <v>500</v>
      </c>
      <c r="O153">
        <f t="shared" si="4"/>
        <v>448.1</v>
      </c>
      <c r="P153">
        <f>Table1[[#This Row],[Quantity]]*Table1[[#This Row],[unit_price]]*Table1[[#This Row],[Discount]]</f>
        <v>49.900000000000006</v>
      </c>
      <c r="Q153" t="str">
        <f>VLOOKUP(E153,Products!$A$2:$E$23,2,0)</f>
        <v>Cotton T-Shirt</v>
      </c>
      <c r="R153" t="str">
        <f>VLOOKUP(Table1[[#This Row],[Product ID]],Products!$A$2:$E$23,3,0)</f>
        <v>Clothing</v>
      </c>
      <c r="S153" t="str">
        <f>VLOOKUP(C153,Customers!$A$2:$F$201,4,0)</f>
        <v>Kerala</v>
      </c>
      <c r="T153" t="str">
        <f>VLOOKUP(Table1[[#This Row],[Customer ID]],Customers!$A$2:$F$201,5,0)</f>
        <v>South</v>
      </c>
      <c r="U153" t="str">
        <f>VLOOKUP(Table1[[#This Row],[Customer ID]],Customers!$A$2:$F$201,6,0)</f>
        <v>Corporate</v>
      </c>
      <c r="V153" t="str">
        <f>TEXT(Table1[[#This Row],[Order Date]],"MMM")</f>
        <v>Apr</v>
      </c>
      <c r="W153" t="str">
        <f>TEXT(Table1[[#This Row],[Order Date]],"yyyy")</f>
        <v>2024</v>
      </c>
    </row>
    <row r="154" spans="1:23" x14ac:dyDescent="0.25">
      <c r="A154" s="2" t="s">
        <v>303</v>
      </c>
      <c r="B154" s="4">
        <v>45385</v>
      </c>
      <c r="C154" s="2" t="s">
        <v>304</v>
      </c>
      <c r="D154" s="2" t="str">
        <f>TEXT(Table1[[#This Row],[Order Date]],"mmmm")</f>
        <v>April</v>
      </c>
      <c r="E154" s="2" t="s">
        <v>60</v>
      </c>
      <c r="F154" s="2">
        <v>4</v>
      </c>
      <c r="G154" s="5">
        <v>0.2</v>
      </c>
      <c r="H154" s="2" t="s">
        <v>19</v>
      </c>
      <c r="I154" s="2" t="s">
        <v>20</v>
      </c>
      <c r="J154" s="2" t="s">
        <v>21</v>
      </c>
      <c r="K154">
        <f>VLOOKUP(E154,Products!$A$2:$E$23,5,0)</f>
        <v>449</v>
      </c>
      <c r="L154">
        <f>VLOOKUP(E154,Products!$A$2:$E$23,4,0)</f>
        <v>260</v>
      </c>
      <c r="M154" s="2">
        <f>K154*F154-Table1[[#This Row],[discount_amount]]</f>
        <v>1436.8</v>
      </c>
      <c r="N154">
        <f t="shared" si="5"/>
        <v>1040</v>
      </c>
      <c r="O154">
        <f t="shared" si="4"/>
        <v>396.79999999999995</v>
      </c>
      <c r="P154">
        <f>Table1[[#This Row],[Quantity]]*Table1[[#This Row],[unit_price]]*Table1[[#This Row],[Discount]]</f>
        <v>359.20000000000005</v>
      </c>
      <c r="Q154" t="str">
        <f>VLOOKUP(E154,Products!$A$2:$E$23,2,0)</f>
        <v>Desk Organizer</v>
      </c>
      <c r="R154" t="str">
        <f>VLOOKUP(Table1[[#This Row],[Product ID]],Products!$A$2:$E$23,3,0)</f>
        <v>Office Supplies</v>
      </c>
      <c r="S154" t="str">
        <f>VLOOKUP(C154,Customers!$A$2:$F$201,4,0)</f>
        <v>Gujarat</v>
      </c>
      <c r="T154" t="str">
        <f>VLOOKUP(Table1[[#This Row],[Customer ID]],Customers!$A$2:$F$201,5,0)</f>
        <v>West</v>
      </c>
      <c r="U154" t="str">
        <f>VLOOKUP(Table1[[#This Row],[Customer ID]],Customers!$A$2:$F$201,6,0)</f>
        <v>Home Office</v>
      </c>
      <c r="V154" t="str">
        <f>TEXT(Table1[[#This Row],[Order Date]],"MMM")</f>
        <v>Apr</v>
      </c>
      <c r="W154" t="str">
        <f>TEXT(Table1[[#This Row],[Order Date]],"yyyy")</f>
        <v>2024</v>
      </c>
    </row>
    <row r="155" spans="1:23" x14ac:dyDescent="0.25">
      <c r="A155" s="2" t="s">
        <v>305</v>
      </c>
      <c r="B155" s="4">
        <v>45387</v>
      </c>
      <c r="C155" s="2" t="s">
        <v>306</v>
      </c>
      <c r="D155" s="2" t="str">
        <f>TEXT(Table1[[#This Row],[Order Date]],"mmmm")</f>
        <v>April</v>
      </c>
      <c r="E155" s="2" t="s">
        <v>29</v>
      </c>
      <c r="F155" s="2">
        <v>2</v>
      </c>
      <c r="G155" s="5">
        <v>0</v>
      </c>
      <c r="H155" s="2" t="s">
        <v>30</v>
      </c>
      <c r="I155" s="2" t="s">
        <v>31</v>
      </c>
      <c r="J155" s="2" t="s">
        <v>21</v>
      </c>
      <c r="K155">
        <f>VLOOKUP(E155,Products!$A$2:$E$23,5,0)</f>
        <v>599</v>
      </c>
      <c r="L155">
        <f>VLOOKUP(E155,Products!$A$2:$E$23,4,0)</f>
        <v>350</v>
      </c>
      <c r="M155" s="2">
        <f>K155*F155-Table1[[#This Row],[discount_amount]]</f>
        <v>1198</v>
      </c>
      <c r="N155">
        <f t="shared" si="5"/>
        <v>700</v>
      </c>
      <c r="O155">
        <f t="shared" si="4"/>
        <v>498</v>
      </c>
      <c r="P155">
        <f>Table1[[#This Row],[Quantity]]*Table1[[#This Row],[unit_price]]*Table1[[#This Row],[Discount]]</f>
        <v>0</v>
      </c>
      <c r="Q155" t="str">
        <f>VLOOKUP(E155,Products!$A$2:$E$23,2,0)</f>
        <v>USB Flash Drive 64GB</v>
      </c>
      <c r="R155" t="str">
        <f>VLOOKUP(Table1[[#This Row],[Product ID]],Products!$A$2:$E$23,3,0)</f>
        <v>Electronics</v>
      </c>
      <c r="S155" t="str">
        <f>VLOOKUP(C155,Customers!$A$2:$F$201,4,0)</f>
        <v>Telangana</v>
      </c>
      <c r="T155" t="str">
        <f>VLOOKUP(Table1[[#This Row],[Customer ID]],Customers!$A$2:$F$201,5,0)</f>
        <v>South</v>
      </c>
      <c r="U155" t="str">
        <f>VLOOKUP(Table1[[#This Row],[Customer ID]],Customers!$A$2:$F$201,6,0)</f>
        <v>Consumer</v>
      </c>
      <c r="V155" t="str">
        <f>TEXT(Table1[[#This Row],[Order Date]],"MMM")</f>
        <v>Apr</v>
      </c>
      <c r="W155" t="str">
        <f>TEXT(Table1[[#This Row],[Order Date]],"yyyy")</f>
        <v>2024</v>
      </c>
    </row>
    <row r="156" spans="1:23" x14ac:dyDescent="0.25">
      <c r="A156" s="2" t="s">
        <v>307</v>
      </c>
      <c r="B156" s="4">
        <v>45387</v>
      </c>
      <c r="C156" s="2" t="s">
        <v>152</v>
      </c>
      <c r="D156" s="2" t="str">
        <f>TEXT(Table1[[#This Row],[Order Date]],"mmmm")</f>
        <v>April</v>
      </c>
      <c r="E156" s="2" t="s">
        <v>111</v>
      </c>
      <c r="F156" s="2">
        <v>6</v>
      </c>
      <c r="G156" s="5">
        <v>0</v>
      </c>
      <c r="H156" s="2" t="s">
        <v>19</v>
      </c>
      <c r="I156" s="2" t="s">
        <v>26</v>
      </c>
      <c r="J156" s="2" t="s">
        <v>21</v>
      </c>
      <c r="K156">
        <f>VLOOKUP(E156,Products!$A$2:$E$23,5,0)</f>
        <v>240</v>
      </c>
      <c r="L156">
        <f>VLOOKUP(E156,Products!$A$2:$E$23,4,0)</f>
        <v>140</v>
      </c>
      <c r="M156" s="2">
        <f>K156*F156-Table1[[#This Row],[discount_amount]]</f>
        <v>1440</v>
      </c>
      <c r="N156">
        <f t="shared" si="5"/>
        <v>840</v>
      </c>
      <c r="O156">
        <f t="shared" si="4"/>
        <v>600</v>
      </c>
      <c r="P156">
        <f>Table1[[#This Row],[Quantity]]*Table1[[#This Row],[unit_price]]*Table1[[#This Row],[Discount]]</f>
        <v>0</v>
      </c>
      <c r="Q156" t="str">
        <f>VLOOKUP(E156,Products!$A$2:$E$23,2,0)</f>
        <v>Whiteboard Marker Set</v>
      </c>
      <c r="R156" t="str">
        <f>VLOOKUP(Table1[[#This Row],[Product ID]],Products!$A$2:$E$23,3,0)</f>
        <v>Office Supplies</v>
      </c>
      <c r="S156" t="str">
        <f>VLOOKUP(C156,Customers!$A$2:$F$201,4,0)</f>
        <v>Gujarat</v>
      </c>
      <c r="T156" t="str">
        <f>VLOOKUP(Table1[[#This Row],[Customer ID]],Customers!$A$2:$F$201,5,0)</f>
        <v>West</v>
      </c>
      <c r="U156" t="str">
        <f>VLOOKUP(Table1[[#This Row],[Customer ID]],Customers!$A$2:$F$201,6,0)</f>
        <v>Consumer</v>
      </c>
      <c r="V156" t="str">
        <f>TEXT(Table1[[#This Row],[Order Date]],"MMM")</f>
        <v>Apr</v>
      </c>
      <c r="W156" t="str">
        <f>TEXT(Table1[[#This Row],[Order Date]],"yyyy")</f>
        <v>2024</v>
      </c>
    </row>
    <row r="157" spans="1:23" x14ac:dyDescent="0.25">
      <c r="A157" s="2" t="s">
        <v>308</v>
      </c>
      <c r="B157" s="4">
        <v>45387</v>
      </c>
      <c r="C157" s="2" t="s">
        <v>171</v>
      </c>
      <c r="D157" s="2" t="str">
        <f>TEXT(Table1[[#This Row],[Order Date]],"mmmm")</f>
        <v>April</v>
      </c>
      <c r="E157" s="2" t="s">
        <v>29</v>
      </c>
      <c r="F157" s="2">
        <v>1</v>
      </c>
      <c r="G157" s="5">
        <v>0.1</v>
      </c>
      <c r="H157" s="2" t="s">
        <v>19</v>
      </c>
      <c r="I157" s="2" t="s">
        <v>38</v>
      </c>
      <c r="J157" s="2" t="s">
        <v>21</v>
      </c>
      <c r="K157">
        <f>VLOOKUP(E157,Products!$A$2:$E$23,5,0)</f>
        <v>599</v>
      </c>
      <c r="L157">
        <f>VLOOKUP(E157,Products!$A$2:$E$23,4,0)</f>
        <v>350</v>
      </c>
      <c r="M157" s="2">
        <f>K157*F157-Table1[[#This Row],[discount_amount]]</f>
        <v>539.1</v>
      </c>
      <c r="N157">
        <f t="shared" si="5"/>
        <v>350</v>
      </c>
      <c r="O157">
        <f t="shared" si="4"/>
        <v>189.10000000000002</v>
      </c>
      <c r="P157">
        <f>Table1[[#This Row],[Quantity]]*Table1[[#This Row],[unit_price]]*Table1[[#This Row],[Discount]]</f>
        <v>59.900000000000006</v>
      </c>
      <c r="Q157" t="str">
        <f>VLOOKUP(E157,Products!$A$2:$E$23,2,0)</f>
        <v>USB Flash Drive 64GB</v>
      </c>
      <c r="R157" t="str">
        <f>VLOOKUP(Table1[[#This Row],[Product ID]],Products!$A$2:$E$23,3,0)</f>
        <v>Electronics</v>
      </c>
      <c r="S157" t="str">
        <f>VLOOKUP(C157,Customers!$A$2:$F$201,4,0)</f>
        <v>Delhi</v>
      </c>
      <c r="T157" t="str">
        <f>VLOOKUP(Table1[[#This Row],[Customer ID]],Customers!$A$2:$F$201,5,0)</f>
        <v>North</v>
      </c>
      <c r="U157" t="str">
        <f>VLOOKUP(Table1[[#This Row],[Customer ID]],Customers!$A$2:$F$201,6,0)</f>
        <v>Consumer</v>
      </c>
      <c r="V157" t="str">
        <f>TEXT(Table1[[#This Row],[Order Date]],"MMM")</f>
        <v>Apr</v>
      </c>
      <c r="W157" t="str">
        <f>TEXT(Table1[[#This Row],[Order Date]],"yyyy")</f>
        <v>2024</v>
      </c>
    </row>
    <row r="158" spans="1:23" x14ac:dyDescent="0.25">
      <c r="A158" s="2" t="s">
        <v>309</v>
      </c>
      <c r="B158" s="4">
        <v>45388</v>
      </c>
      <c r="C158" s="2" t="s">
        <v>310</v>
      </c>
      <c r="D158" s="2" t="str">
        <f>TEXT(Table1[[#This Row],[Order Date]],"mmmm")</f>
        <v>April</v>
      </c>
      <c r="E158" s="2" t="s">
        <v>45</v>
      </c>
      <c r="F158" s="2">
        <v>2</v>
      </c>
      <c r="G158" s="5">
        <v>0.05</v>
      </c>
      <c r="H158" s="2" t="s">
        <v>19</v>
      </c>
      <c r="I158" s="2" t="s">
        <v>31</v>
      </c>
      <c r="J158" s="2" t="s">
        <v>21</v>
      </c>
      <c r="K158">
        <f>VLOOKUP(E158,Products!$A$2:$E$23,5,0)</f>
        <v>899</v>
      </c>
      <c r="L158">
        <f>VLOOKUP(E158,Products!$A$2:$E$23,4,0)</f>
        <v>450</v>
      </c>
      <c r="M158" s="2">
        <f>K158*F158-Table1[[#This Row],[discount_amount]]</f>
        <v>1708.1</v>
      </c>
      <c r="N158">
        <f t="shared" si="5"/>
        <v>900</v>
      </c>
      <c r="O158">
        <f t="shared" si="4"/>
        <v>808.09999999999991</v>
      </c>
      <c r="P158">
        <f>Table1[[#This Row],[Quantity]]*Table1[[#This Row],[unit_price]]*Table1[[#This Row],[Discount]]</f>
        <v>89.9</v>
      </c>
      <c r="Q158" t="str">
        <f>VLOOKUP(E158,Products!$A$2:$E$23,2,0)</f>
        <v>Track Pants</v>
      </c>
      <c r="R158" t="str">
        <f>VLOOKUP(Table1[[#This Row],[Product ID]],Products!$A$2:$E$23,3,0)</f>
        <v>Clothing</v>
      </c>
      <c r="S158" t="str">
        <f>VLOOKUP(C158,Customers!$A$2:$F$201,4,0)</f>
        <v>Odisha</v>
      </c>
      <c r="T158" t="str">
        <f>VLOOKUP(Table1[[#This Row],[Customer ID]],Customers!$A$2:$F$201,5,0)</f>
        <v>East</v>
      </c>
      <c r="U158" t="str">
        <f>VLOOKUP(Table1[[#This Row],[Customer ID]],Customers!$A$2:$F$201,6,0)</f>
        <v>Consumer</v>
      </c>
      <c r="V158" t="str">
        <f>TEXT(Table1[[#This Row],[Order Date]],"MMM")</f>
        <v>Apr</v>
      </c>
      <c r="W158" t="str">
        <f>TEXT(Table1[[#This Row],[Order Date]],"yyyy")</f>
        <v>2024</v>
      </c>
    </row>
    <row r="159" spans="1:23" x14ac:dyDescent="0.25">
      <c r="A159" s="2" t="s">
        <v>311</v>
      </c>
      <c r="B159" s="4">
        <v>45389</v>
      </c>
      <c r="C159" s="2" t="s">
        <v>205</v>
      </c>
      <c r="D159" s="2" t="str">
        <f>TEXT(Table1[[#This Row],[Order Date]],"mmmm")</f>
        <v>April</v>
      </c>
      <c r="E159" s="2" t="s">
        <v>135</v>
      </c>
      <c r="F159" s="2">
        <v>2</v>
      </c>
      <c r="G159" s="5">
        <v>0.1</v>
      </c>
      <c r="H159" s="2" t="s">
        <v>30</v>
      </c>
      <c r="I159" s="2" t="s">
        <v>20</v>
      </c>
      <c r="J159" s="2" t="s">
        <v>21</v>
      </c>
      <c r="K159">
        <f>VLOOKUP(E159,Products!$A$2:$E$23,5,0)</f>
        <v>220</v>
      </c>
      <c r="L159">
        <f>VLOOKUP(E159,Products!$A$2:$E$23,4,0)</f>
        <v>120</v>
      </c>
      <c r="M159" s="2">
        <f>K159*F159-Table1[[#This Row],[discount_amount]]</f>
        <v>396</v>
      </c>
      <c r="N159">
        <f t="shared" si="5"/>
        <v>240</v>
      </c>
      <c r="O159">
        <f t="shared" si="4"/>
        <v>156</v>
      </c>
      <c r="P159">
        <f>Table1[[#This Row],[Quantity]]*Table1[[#This Row],[unit_price]]*Table1[[#This Row],[Discount]]</f>
        <v>44</v>
      </c>
      <c r="Q159" t="str">
        <f>VLOOKUP(E159,Products!$A$2:$E$23,2,0)</f>
        <v>Stapler</v>
      </c>
      <c r="R159" t="str">
        <f>VLOOKUP(Table1[[#This Row],[Product ID]],Products!$A$2:$E$23,3,0)</f>
        <v>Office Supplies</v>
      </c>
      <c r="S159" t="str">
        <f>VLOOKUP(C159,Customers!$A$2:$F$201,4,0)</f>
        <v>Gujarat</v>
      </c>
      <c r="T159" t="str">
        <f>VLOOKUP(Table1[[#This Row],[Customer ID]],Customers!$A$2:$F$201,5,0)</f>
        <v>West</v>
      </c>
      <c r="U159" t="str">
        <f>VLOOKUP(Table1[[#This Row],[Customer ID]],Customers!$A$2:$F$201,6,0)</f>
        <v>Consumer</v>
      </c>
      <c r="V159" t="str">
        <f>TEXT(Table1[[#This Row],[Order Date]],"MMM")</f>
        <v>Apr</v>
      </c>
      <c r="W159" t="str">
        <f>TEXT(Table1[[#This Row],[Order Date]],"yyyy")</f>
        <v>2024</v>
      </c>
    </row>
    <row r="160" spans="1:23" x14ac:dyDescent="0.25">
      <c r="A160" s="2" t="s">
        <v>312</v>
      </c>
      <c r="B160" s="4">
        <v>45390</v>
      </c>
      <c r="C160" s="2" t="s">
        <v>313</v>
      </c>
      <c r="D160" s="2" t="str">
        <f>TEXT(Table1[[#This Row],[Order Date]],"mmmm")</f>
        <v>April</v>
      </c>
      <c r="E160" s="2" t="s">
        <v>118</v>
      </c>
      <c r="F160" s="2">
        <v>2</v>
      </c>
      <c r="G160" s="5">
        <v>0.05</v>
      </c>
      <c r="H160" s="2" t="s">
        <v>30</v>
      </c>
      <c r="I160" s="2" t="s">
        <v>46</v>
      </c>
      <c r="J160" s="2" t="s">
        <v>21</v>
      </c>
      <c r="K160">
        <f>VLOOKUP(E160,Products!$A$2:$E$23,5,0)</f>
        <v>150</v>
      </c>
      <c r="L160">
        <f>VLOOKUP(E160,Products!$A$2:$E$23,4,0)</f>
        <v>90</v>
      </c>
      <c r="M160" s="2">
        <f>K160*F160-Table1[[#This Row],[discount_amount]]</f>
        <v>285</v>
      </c>
      <c r="N160">
        <f t="shared" si="5"/>
        <v>180</v>
      </c>
      <c r="O160">
        <f t="shared" si="4"/>
        <v>105</v>
      </c>
      <c r="P160">
        <f>Table1[[#This Row],[Quantity]]*Table1[[#This Row],[unit_price]]*Table1[[#This Row],[Discount]]</f>
        <v>15</v>
      </c>
      <c r="Q160" t="str">
        <f>VLOOKUP(E160,Products!$A$2:$E$23,2,0)</f>
        <v>Gel Pen Box</v>
      </c>
      <c r="R160" t="str">
        <f>VLOOKUP(Table1[[#This Row],[Product ID]],Products!$A$2:$E$23,3,0)</f>
        <v>Office Supplies</v>
      </c>
      <c r="S160" t="str">
        <f>VLOOKUP(C160,Customers!$A$2:$F$201,4,0)</f>
        <v>Kerala</v>
      </c>
      <c r="T160" t="str">
        <f>VLOOKUP(Table1[[#This Row],[Customer ID]],Customers!$A$2:$F$201,5,0)</f>
        <v>South</v>
      </c>
      <c r="U160" t="str">
        <f>VLOOKUP(Table1[[#This Row],[Customer ID]],Customers!$A$2:$F$201,6,0)</f>
        <v>Consumer</v>
      </c>
      <c r="V160" t="str">
        <f>TEXT(Table1[[#This Row],[Order Date]],"MMM")</f>
        <v>Apr</v>
      </c>
      <c r="W160" t="str">
        <f>TEXT(Table1[[#This Row],[Order Date]],"yyyy")</f>
        <v>2024</v>
      </c>
    </row>
    <row r="161" spans="1:23" x14ac:dyDescent="0.25">
      <c r="A161" s="2" t="s">
        <v>314</v>
      </c>
      <c r="B161" s="4">
        <v>45391</v>
      </c>
      <c r="C161" s="2" t="s">
        <v>56</v>
      </c>
      <c r="D161" s="2" t="str">
        <f>TEXT(Table1[[#This Row],[Order Date]],"mmmm")</f>
        <v>April</v>
      </c>
      <c r="E161" s="2" t="s">
        <v>63</v>
      </c>
      <c r="F161" s="2">
        <v>1</v>
      </c>
      <c r="G161" s="5">
        <v>0.05</v>
      </c>
      <c r="H161" s="2" t="s">
        <v>25</v>
      </c>
      <c r="I161" s="2" t="s">
        <v>46</v>
      </c>
      <c r="J161" s="2" t="s">
        <v>21</v>
      </c>
      <c r="K161">
        <f>VLOOKUP(E161,Products!$A$2:$E$23,5,0)</f>
        <v>5499</v>
      </c>
      <c r="L161">
        <f>VLOOKUP(E161,Products!$A$2:$E$23,4,0)</f>
        <v>3500</v>
      </c>
      <c r="M161" s="2">
        <f>K161*F161-Table1[[#This Row],[discount_amount]]</f>
        <v>5224.05</v>
      </c>
      <c r="N161">
        <f t="shared" si="5"/>
        <v>3500</v>
      </c>
      <c r="O161">
        <f t="shared" si="4"/>
        <v>1724.0500000000002</v>
      </c>
      <c r="P161">
        <f>Table1[[#This Row],[Quantity]]*Table1[[#This Row],[unit_price]]*Table1[[#This Row],[Discount]]</f>
        <v>274.95</v>
      </c>
      <c r="Q161" t="str">
        <f>VLOOKUP(E161,Products!$A$2:$E$23,2,0)</f>
        <v>Office Chair</v>
      </c>
      <c r="R161" t="str">
        <f>VLOOKUP(Table1[[#This Row],[Product ID]],Products!$A$2:$E$23,3,0)</f>
        <v>Furniture</v>
      </c>
      <c r="S161" t="str">
        <f>VLOOKUP(C161,Customers!$A$2:$F$201,4,0)</f>
        <v>Maharashtra</v>
      </c>
      <c r="T161" t="str">
        <f>VLOOKUP(Table1[[#This Row],[Customer ID]],Customers!$A$2:$F$201,5,0)</f>
        <v>West</v>
      </c>
      <c r="U161" t="str">
        <f>VLOOKUP(Table1[[#This Row],[Customer ID]],Customers!$A$2:$F$201,6,0)</f>
        <v>Consumer</v>
      </c>
      <c r="V161" t="str">
        <f>TEXT(Table1[[#This Row],[Order Date]],"MMM")</f>
        <v>Apr</v>
      </c>
      <c r="W161" t="str">
        <f>TEXT(Table1[[#This Row],[Order Date]],"yyyy")</f>
        <v>2024</v>
      </c>
    </row>
    <row r="162" spans="1:23" x14ac:dyDescent="0.25">
      <c r="A162" s="2" t="s">
        <v>315</v>
      </c>
      <c r="B162" s="4">
        <v>45391</v>
      </c>
      <c r="C162" s="2" t="s">
        <v>178</v>
      </c>
      <c r="D162" s="2" t="str">
        <f>TEXT(Table1[[#This Row],[Order Date]],"mmmm")</f>
        <v>April</v>
      </c>
      <c r="E162" s="2" t="s">
        <v>41</v>
      </c>
      <c r="F162" s="2">
        <v>2</v>
      </c>
      <c r="G162" s="5">
        <v>0.05</v>
      </c>
      <c r="H162" s="2" t="s">
        <v>19</v>
      </c>
      <c r="I162" s="2" t="s">
        <v>31</v>
      </c>
      <c r="J162" s="2" t="s">
        <v>21</v>
      </c>
      <c r="K162">
        <f>VLOOKUP(E162,Products!$A$2:$E$23,5,0)</f>
        <v>320</v>
      </c>
      <c r="L162">
        <f>VLOOKUP(E162,Products!$A$2:$E$23,4,0)</f>
        <v>220</v>
      </c>
      <c r="M162" s="2">
        <f>K162*F162-Table1[[#This Row],[discount_amount]]</f>
        <v>608</v>
      </c>
      <c r="N162">
        <f t="shared" si="5"/>
        <v>440</v>
      </c>
      <c r="O162">
        <f t="shared" si="4"/>
        <v>168</v>
      </c>
      <c r="P162">
        <f>Table1[[#This Row],[Quantity]]*Table1[[#This Row],[unit_price]]*Table1[[#This Row],[Discount]]</f>
        <v>32</v>
      </c>
      <c r="Q162" t="str">
        <f>VLOOKUP(E162,Products!$A$2:$E$23,2,0)</f>
        <v>A4 Paper Ream</v>
      </c>
      <c r="R162" t="str">
        <f>VLOOKUP(Table1[[#This Row],[Product ID]],Products!$A$2:$E$23,3,0)</f>
        <v>Office Supplies</v>
      </c>
      <c r="S162" t="str">
        <f>VLOOKUP(C162,Customers!$A$2:$F$201,4,0)</f>
        <v>Bihar</v>
      </c>
      <c r="T162" t="str">
        <f>VLOOKUP(Table1[[#This Row],[Customer ID]],Customers!$A$2:$F$201,5,0)</f>
        <v>East</v>
      </c>
      <c r="U162" t="str">
        <f>VLOOKUP(Table1[[#This Row],[Customer ID]],Customers!$A$2:$F$201,6,0)</f>
        <v>Corporate</v>
      </c>
      <c r="V162" t="str">
        <f>TEXT(Table1[[#This Row],[Order Date]],"MMM")</f>
        <v>Apr</v>
      </c>
      <c r="W162" t="str">
        <f>TEXT(Table1[[#This Row],[Order Date]],"yyyy")</f>
        <v>2024</v>
      </c>
    </row>
    <row r="163" spans="1:23" x14ac:dyDescent="0.25">
      <c r="A163" s="2" t="s">
        <v>316</v>
      </c>
      <c r="B163" s="4">
        <v>45392</v>
      </c>
      <c r="C163" s="2" t="s">
        <v>235</v>
      </c>
      <c r="D163" s="2" t="str">
        <f>TEXT(Table1[[#This Row],[Order Date]],"mmmm")</f>
        <v>April</v>
      </c>
      <c r="E163" s="2" t="s">
        <v>57</v>
      </c>
      <c r="F163" s="2">
        <v>5</v>
      </c>
      <c r="G163" s="5">
        <v>0.05</v>
      </c>
      <c r="H163" s="2" t="s">
        <v>19</v>
      </c>
      <c r="I163" s="2" t="s">
        <v>26</v>
      </c>
      <c r="J163" s="2" t="s">
        <v>21</v>
      </c>
      <c r="K163">
        <f>VLOOKUP(E163,Products!$A$2:$E$23,5,0)</f>
        <v>1599</v>
      </c>
      <c r="L163">
        <f>VLOOKUP(E163,Products!$A$2:$E$23,4,0)</f>
        <v>800</v>
      </c>
      <c r="M163" s="2">
        <f>K163*F163-Table1[[#This Row],[discount_amount]]</f>
        <v>7595.25</v>
      </c>
      <c r="N163">
        <f t="shared" si="5"/>
        <v>4000</v>
      </c>
      <c r="O163">
        <f t="shared" si="4"/>
        <v>3595.25</v>
      </c>
      <c r="P163">
        <f>Table1[[#This Row],[Quantity]]*Table1[[#This Row],[unit_price]]*Table1[[#This Row],[Discount]]</f>
        <v>399.75</v>
      </c>
      <c r="Q163" t="str">
        <f>VLOOKUP(E163,Products!$A$2:$E$23,2,0)</f>
        <v>Hoodie</v>
      </c>
      <c r="R163" t="str">
        <f>VLOOKUP(Table1[[#This Row],[Product ID]],Products!$A$2:$E$23,3,0)</f>
        <v>Clothing</v>
      </c>
      <c r="S163" t="str">
        <f>VLOOKUP(C163,Customers!$A$2:$F$201,4,0)</f>
        <v>Bihar</v>
      </c>
      <c r="T163" t="str">
        <f>VLOOKUP(Table1[[#This Row],[Customer ID]],Customers!$A$2:$F$201,5,0)</f>
        <v>East</v>
      </c>
      <c r="U163" t="str">
        <f>VLOOKUP(Table1[[#This Row],[Customer ID]],Customers!$A$2:$F$201,6,0)</f>
        <v>Home Office</v>
      </c>
      <c r="V163" t="str">
        <f>TEXT(Table1[[#This Row],[Order Date]],"MMM")</f>
        <v>Apr</v>
      </c>
      <c r="W163" t="str">
        <f>TEXT(Table1[[#This Row],[Order Date]],"yyyy")</f>
        <v>2024</v>
      </c>
    </row>
    <row r="164" spans="1:23" x14ac:dyDescent="0.25">
      <c r="A164" s="2" t="s">
        <v>317</v>
      </c>
      <c r="B164" s="4">
        <v>45393</v>
      </c>
      <c r="C164" s="2" t="s">
        <v>285</v>
      </c>
      <c r="D164" s="2" t="str">
        <f>TEXT(Table1[[#This Row],[Order Date]],"mmmm")</f>
        <v>April</v>
      </c>
      <c r="E164" s="2" t="s">
        <v>54</v>
      </c>
      <c r="F164" s="2">
        <v>2</v>
      </c>
      <c r="G164" s="5">
        <v>0.1</v>
      </c>
      <c r="H164" s="2" t="s">
        <v>19</v>
      </c>
      <c r="I164" s="2" t="s">
        <v>31</v>
      </c>
      <c r="J164" s="2" t="s">
        <v>21</v>
      </c>
      <c r="K164">
        <f>VLOOKUP(E164,Products!$A$2:$E$23,5,0)</f>
        <v>299</v>
      </c>
      <c r="L164">
        <f>VLOOKUP(E164,Products!$A$2:$E$23,4,0)</f>
        <v>180</v>
      </c>
      <c r="M164" s="2">
        <f>K164*F164-Table1[[#This Row],[discount_amount]]</f>
        <v>538.20000000000005</v>
      </c>
      <c r="N164">
        <f t="shared" si="5"/>
        <v>360</v>
      </c>
      <c r="O164">
        <f t="shared" si="4"/>
        <v>178.20000000000005</v>
      </c>
      <c r="P164">
        <f>Table1[[#This Row],[Quantity]]*Table1[[#This Row],[unit_price]]*Table1[[#This Row],[Discount]]</f>
        <v>59.800000000000004</v>
      </c>
      <c r="Q164" t="str">
        <f>VLOOKUP(E164,Products!$A$2:$E$23,2,0)</f>
        <v>Notebook Pack of 5</v>
      </c>
      <c r="R164" t="str">
        <f>VLOOKUP(Table1[[#This Row],[Product ID]],Products!$A$2:$E$23,3,0)</f>
        <v>Office Supplies</v>
      </c>
      <c r="S164" t="str">
        <f>VLOOKUP(C164,Customers!$A$2:$F$201,4,0)</f>
        <v>Gujarat</v>
      </c>
      <c r="T164" t="str">
        <f>VLOOKUP(Table1[[#This Row],[Customer ID]],Customers!$A$2:$F$201,5,0)</f>
        <v>West</v>
      </c>
      <c r="U164" t="str">
        <f>VLOOKUP(Table1[[#This Row],[Customer ID]],Customers!$A$2:$F$201,6,0)</f>
        <v>Home Office</v>
      </c>
      <c r="V164" t="str">
        <f>TEXT(Table1[[#This Row],[Order Date]],"MMM")</f>
        <v>Apr</v>
      </c>
      <c r="W164" t="str">
        <f>TEXT(Table1[[#This Row],[Order Date]],"yyyy")</f>
        <v>2024</v>
      </c>
    </row>
    <row r="165" spans="1:23" x14ac:dyDescent="0.25">
      <c r="A165" s="2" t="s">
        <v>318</v>
      </c>
      <c r="B165" s="4">
        <v>45393</v>
      </c>
      <c r="C165" s="2" t="s">
        <v>258</v>
      </c>
      <c r="D165" s="2" t="str">
        <f>TEXT(Table1[[#This Row],[Order Date]],"mmmm")</f>
        <v>April</v>
      </c>
      <c r="E165" s="2" t="s">
        <v>91</v>
      </c>
      <c r="F165" s="2">
        <v>2</v>
      </c>
      <c r="G165" s="5">
        <v>0</v>
      </c>
      <c r="H165" s="2" t="s">
        <v>30</v>
      </c>
      <c r="I165" s="2" t="s">
        <v>46</v>
      </c>
      <c r="J165" s="2" t="s">
        <v>21</v>
      </c>
      <c r="K165">
        <f>VLOOKUP(E165,Products!$A$2:$E$23,5,0)</f>
        <v>1199</v>
      </c>
      <c r="L165">
        <f>VLOOKUP(E165,Products!$A$2:$E$23,4,0)</f>
        <v>600</v>
      </c>
      <c r="M165" s="2">
        <f>K165*F165-Table1[[#This Row],[discount_amount]]</f>
        <v>2398</v>
      </c>
      <c r="N165">
        <f t="shared" si="5"/>
        <v>1200</v>
      </c>
      <c r="O165">
        <f t="shared" si="4"/>
        <v>1198</v>
      </c>
      <c r="P165">
        <f>Table1[[#This Row],[Quantity]]*Table1[[#This Row],[unit_price]]*Table1[[#This Row],[Discount]]</f>
        <v>0</v>
      </c>
      <c r="Q165" t="str">
        <f>VLOOKUP(E165,Products!$A$2:$E$23,2,0)</f>
        <v>Formal Shirt</v>
      </c>
      <c r="R165" t="str">
        <f>VLOOKUP(Table1[[#This Row],[Product ID]],Products!$A$2:$E$23,3,0)</f>
        <v>Clothing</v>
      </c>
      <c r="S165" t="str">
        <f>VLOOKUP(C165,Customers!$A$2:$F$201,4,0)</f>
        <v>Karnataka</v>
      </c>
      <c r="T165" t="str">
        <f>VLOOKUP(Table1[[#This Row],[Customer ID]],Customers!$A$2:$F$201,5,0)</f>
        <v>South</v>
      </c>
      <c r="U165" t="str">
        <f>VLOOKUP(Table1[[#This Row],[Customer ID]],Customers!$A$2:$F$201,6,0)</f>
        <v>Consumer</v>
      </c>
      <c r="V165" t="str">
        <f>TEXT(Table1[[#This Row],[Order Date]],"MMM")</f>
        <v>Apr</v>
      </c>
      <c r="W165" t="str">
        <f>TEXT(Table1[[#This Row],[Order Date]],"yyyy")</f>
        <v>2024</v>
      </c>
    </row>
    <row r="166" spans="1:23" x14ac:dyDescent="0.25">
      <c r="A166" s="2" t="s">
        <v>319</v>
      </c>
      <c r="B166" s="4">
        <v>45393</v>
      </c>
      <c r="C166" s="2" t="s">
        <v>320</v>
      </c>
      <c r="D166" s="2" t="str">
        <f>TEXT(Table1[[#This Row],[Order Date]],"mmmm")</f>
        <v>April</v>
      </c>
      <c r="E166" s="2" t="s">
        <v>41</v>
      </c>
      <c r="F166" s="2">
        <v>2</v>
      </c>
      <c r="G166" s="5">
        <v>0.05</v>
      </c>
      <c r="H166" s="2" t="s">
        <v>30</v>
      </c>
      <c r="I166" s="2" t="s">
        <v>31</v>
      </c>
      <c r="J166" s="2" t="s">
        <v>21</v>
      </c>
      <c r="K166">
        <f>VLOOKUP(E166,Products!$A$2:$E$23,5,0)</f>
        <v>320</v>
      </c>
      <c r="L166">
        <f>VLOOKUP(E166,Products!$A$2:$E$23,4,0)</f>
        <v>220</v>
      </c>
      <c r="M166" s="2">
        <f>K166*F166-Table1[[#This Row],[discount_amount]]</f>
        <v>608</v>
      </c>
      <c r="N166">
        <f t="shared" si="5"/>
        <v>440</v>
      </c>
      <c r="O166">
        <f t="shared" si="4"/>
        <v>168</v>
      </c>
      <c r="P166">
        <f>Table1[[#This Row],[Quantity]]*Table1[[#This Row],[unit_price]]*Table1[[#This Row],[Discount]]</f>
        <v>32</v>
      </c>
      <c r="Q166" t="str">
        <f>VLOOKUP(E166,Products!$A$2:$E$23,2,0)</f>
        <v>A4 Paper Ream</v>
      </c>
      <c r="R166" t="str">
        <f>VLOOKUP(Table1[[#This Row],[Product ID]],Products!$A$2:$E$23,3,0)</f>
        <v>Office Supplies</v>
      </c>
      <c r="S166" t="str">
        <f>VLOOKUP(C166,Customers!$A$2:$F$201,4,0)</f>
        <v>Gujarat</v>
      </c>
      <c r="T166" t="str">
        <f>VLOOKUP(Table1[[#This Row],[Customer ID]],Customers!$A$2:$F$201,5,0)</f>
        <v>West</v>
      </c>
      <c r="U166" t="str">
        <f>VLOOKUP(Table1[[#This Row],[Customer ID]],Customers!$A$2:$F$201,6,0)</f>
        <v>Consumer</v>
      </c>
      <c r="V166" t="str">
        <f>TEXT(Table1[[#This Row],[Order Date]],"MMM")</f>
        <v>Apr</v>
      </c>
      <c r="W166" t="str">
        <f>TEXT(Table1[[#This Row],[Order Date]],"yyyy")</f>
        <v>2024</v>
      </c>
    </row>
    <row r="167" spans="1:23" x14ac:dyDescent="0.25">
      <c r="A167" s="2" t="s">
        <v>321</v>
      </c>
      <c r="B167" s="4">
        <v>45393</v>
      </c>
      <c r="C167" s="2" t="s">
        <v>322</v>
      </c>
      <c r="D167" s="2" t="str">
        <f>TEXT(Table1[[#This Row],[Order Date]],"mmmm")</f>
        <v>April</v>
      </c>
      <c r="E167" s="2" t="s">
        <v>118</v>
      </c>
      <c r="F167" s="2">
        <v>2</v>
      </c>
      <c r="G167" s="5">
        <v>0.05</v>
      </c>
      <c r="H167" s="2" t="s">
        <v>25</v>
      </c>
      <c r="I167" s="2" t="s">
        <v>46</v>
      </c>
      <c r="J167" s="2" t="s">
        <v>21</v>
      </c>
      <c r="K167">
        <f>VLOOKUP(E167,Products!$A$2:$E$23,5,0)</f>
        <v>150</v>
      </c>
      <c r="L167">
        <f>VLOOKUP(E167,Products!$A$2:$E$23,4,0)</f>
        <v>90</v>
      </c>
      <c r="M167" s="2">
        <f>K167*F167-Table1[[#This Row],[discount_amount]]</f>
        <v>285</v>
      </c>
      <c r="N167">
        <f t="shared" si="5"/>
        <v>180</v>
      </c>
      <c r="O167">
        <f t="shared" si="4"/>
        <v>105</v>
      </c>
      <c r="P167">
        <f>Table1[[#This Row],[Quantity]]*Table1[[#This Row],[unit_price]]*Table1[[#This Row],[Discount]]</f>
        <v>15</v>
      </c>
      <c r="Q167" t="str">
        <f>VLOOKUP(E167,Products!$A$2:$E$23,2,0)</f>
        <v>Gel Pen Box</v>
      </c>
      <c r="R167" t="str">
        <f>VLOOKUP(Table1[[#This Row],[Product ID]],Products!$A$2:$E$23,3,0)</f>
        <v>Office Supplies</v>
      </c>
      <c r="S167" t="str">
        <f>VLOOKUP(C167,Customers!$A$2:$F$201,4,0)</f>
        <v>Chandigarh</v>
      </c>
      <c r="T167" t="str">
        <f>VLOOKUP(Table1[[#This Row],[Customer ID]],Customers!$A$2:$F$201,5,0)</f>
        <v>North</v>
      </c>
      <c r="U167" t="str">
        <f>VLOOKUP(Table1[[#This Row],[Customer ID]],Customers!$A$2:$F$201,6,0)</f>
        <v>Consumer</v>
      </c>
      <c r="V167" t="str">
        <f>TEXT(Table1[[#This Row],[Order Date]],"MMM")</f>
        <v>Apr</v>
      </c>
      <c r="W167" t="str">
        <f>TEXT(Table1[[#This Row],[Order Date]],"yyyy")</f>
        <v>2024</v>
      </c>
    </row>
    <row r="168" spans="1:23" x14ac:dyDescent="0.25">
      <c r="A168" s="2" t="s">
        <v>323</v>
      </c>
      <c r="B168" s="4">
        <v>45393</v>
      </c>
      <c r="C168" s="2" t="s">
        <v>310</v>
      </c>
      <c r="D168" s="2" t="str">
        <f>TEXT(Table1[[#This Row],[Order Date]],"mmmm")</f>
        <v>April</v>
      </c>
      <c r="E168" s="2" t="s">
        <v>121</v>
      </c>
      <c r="F168" s="2">
        <v>6</v>
      </c>
      <c r="G168" s="5">
        <v>0</v>
      </c>
      <c r="H168" s="2" t="s">
        <v>19</v>
      </c>
      <c r="I168" s="2" t="s">
        <v>31</v>
      </c>
      <c r="J168" s="2" t="s">
        <v>21</v>
      </c>
      <c r="K168">
        <f>VLOOKUP(E168,Products!$A$2:$E$23,5,0)</f>
        <v>499</v>
      </c>
      <c r="L168">
        <f>VLOOKUP(E168,Products!$A$2:$E$23,4,0)</f>
        <v>250</v>
      </c>
      <c r="M168" s="2">
        <f>K168*F168-Table1[[#This Row],[discount_amount]]</f>
        <v>2994</v>
      </c>
      <c r="N168">
        <f t="shared" si="5"/>
        <v>1500</v>
      </c>
      <c r="O168">
        <f t="shared" si="4"/>
        <v>1494</v>
      </c>
      <c r="P168">
        <f>Table1[[#This Row],[Quantity]]*Table1[[#This Row],[unit_price]]*Table1[[#This Row],[Discount]]</f>
        <v>0</v>
      </c>
      <c r="Q168" t="str">
        <f>VLOOKUP(E168,Products!$A$2:$E$23,2,0)</f>
        <v>Cotton T-Shirt</v>
      </c>
      <c r="R168" t="str">
        <f>VLOOKUP(Table1[[#This Row],[Product ID]],Products!$A$2:$E$23,3,0)</f>
        <v>Clothing</v>
      </c>
      <c r="S168" t="str">
        <f>VLOOKUP(C168,Customers!$A$2:$F$201,4,0)</f>
        <v>Odisha</v>
      </c>
      <c r="T168" t="str">
        <f>VLOOKUP(Table1[[#This Row],[Customer ID]],Customers!$A$2:$F$201,5,0)</f>
        <v>East</v>
      </c>
      <c r="U168" t="str">
        <f>VLOOKUP(Table1[[#This Row],[Customer ID]],Customers!$A$2:$F$201,6,0)</f>
        <v>Consumer</v>
      </c>
      <c r="V168" t="str">
        <f>TEXT(Table1[[#This Row],[Order Date]],"MMM")</f>
        <v>Apr</v>
      </c>
      <c r="W168" t="str">
        <f>TEXT(Table1[[#This Row],[Order Date]],"yyyy")</f>
        <v>2024</v>
      </c>
    </row>
    <row r="169" spans="1:23" x14ac:dyDescent="0.25">
      <c r="A169" s="2" t="s">
        <v>324</v>
      </c>
      <c r="B169" s="4">
        <v>45394</v>
      </c>
      <c r="C169" s="2" t="s">
        <v>325</v>
      </c>
      <c r="D169" s="2" t="str">
        <f>TEXT(Table1[[#This Row],[Order Date]],"mmmm")</f>
        <v>April</v>
      </c>
      <c r="E169" s="2" t="s">
        <v>127</v>
      </c>
      <c r="F169" s="2">
        <v>1</v>
      </c>
      <c r="G169" s="5">
        <v>0.05</v>
      </c>
      <c r="H169" s="2" t="s">
        <v>19</v>
      </c>
      <c r="I169" s="2" t="s">
        <v>31</v>
      </c>
      <c r="J169" s="2" t="s">
        <v>21</v>
      </c>
      <c r="K169">
        <f>VLOOKUP(E169,Products!$A$2:$E$23,5,0)</f>
        <v>1999</v>
      </c>
      <c r="L169">
        <f>VLOOKUP(E169,Products!$A$2:$E$23,4,0)</f>
        <v>1200</v>
      </c>
      <c r="M169" s="2">
        <f>K169*F169-Table1[[#This Row],[discount_amount]]</f>
        <v>1899.05</v>
      </c>
      <c r="N169">
        <f t="shared" si="5"/>
        <v>1200</v>
      </c>
      <c r="O169">
        <f t="shared" si="4"/>
        <v>699.05</v>
      </c>
      <c r="P169">
        <f>Table1[[#This Row],[Quantity]]*Table1[[#This Row],[unit_price]]*Table1[[#This Row],[Discount]]</f>
        <v>99.95</v>
      </c>
      <c r="Q169" t="str">
        <f>VLOOKUP(E169,Products!$A$2:$E$23,2,0)</f>
        <v>Bluetooth Speaker</v>
      </c>
      <c r="R169" t="str">
        <f>VLOOKUP(Table1[[#This Row],[Product ID]],Products!$A$2:$E$23,3,0)</f>
        <v>Electronics</v>
      </c>
      <c r="S169" t="str">
        <f>VLOOKUP(C169,Customers!$A$2:$F$201,4,0)</f>
        <v>Maharashtra</v>
      </c>
      <c r="T169" t="str">
        <f>VLOOKUP(Table1[[#This Row],[Customer ID]],Customers!$A$2:$F$201,5,0)</f>
        <v>West</v>
      </c>
      <c r="U169" t="str">
        <f>VLOOKUP(Table1[[#This Row],[Customer ID]],Customers!$A$2:$F$201,6,0)</f>
        <v>Corporate</v>
      </c>
      <c r="V169" t="str">
        <f>TEXT(Table1[[#This Row],[Order Date]],"MMM")</f>
        <v>Apr</v>
      </c>
      <c r="W169" t="str">
        <f>TEXT(Table1[[#This Row],[Order Date]],"yyyy")</f>
        <v>2024</v>
      </c>
    </row>
    <row r="170" spans="1:23" x14ac:dyDescent="0.25">
      <c r="A170" s="2" t="s">
        <v>326</v>
      </c>
      <c r="B170" s="4">
        <v>45394</v>
      </c>
      <c r="C170" s="2" t="s">
        <v>241</v>
      </c>
      <c r="D170" s="2" t="str">
        <f>TEXT(Table1[[#This Row],[Order Date]],"mmmm")</f>
        <v>April</v>
      </c>
      <c r="E170" s="2" t="s">
        <v>60</v>
      </c>
      <c r="F170" s="2">
        <v>6</v>
      </c>
      <c r="G170" s="5">
        <v>0.05</v>
      </c>
      <c r="H170" s="2" t="s">
        <v>25</v>
      </c>
      <c r="I170" s="2" t="s">
        <v>20</v>
      </c>
      <c r="J170" s="2" t="s">
        <v>21</v>
      </c>
      <c r="K170">
        <f>VLOOKUP(E170,Products!$A$2:$E$23,5,0)</f>
        <v>449</v>
      </c>
      <c r="L170">
        <f>VLOOKUP(E170,Products!$A$2:$E$23,4,0)</f>
        <v>260</v>
      </c>
      <c r="M170" s="2">
        <f>K170*F170-Table1[[#This Row],[discount_amount]]</f>
        <v>2559.3000000000002</v>
      </c>
      <c r="N170">
        <f t="shared" si="5"/>
        <v>1560</v>
      </c>
      <c r="O170">
        <f t="shared" si="4"/>
        <v>999.30000000000018</v>
      </c>
      <c r="P170">
        <f>Table1[[#This Row],[Quantity]]*Table1[[#This Row],[unit_price]]*Table1[[#This Row],[Discount]]</f>
        <v>134.70000000000002</v>
      </c>
      <c r="Q170" t="str">
        <f>VLOOKUP(E170,Products!$A$2:$E$23,2,0)</f>
        <v>Desk Organizer</v>
      </c>
      <c r="R170" t="str">
        <f>VLOOKUP(Table1[[#This Row],[Product ID]],Products!$A$2:$E$23,3,0)</f>
        <v>Office Supplies</v>
      </c>
      <c r="S170" t="str">
        <f>VLOOKUP(C170,Customers!$A$2:$F$201,4,0)</f>
        <v>Odisha</v>
      </c>
      <c r="T170" t="str">
        <f>VLOOKUP(Table1[[#This Row],[Customer ID]],Customers!$A$2:$F$201,5,0)</f>
        <v>East</v>
      </c>
      <c r="U170" t="str">
        <f>VLOOKUP(Table1[[#This Row],[Customer ID]],Customers!$A$2:$F$201,6,0)</f>
        <v>Home Office</v>
      </c>
      <c r="V170" t="str">
        <f>TEXT(Table1[[#This Row],[Order Date]],"MMM")</f>
        <v>Apr</v>
      </c>
      <c r="W170" t="str">
        <f>TEXT(Table1[[#This Row],[Order Date]],"yyyy")</f>
        <v>2024</v>
      </c>
    </row>
    <row r="171" spans="1:23" x14ac:dyDescent="0.25">
      <c r="A171" s="2" t="s">
        <v>327</v>
      </c>
      <c r="B171" s="4">
        <v>45394</v>
      </c>
      <c r="C171" s="2" t="s">
        <v>310</v>
      </c>
      <c r="D171" s="2" t="str">
        <f>TEXT(Table1[[#This Row],[Order Date]],"mmmm")</f>
        <v>April</v>
      </c>
      <c r="E171" s="2" t="s">
        <v>111</v>
      </c>
      <c r="F171" s="2">
        <v>1</v>
      </c>
      <c r="G171" s="5">
        <v>0.05</v>
      </c>
      <c r="H171" s="2" t="s">
        <v>30</v>
      </c>
      <c r="I171" s="2" t="s">
        <v>26</v>
      </c>
      <c r="J171" s="2" t="s">
        <v>21</v>
      </c>
      <c r="K171">
        <f>VLOOKUP(E171,Products!$A$2:$E$23,5,0)</f>
        <v>240</v>
      </c>
      <c r="L171">
        <f>VLOOKUP(E171,Products!$A$2:$E$23,4,0)</f>
        <v>140</v>
      </c>
      <c r="M171" s="2">
        <f>K171*F171-Table1[[#This Row],[discount_amount]]</f>
        <v>228</v>
      </c>
      <c r="N171">
        <f t="shared" si="5"/>
        <v>140</v>
      </c>
      <c r="O171">
        <f t="shared" si="4"/>
        <v>88</v>
      </c>
      <c r="P171">
        <f>Table1[[#This Row],[Quantity]]*Table1[[#This Row],[unit_price]]*Table1[[#This Row],[Discount]]</f>
        <v>12</v>
      </c>
      <c r="Q171" t="str">
        <f>VLOOKUP(E171,Products!$A$2:$E$23,2,0)</f>
        <v>Whiteboard Marker Set</v>
      </c>
      <c r="R171" t="str">
        <f>VLOOKUP(Table1[[#This Row],[Product ID]],Products!$A$2:$E$23,3,0)</f>
        <v>Office Supplies</v>
      </c>
      <c r="S171" t="str">
        <f>VLOOKUP(C171,Customers!$A$2:$F$201,4,0)</f>
        <v>Odisha</v>
      </c>
      <c r="T171" t="str">
        <f>VLOOKUP(Table1[[#This Row],[Customer ID]],Customers!$A$2:$F$201,5,0)</f>
        <v>East</v>
      </c>
      <c r="U171" t="str">
        <f>VLOOKUP(Table1[[#This Row],[Customer ID]],Customers!$A$2:$F$201,6,0)</f>
        <v>Consumer</v>
      </c>
      <c r="V171" t="str">
        <f>TEXT(Table1[[#This Row],[Order Date]],"MMM")</f>
        <v>Apr</v>
      </c>
      <c r="W171" t="str">
        <f>TEXT(Table1[[#This Row],[Order Date]],"yyyy")</f>
        <v>2024</v>
      </c>
    </row>
    <row r="172" spans="1:23" x14ac:dyDescent="0.25">
      <c r="A172" s="2" t="s">
        <v>328</v>
      </c>
      <c r="B172" s="4">
        <v>45394</v>
      </c>
      <c r="C172" s="2" t="s">
        <v>329</v>
      </c>
      <c r="D172" s="2" t="str">
        <f>TEXT(Table1[[#This Row],[Order Date]],"mmmm")</f>
        <v>April</v>
      </c>
      <c r="E172" s="2" t="s">
        <v>127</v>
      </c>
      <c r="F172" s="2">
        <v>2</v>
      </c>
      <c r="G172" s="5">
        <v>0.05</v>
      </c>
      <c r="H172" s="2" t="s">
        <v>19</v>
      </c>
      <c r="I172" s="2" t="s">
        <v>31</v>
      </c>
      <c r="J172" s="2" t="s">
        <v>21</v>
      </c>
      <c r="K172">
        <f>VLOOKUP(E172,Products!$A$2:$E$23,5,0)</f>
        <v>1999</v>
      </c>
      <c r="L172">
        <f>VLOOKUP(E172,Products!$A$2:$E$23,4,0)</f>
        <v>1200</v>
      </c>
      <c r="M172" s="2">
        <f>K172*F172-Table1[[#This Row],[discount_amount]]</f>
        <v>3798.1</v>
      </c>
      <c r="N172">
        <f t="shared" si="5"/>
        <v>2400</v>
      </c>
      <c r="O172">
        <f t="shared" si="4"/>
        <v>1398.1</v>
      </c>
      <c r="P172">
        <f>Table1[[#This Row],[Quantity]]*Table1[[#This Row],[unit_price]]*Table1[[#This Row],[Discount]]</f>
        <v>199.9</v>
      </c>
      <c r="Q172" t="str">
        <f>VLOOKUP(E172,Products!$A$2:$E$23,2,0)</f>
        <v>Bluetooth Speaker</v>
      </c>
      <c r="R172" t="str">
        <f>VLOOKUP(Table1[[#This Row],[Product ID]],Products!$A$2:$E$23,3,0)</f>
        <v>Electronics</v>
      </c>
      <c r="S172" t="str">
        <f>VLOOKUP(C172,Customers!$A$2:$F$201,4,0)</f>
        <v>Maharashtra</v>
      </c>
      <c r="T172" t="str">
        <f>VLOOKUP(Table1[[#This Row],[Customer ID]],Customers!$A$2:$F$201,5,0)</f>
        <v>West</v>
      </c>
      <c r="U172" t="str">
        <f>VLOOKUP(Table1[[#This Row],[Customer ID]],Customers!$A$2:$F$201,6,0)</f>
        <v>Consumer</v>
      </c>
      <c r="V172" t="str">
        <f>TEXT(Table1[[#This Row],[Order Date]],"MMM")</f>
        <v>Apr</v>
      </c>
      <c r="W172" t="str">
        <f>TEXT(Table1[[#This Row],[Order Date]],"yyyy")</f>
        <v>2024</v>
      </c>
    </row>
    <row r="173" spans="1:23" x14ac:dyDescent="0.25">
      <c r="A173" s="2" t="s">
        <v>330</v>
      </c>
      <c r="B173" s="4">
        <v>45395</v>
      </c>
      <c r="C173" s="2" t="s">
        <v>331</v>
      </c>
      <c r="D173" s="2" t="str">
        <f>TEXT(Table1[[#This Row],[Order Date]],"mmmm")</f>
        <v>April</v>
      </c>
      <c r="E173" s="2" t="s">
        <v>111</v>
      </c>
      <c r="F173" s="2">
        <v>10</v>
      </c>
      <c r="G173" s="5">
        <v>0</v>
      </c>
      <c r="H173" s="2" t="s">
        <v>25</v>
      </c>
      <c r="I173" s="2" t="s">
        <v>26</v>
      </c>
      <c r="J173" s="2" t="s">
        <v>21</v>
      </c>
      <c r="K173">
        <f>VLOOKUP(E173,Products!$A$2:$E$23,5,0)</f>
        <v>240</v>
      </c>
      <c r="L173">
        <f>VLOOKUP(E173,Products!$A$2:$E$23,4,0)</f>
        <v>140</v>
      </c>
      <c r="M173" s="2">
        <f>K173*F173-Table1[[#This Row],[discount_amount]]</f>
        <v>2400</v>
      </c>
      <c r="N173">
        <f t="shared" si="5"/>
        <v>1400</v>
      </c>
      <c r="O173">
        <f t="shared" si="4"/>
        <v>1000</v>
      </c>
      <c r="P173">
        <f>Table1[[#This Row],[Quantity]]*Table1[[#This Row],[unit_price]]*Table1[[#This Row],[Discount]]</f>
        <v>0</v>
      </c>
      <c r="Q173" t="str">
        <f>VLOOKUP(E173,Products!$A$2:$E$23,2,0)</f>
        <v>Whiteboard Marker Set</v>
      </c>
      <c r="R173" t="str">
        <f>VLOOKUP(Table1[[#This Row],[Product ID]],Products!$A$2:$E$23,3,0)</f>
        <v>Office Supplies</v>
      </c>
      <c r="S173" t="str">
        <f>VLOOKUP(C173,Customers!$A$2:$F$201,4,0)</f>
        <v>West Bengal</v>
      </c>
      <c r="T173" t="str">
        <f>VLOOKUP(Table1[[#This Row],[Customer ID]],Customers!$A$2:$F$201,5,0)</f>
        <v>East</v>
      </c>
      <c r="U173" t="str">
        <f>VLOOKUP(Table1[[#This Row],[Customer ID]],Customers!$A$2:$F$201,6,0)</f>
        <v>Home Office</v>
      </c>
      <c r="V173" t="str">
        <f>TEXT(Table1[[#This Row],[Order Date]],"MMM")</f>
        <v>Apr</v>
      </c>
      <c r="W173" t="str">
        <f>TEXT(Table1[[#This Row],[Order Date]],"yyyy")</f>
        <v>2024</v>
      </c>
    </row>
    <row r="174" spans="1:23" x14ac:dyDescent="0.25">
      <c r="A174" s="2" t="s">
        <v>332</v>
      </c>
      <c r="B174" s="4">
        <v>45397</v>
      </c>
      <c r="C174" s="2" t="s">
        <v>333</v>
      </c>
      <c r="D174" s="2" t="str">
        <f>TEXT(Table1[[#This Row],[Order Date]],"mmmm")</f>
        <v>April</v>
      </c>
      <c r="E174" s="2" t="s">
        <v>121</v>
      </c>
      <c r="F174" s="2">
        <v>1</v>
      </c>
      <c r="G174" s="5">
        <v>0.1</v>
      </c>
      <c r="H174" s="2" t="s">
        <v>30</v>
      </c>
      <c r="I174" s="2" t="s">
        <v>20</v>
      </c>
      <c r="J174" s="2" t="s">
        <v>21</v>
      </c>
      <c r="K174">
        <f>VLOOKUP(E174,Products!$A$2:$E$23,5,0)</f>
        <v>499</v>
      </c>
      <c r="L174">
        <f>VLOOKUP(E174,Products!$A$2:$E$23,4,0)</f>
        <v>250</v>
      </c>
      <c r="M174" s="2">
        <f>K174*F174-Table1[[#This Row],[discount_amount]]</f>
        <v>449.1</v>
      </c>
      <c r="N174">
        <f t="shared" si="5"/>
        <v>250</v>
      </c>
      <c r="O174">
        <f t="shared" si="4"/>
        <v>199.10000000000002</v>
      </c>
      <c r="P174">
        <f>Table1[[#This Row],[Quantity]]*Table1[[#This Row],[unit_price]]*Table1[[#This Row],[Discount]]</f>
        <v>49.900000000000006</v>
      </c>
      <c r="Q174" t="str">
        <f>VLOOKUP(E174,Products!$A$2:$E$23,2,0)</f>
        <v>Cotton T-Shirt</v>
      </c>
      <c r="R174" t="str">
        <f>VLOOKUP(Table1[[#This Row],[Product ID]],Products!$A$2:$E$23,3,0)</f>
        <v>Clothing</v>
      </c>
      <c r="S174" t="str">
        <f>VLOOKUP(C174,Customers!$A$2:$F$201,4,0)</f>
        <v>Rajasthan</v>
      </c>
      <c r="T174" t="str">
        <f>VLOOKUP(Table1[[#This Row],[Customer ID]],Customers!$A$2:$F$201,5,0)</f>
        <v>North</v>
      </c>
      <c r="U174" t="str">
        <f>VLOOKUP(Table1[[#This Row],[Customer ID]],Customers!$A$2:$F$201,6,0)</f>
        <v>Corporate</v>
      </c>
      <c r="V174" t="str">
        <f>TEXT(Table1[[#This Row],[Order Date]],"MMM")</f>
        <v>Apr</v>
      </c>
      <c r="W174" t="str">
        <f>TEXT(Table1[[#This Row],[Order Date]],"yyyy")</f>
        <v>2024</v>
      </c>
    </row>
    <row r="175" spans="1:23" x14ac:dyDescent="0.25">
      <c r="A175" s="2" t="s">
        <v>334</v>
      </c>
      <c r="B175" s="4">
        <v>45397</v>
      </c>
      <c r="C175" s="2" t="s">
        <v>335</v>
      </c>
      <c r="D175" s="2" t="str">
        <f>TEXT(Table1[[#This Row],[Order Date]],"mmmm")</f>
        <v>April</v>
      </c>
      <c r="E175" s="2" t="s">
        <v>155</v>
      </c>
      <c r="F175" s="2">
        <v>2</v>
      </c>
      <c r="G175" s="5">
        <v>0</v>
      </c>
      <c r="H175" s="2" t="s">
        <v>19</v>
      </c>
      <c r="I175" s="2" t="s">
        <v>26</v>
      </c>
      <c r="J175" s="2" t="s">
        <v>42</v>
      </c>
      <c r="K175">
        <f>VLOOKUP(E175,Products!$A$2:$E$23,5,0)</f>
        <v>1599</v>
      </c>
      <c r="L175">
        <f>VLOOKUP(E175,Products!$A$2:$E$23,4,0)</f>
        <v>900</v>
      </c>
      <c r="M175" s="2">
        <f>K175*F175-Table1[[#This Row],[discount_amount]]</f>
        <v>3198</v>
      </c>
      <c r="N175">
        <f t="shared" si="5"/>
        <v>1800</v>
      </c>
      <c r="O175">
        <f t="shared" si="4"/>
        <v>1398</v>
      </c>
      <c r="P175">
        <f>Table1[[#This Row],[Quantity]]*Table1[[#This Row],[unit_price]]*Table1[[#This Row],[Discount]]</f>
        <v>0</v>
      </c>
      <c r="Q175" t="str">
        <f>VLOOKUP(E175,Products!$A$2:$E$23,2,0)</f>
        <v>Headphones</v>
      </c>
      <c r="R175" t="str">
        <f>VLOOKUP(Table1[[#This Row],[Product ID]],Products!$A$2:$E$23,3,0)</f>
        <v>Electronics</v>
      </c>
      <c r="S175" t="str">
        <f>VLOOKUP(C175,Customers!$A$2:$F$201,4,0)</f>
        <v>Chandigarh</v>
      </c>
      <c r="T175" t="str">
        <f>VLOOKUP(Table1[[#This Row],[Customer ID]],Customers!$A$2:$F$201,5,0)</f>
        <v>North</v>
      </c>
      <c r="U175" t="str">
        <f>VLOOKUP(Table1[[#This Row],[Customer ID]],Customers!$A$2:$F$201,6,0)</f>
        <v>Consumer</v>
      </c>
      <c r="V175" t="str">
        <f>TEXT(Table1[[#This Row],[Order Date]],"MMM")</f>
        <v>Apr</v>
      </c>
      <c r="W175" t="str">
        <f>TEXT(Table1[[#This Row],[Order Date]],"yyyy")</f>
        <v>2024</v>
      </c>
    </row>
    <row r="176" spans="1:23" x14ac:dyDescent="0.25">
      <c r="A176" s="2" t="s">
        <v>336</v>
      </c>
      <c r="B176" s="4">
        <v>45397</v>
      </c>
      <c r="C176" s="2" t="s">
        <v>337</v>
      </c>
      <c r="D176" s="2" t="str">
        <f>TEXT(Table1[[#This Row],[Order Date]],"mmmm")</f>
        <v>April</v>
      </c>
      <c r="E176" s="2" t="s">
        <v>41</v>
      </c>
      <c r="F176" s="2">
        <v>6</v>
      </c>
      <c r="G176" s="5">
        <v>0.15</v>
      </c>
      <c r="H176" s="2" t="s">
        <v>30</v>
      </c>
      <c r="I176" s="2" t="s">
        <v>46</v>
      </c>
      <c r="J176" s="2" t="s">
        <v>21</v>
      </c>
      <c r="K176">
        <f>VLOOKUP(E176,Products!$A$2:$E$23,5,0)</f>
        <v>320</v>
      </c>
      <c r="L176">
        <f>VLOOKUP(E176,Products!$A$2:$E$23,4,0)</f>
        <v>220</v>
      </c>
      <c r="M176" s="2">
        <f>K176*F176-Table1[[#This Row],[discount_amount]]</f>
        <v>1632</v>
      </c>
      <c r="N176">
        <f t="shared" si="5"/>
        <v>1320</v>
      </c>
      <c r="O176">
        <f t="shared" si="4"/>
        <v>312</v>
      </c>
      <c r="P176">
        <f>Table1[[#This Row],[Quantity]]*Table1[[#This Row],[unit_price]]*Table1[[#This Row],[Discount]]</f>
        <v>288</v>
      </c>
      <c r="Q176" t="str">
        <f>VLOOKUP(E176,Products!$A$2:$E$23,2,0)</f>
        <v>A4 Paper Ream</v>
      </c>
      <c r="R176" t="str">
        <f>VLOOKUP(Table1[[#This Row],[Product ID]],Products!$A$2:$E$23,3,0)</f>
        <v>Office Supplies</v>
      </c>
      <c r="S176" t="str">
        <f>VLOOKUP(C176,Customers!$A$2:$F$201,4,0)</f>
        <v>Madhya Pradesh</v>
      </c>
      <c r="T176" t="str">
        <f>VLOOKUP(Table1[[#This Row],[Customer ID]],Customers!$A$2:$F$201,5,0)</f>
        <v>Central</v>
      </c>
      <c r="U176" t="str">
        <f>VLOOKUP(Table1[[#This Row],[Customer ID]],Customers!$A$2:$F$201,6,0)</f>
        <v>Corporate</v>
      </c>
      <c r="V176" t="str">
        <f>TEXT(Table1[[#This Row],[Order Date]],"MMM")</f>
        <v>Apr</v>
      </c>
      <c r="W176" t="str">
        <f>TEXT(Table1[[#This Row],[Order Date]],"yyyy")</f>
        <v>2024</v>
      </c>
    </row>
    <row r="177" spans="1:23" x14ac:dyDescent="0.25">
      <c r="A177" s="2" t="s">
        <v>338</v>
      </c>
      <c r="B177" s="4">
        <v>45397</v>
      </c>
      <c r="C177" s="2" t="s">
        <v>339</v>
      </c>
      <c r="D177" s="2" t="str">
        <f>TEXT(Table1[[#This Row],[Order Date]],"mmmm")</f>
        <v>April</v>
      </c>
      <c r="E177" s="2" t="s">
        <v>91</v>
      </c>
      <c r="F177" s="2">
        <v>4</v>
      </c>
      <c r="G177" s="5">
        <v>0.15</v>
      </c>
      <c r="H177" s="2" t="s">
        <v>19</v>
      </c>
      <c r="I177" s="2" t="s">
        <v>46</v>
      </c>
      <c r="J177" s="2" t="s">
        <v>21</v>
      </c>
      <c r="K177">
        <f>VLOOKUP(E177,Products!$A$2:$E$23,5,0)</f>
        <v>1199</v>
      </c>
      <c r="L177">
        <f>VLOOKUP(E177,Products!$A$2:$E$23,4,0)</f>
        <v>600</v>
      </c>
      <c r="M177" s="2">
        <f>K177*F177-Table1[[#This Row],[discount_amount]]</f>
        <v>4076.6</v>
      </c>
      <c r="N177">
        <f t="shared" si="5"/>
        <v>2400</v>
      </c>
      <c r="O177">
        <f t="shared" si="4"/>
        <v>1676.6</v>
      </c>
      <c r="P177">
        <f>Table1[[#This Row],[Quantity]]*Table1[[#This Row],[unit_price]]*Table1[[#This Row],[Discount]]</f>
        <v>719.4</v>
      </c>
      <c r="Q177" t="str">
        <f>VLOOKUP(E177,Products!$A$2:$E$23,2,0)</f>
        <v>Formal Shirt</v>
      </c>
      <c r="R177" t="str">
        <f>VLOOKUP(Table1[[#This Row],[Product ID]],Products!$A$2:$E$23,3,0)</f>
        <v>Clothing</v>
      </c>
      <c r="S177" t="str">
        <f>VLOOKUP(C177,Customers!$A$2:$F$201,4,0)</f>
        <v>Tamil Nadu</v>
      </c>
      <c r="T177" t="str">
        <f>VLOOKUP(Table1[[#This Row],[Customer ID]],Customers!$A$2:$F$201,5,0)</f>
        <v>South</v>
      </c>
      <c r="U177" t="str">
        <f>VLOOKUP(Table1[[#This Row],[Customer ID]],Customers!$A$2:$F$201,6,0)</f>
        <v>Corporate</v>
      </c>
      <c r="V177" t="str">
        <f>TEXT(Table1[[#This Row],[Order Date]],"MMM")</f>
        <v>Apr</v>
      </c>
      <c r="W177" t="str">
        <f>TEXT(Table1[[#This Row],[Order Date]],"yyyy")</f>
        <v>2024</v>
      </c>
    </row>
    <row r="178" spans="1:23" x14ac:dyDescent="0.25">
      <c r="A178" s="2" t="s">
        <v>340</v>
      </c>
      <c r="B178" s="4">
        <v>45398</v>
      </c>
      <c r="C178" s="2" t="s">
        <v>341</v>
      </c>
      <c r="D178" s="2" t="str">
        <f>TEXT(Table1[[#This Row],[Order Date]],"mmmm")</f>
        <v>April</v>
      </c>
      <c r="E178" s="2" t="s">
        <v>37</v>
      </c>
      <c r="F178" s="2">
        <v>2</v>
      </c>
      <c r="G178" s="5">
        <v>0.1</v>
      </c>
      <c r="H178" s="2" t="s">
        <v>25</v>
      </c>
      <c r="I178" s="2" t="s">
        <v>26</v>
      </c>
      <c r="J178" s="2" t="s">
        <v>21</v>
      </c>
      <c r="K178">
        <f>VLOOKUP(E178,Products!$A$2:$E$23,5,0)</f>
        <v>1799</v>
      </c>
      <c r="L178">
        <f>VLOOKUP(E178,Products!$A$2:$E$23,4,0)</f>
        <v>900</v>
      </c>
      <c r="M178" s="2">
        <f>K178*F178-Table1[[#This Row],[discount_amount]]</f>
        <v>3238.2</v>
      </c>
      <c r="N178">
        <f t="shared" si="5"/>
        <v>1800</v>
      </c>
      <c r="O178">
        <f t="shared" si="4"/>
        <v>1438.1999999999998</v>
      </c>
      <c r="P178">
        <f>Table1[[#This Row],[Quantity]]*Table1[[#This Row],[unit_price]]*Table1[[#This Row],[Discount]]</f>
        <v>359.8</v>
      </c>
      <c r="Q178" t="str">
        <f>VLOOKUP(E178,Products!$A$2:$E$23,2,0)</f>
        <v>Denim Jeans</v>
      </c>
      <c r="R178" t="str">
        <f>VLOOKUP(Table1[[#This Row],[Product ID]],Products!$A$2:$E$23,3,0)</f>
        <v>Clothing</v>
      </c>
      <c r="S178" t="str">
        <f>VLOOKUP(C178,Customers!$A$2:$F$201,4,0)</f>
        <v>Bihar</v>
      </c>
      <c r="T178" t="str">
        <f>VLOOKUP(Table1[[#This Row],[Customer ID]],Customers!$A$2:$F$201,5,0)</f>
        <v>East</v>
      </c>
      <c r="U178" t="str">
        <f>VLOOKUP(Table1[[#This Row],[Customer ID]],Customers!$A$2:$F$201,6,0)</f>
        <v>Consumer</v>
      </c>
      <c r="V178" t="str">
        <f>TEXT(Table1[[#This Row],[Order Date]],"MMM")</f>
        <v>Apr</v>
      </c>
      <c r="W178" t="str">
        <f>TEXT(Table1[[#This Row],[Order Date]],"yyyy")</f>
        <v>2024</v>
      </c>
    </row>
    <row r="179" spans="1:23" x14ac:dyDescent="0.25">
      <c r="A179" s="2" t="s">
        <v>342</v>
      </c>
      <c r="B179" s="4">
        <v>45398</v>
      </c>
      <c r="C179" s="2" t="s">
        <v>56</v>
      </c>
      <c r="D179" s="2" t="str">
        <f>TEXT(Table1[[#This Row],[Order Date]],"mmmm")</f>
        <v>April</v>
      </c>
      <c r="E179" s="2" t="s">
        <v>121</v>
      </c>
      <c r="F179" s="2">
        <v>10</v>
      </c>
      <c r="G179" s="5">
        <v>0</v>
      </c>
      <c r="H179" s="2" t="s">
        <v>19</v>
      </c>
      <c r="I179" s="2" t="s">
        <v>26</v>
      </c>
      <c r="J179" s="2" t="s">
        <v>42</v>
      </c>
      <c r="K179">
        <f>VLOOKUP(E179,Products!$A$2:$E$23,5,0)</f>
        <v>499</v>
      </c>
      <c r="L179">
        <f>VLOOKUP(E179,Products!$A$2:$E$23,4,0)</f>
        <v>250</v>
      </c>
      <c r="M179" s="2">
        <f>K179*F179-Table1[[#This Row],[discount_amount]]</f>
        <v>4990</v>
      </c>
      <c r="N179">
        <f t="shared" si="5"/>
        <v>2500</v>
      </c>
      <c r="O179">
        <f t="shared" si="4"/>
        <v>2490</v>
      </c>
      <c r="P179">
        <f>Table1[[#This Row],[Quantity]]*Table1[[#This Row],[unit_price]]*Table1[[#This Row],[Discount]]</f>
        <v>0</v>
      </c>
      <c r="Q179" t="str">
        <f>VLOOKUP(E179,Products!$A$2:$E$23,2,0)</f>
        <v>Cotton T-Shirt</v>
      </c>
      <c r="R179" t="str">
        <f>VLOOKUP(Table1[[#This Row],[Product ID]],Products!$A$2:$E$23,3,0)</f>
        <v>Clothing</v>
      </c>
      <c r="S179" t="str">
        <f>VLOOKUP(C179,Customers!$A$2:$F$201,4,0)</f>
        <v>Maharashtra</v>
      </c>
      <c r="T179" t="str">
        <f>VLOOKUP(Table1[[#This Row],[Customer ID]],Customers!$A$2:$F$201,5,0)</f>
        <v>West</v>
      </c>
      <c r="U179" t="str">
        <f>VLOOKUP(Table1[[#This Row],[Customer ID]],Customers!$A$2:$F$201,6,0)</f>
        <v>Consumer</v>
      </c>
      <c r="V179" t="str">
        <f>TEXT(Table1[[#This Row],[Order Date]],"MMM")</f>
        <v>Apr</v>
      </c>
      <c r="W179" t="str">
        <f>TEXT(Table1[[#This Row],[Order Date]],"yyyy")</f>
        <v>2024</v>
      </c>
    </row>
    <row r="180" spans="1:23" x14ac:dyDescent="0.25">
      <c r="A180" s="2" t="s">
        <v>343</v>
      </c>
      <c r="B180" s="4">
        <v>45399</v>
      </c>
      <c r="C180" s="2" t="s">
        <v>272</v>
      </c>
      <c r="D180" s="2" t="str">
        <f>TEXT(Table1[[#This Row],[Order Date]],"mmmm")</f>
        <v>April</v>
      </c>
      <c r="E180" s="2" t="s">
        <v>91</v>
      </c>
      <c r="F180" s="2">
        <v>10</v>
      </c>
      <c r="G180" s="5">
        <v>0.2</v>
      </c>
      <c r="H180" s="2" t="s">
        <v>30</v>
      </c>
      <c r="I180" s="2" t="s">
        <v>46</v>
      </c>
      <c r="J180" s="2" t="s">
        <v>21</v>
      </c>
      <c r="K180">
        <f>VLOOKUP(E180,Products!$A$2:$E$23,5,0)</f>
        <v>1199</v>
      </c>
      <c r="L180">
        <f>VLOOKUP(E180,Products!$A$2:$E$23,4,0)</f>
        <v>600</v>
      </c>
      <c r="M180" s="2">
        <f>K180*F180-Table1[[#This Row],[discount_amount]]</f>
        <v>9592</v>
      </c>
      <c r="N180">
        <f t="shared" si="5"/>
        <v>6000</v>
      </c>
      <c r="O180">
        <f t="shared" si="4"/>
        <v>3592</v>
      </c>
      <c r="P180">
        <f>Table1[[#This Row],[Quantity]]*Table1[[#This Row],[unit_price]]*Table1[[#This Row],[Discount]]</f>
        <v>2398</v>
      </c>
      <c r="Q180" t="str">
        <f>VLOOKUP(E180,Products!$A$2:$E$23,2,0)</f>
        <v>Formal Shirt</v>
      </c>
      <c r="R180" t="str">
        <f>VLOOKUP(Table1[[#This Row],[Product ID]],Products!$A$2:$E$23,3,0)</f>
        <v>Clothing</v>
      </c>
      <c r="S180" t="str">
        <f>VLOOKUP(C180,Customers!$A$2:$F$201,4,0)</f>
        <v>Gujarat</v>
      </c>
      <c r="T180" t="str">
        <f>VLOOKUP(Table1[[#This Row],[Customer ID]],Customers!$A$2:$F$201,5,0)</f>
        <v>West</v>
      </c>
      <c r="U180" t="str">
        <f>VLOOKUP(Table1[[#This Row],[Customer ID]],Customers!$A$2:$F$201,6,0)</f>
        <v>Consumer</v>
      </c>
      <c r="V180" t="str">
        <f>TEXT(Table1[[#This Row],[Order Date]],"MMM")</f>
        <v>Apr</v>
      </c>
      <c r="W180" t="str">
        <f>TEXT(Table1[[#This Row],[Order Date]],"yyyy")</f>
        <v>2024</v>
      </c>
    </row>
    <row r="181" spans="1:23" x14ac:dyDescent="0.25">
      <c r="A181" s="2" t="s">
        <v>344</v>
      </c>
      <c r="B181" s="4">
        <v>45400</v>
      </c>
      <c r="C181" s="2" t="s">
        <v>345</v>
      </c>
      <c r="D181" s="2" t="str">
        <f>TEXT(Table1[[#This Row],[Order Date]],"mmmm")</f>
        <v>April</v>
      </c>
      <c r="E181" s="2" t="s">
        <v>135</v>
      </c>
      <c r="F181" s="2">
        <v>3</v>
      </c>
      <c r="G181" s="5">
        <v>0.15</v>
      </c>
      <c r="H181" s="2" t="s">
        <v>30</v>
      </c>
      <c r="I181" s="2" t="s">
        <v>46</v>
      </c>
      <c r="J181" s="2" t="s">
        <v>21</v>
      </c>
      <c r="K181">
        <f>VLOOKUP(E181,Products!$A$2:$E$23,5,0)</f>
        <v>220</v>
      </c>
      <c r="L181">
        <f>VLOOKUP(E181,Products!$A$2:$E$23,4,0)</f>
        <v>120</v>
      </c>
      <c r="M181" s="2">
        <f>K181*F181-Table1[[#This Row],[discount_amount]]</f>
        <v>561</v>
      </c>
      <c r="N181">
        <f t="shared" si="5"/>
        <v>360</v>
      </c>
      <c r="O181">
        <f t="shared" si="4"/>
        <v>201</v>
      </c>
      <c r="P181">
        <f>Table1[[#This Row],[Quantity]]*Table1[[#This Row],[unit_price]]*Table1[[#This Row],[Discount]]</f>
        <v>99</v>
      </c>
      <c r="Q181" t="str">
        <f>VLOOKUP(E181,Products!$A$2:$E$23,2,0)</f>
        <v>Stapler</v>
      </c>
      <c r="R181" t="str">
        <f>VLOOKUP(Table1[[#This Row],[Product ID]],Products!$A$2:$E$23,3,0)</f>
        <v>Office Supplies</v>
      </c>
      <c r="S181" t="str">
        <f>VLOOKUP(C181,Customers!$A$2:$F$201,4,0)</f>
        <v>Gujarat</v>
      </c>
      <c r="T181" t="str">
        <f>VLOOKUP(Table1[[#This Row],[Customer ID]],Customers!$A$2:$F$201,5,0)</f>
        <v>West</v>
      </c>
      <c r="U181" t="str">
        <f>VLOOKUP(Table1[[#This Row],[Customer ID]],Customers!$A$2:$F$201,6,0)</f>
        <v>Consumer</v>
      </c>
      <c r="V181" t="str">
        <f>TEXT(Table1[[#This Row],[Order Date]],"MMM")</f>
        <v>Apr</v>
      </c>
      <c r="W181" t="str">
        <f>TEXT(Table1[[#This Row],[Order Date]],"yyyy")</f>
        <v>2024</v>
      </c>
    </row>
    <row r="182" spans="1:23" x14ac:dyDescent="0.25">
      <c r="A182" s="2" t="s">
        <v>346</v>
      </c>
      <c r="B182" s="4">
        <v>45401</v>
      </c>
      <c r="C182" s="2" t="s">
        <v>347</v>
      </c>
      <c r="D182" s="2" t="str">
        <f>TEXT(Table1[[#This Row],[Order Date]],"mmmm")</f>
        <v>April</v>
      </c>
      <c r="E182" s="2" t="s">
        <v>66</v>
      </c>
      <c r="F182" s="2">
        <v>4</v>
      </c>
      <c r="G182" s="5">
        <v>0.1</v>
      </c>
      <c r="H182" s="2" t="s">
        <v>25</v>
      </c>
      <c r="I182" s="2" t="s">
        <v>20</v>
      </c>
      <c r="J182" s="2" t="s">
        <v>21</v>
      </c>
      <c r="K182">
        <f>VLOOKUP(E182,Products!$A$2:$E$23,5,0)</f>
        <v>1299</v>
      </c>
      <c r="L182">
        <f>VLOOKUP(E182,Products!$A$2:$E$23,4,0)</f>
        <v>800</v>
      </c>
      <c r="M182" s="2">
        <f>K182*F182-Table1[[#This Row],[discount_amount]]</f>
        <v>4676.3999999999996</v>
      </c>
      <c r="N182">
        <f t="shared" si="5"/>
        <v>3200</v>
      </c>
      <c r="O182">
        <f t="shared" si="4"/>
        <v>1476.3999999999996</v>
      </c>
      <c r="P182">
        <f>Table1[[#This Row],[Quantity]]*Table1[[#This Row],[unit_price]]*Table1[[#This Row],[Discount]]</f>
        <v>519.6</v>
      </c>
      <c r="Q182" t="str">
        <f>VLOOKUP(E182,Products!$A$2:$E$23,2,0)</f>
        <v>Power Bank 10000mAh</v>
      </c>
      <c r="R182" t="str">
        <f>VLOOKUP(Table1[[#This Row],[Product ID]],Products!$A$2:$E$23,3,0)</f>
        <v>Electronics</v>
      </c>
      <c r="S182" t="str">
        <f>VLOOKUP(C182,Customers!$A$2:$F$201,4,0)</f>
        <v>Madhya Pradesh</v>
      </c>
      <c r="T182" t="str">
        <f>VLOOKUP(Table1[[#This Row],[Customer ID]],Customers!$A$2:$F$201,5,0)</f>
        <v>Central</v>
      </c>
      <c r="U182" t="str">
        <f>VLOOKUP(Table1[[#This Row],[Customer ID]],Customers!$A$2:$F$201,6,0)</f>
        <v>Home Office</v>
      </c>
      <c r="V182" t="str">
        <f>TEXT(Table1[[#This Row],[Order Date]],"MMM")</f>
        <v>Apr</v>
      </c>
      <c r="W182" t="str">
        <f>TEXT(Table1[[#This Row],[Order Date]],"yyyy")</f>
        <v>2024</v>
      </c>
    </row>
    <row r="183" spans="1:23" x14ac:dyDescent="0.25">
      <c r="A183" s="2" t="s">
        <v>348</v>
      </c>
      <c r="B183" s="4">
        <v>45402</v>
      </c>
      <c r="C183" s="2" t="s">
        <v>48</v>
      </c>
      <c r="D183" s="2" t="str">
        <f>TEXT(Table1[[#This Row],[Order Date]],"mmmm")</f>
        <v>April</v>
      </c>
      <c r="E183" s="2" t="s">
        <v>111</v>
      </c>
      <c r="F183" s="2">
        <v>3</v>
      </c>
      <c r="G183" s="5">
        <v>0.05</v>
      </c>
      <c r="H183" s="2" t="s">
        <v>30</v>
      </c>
      <c r="I183" s="2" t="s">
        <v>38</v>
      </c>
      <c r="J183" s="2" t="s">
        <v>21</v>
      </c>
      <c r="K183">
        <f>VLOOKUP(E183,Products!$A$2:$E$23,5,0)</f>
        <v>240</v>
      </c>
      <c r="L183">
        <f>VLOOKUP(E183,Products!$A$2:$E$23,4,0)</f>
        <v>140</v>
      </c>
      <c r="M183" s="2">
        <f>K183*F183-Table1[[#This Row],[discount_amount]]</f>
        <v>684</v>
      </c>
      <c r="N183">
        <f t="shared" si="5"/>
        <v>420</v>
      </c>
      <c r="O183">
        <f t="shared" si="4"/>
        <v>264</v>
      </c>
      <c r="P183">
        <f>Table1[[#This Row],[Quantity]]*Table1[[#This Row],[unit_price]]*Table1[[#This Row],[Discount]]</f>
        <v>36</v>
      </c>
      <c r="Q183" t="str">
        <f>VLOOKUP(E183,Products!$A$2:$E$23,2,0)</f>
        <v>Whiteboard Marker Set</v>
      </c>
      <c r="R183" t="str">
        <f>VLOOKUP(Table1[[#This Row],[Product ID]],Products!$A$2:$E$23,3,0)</f>
        <v>Office Supplies</v>
      </c>
      <c r="S183" t="str">
        <f>VLOOKUP(C183,Customers!$A$2:$F$201,4,0)</f>
        <v>Maharashtra</v>
      </c>
      <c r="T183" t="str">
        <f>VLOOKUP(Table1[[#This Row],[Customer ID]],Customers!$A$2:$F$201,5,0)</f>
        <v>West</v>
      </c>
      <c r="U183" t="str">
        <f>VLOOKUP(Table1[[#This Row],[Customer ID]],Customers!$A$2:$F$201,6,0)</f>
        <v>Home Office</v>
      </c>
      <c r="V183" t="str">
        <f>TEXT(Table1[[#This Row],[Order Date]],"MMM")</f>
        <v>Apr</v>
      </c>
      <c r="W183" t="str">
        <f>TEXT(Table1[[#This Row],[Order Date]],"yyyy")</f>
        <v>2024</v>
      </c>
    </row>
    <row r="184" spans="1:23" x14ac:dyDescent="0.25">
      <c r="A184" s="2" t="s">
        <v>349</v>
      </c>
      <c r="B184" s="4">
        <v>45402</v>
      </c>
      <c r="C184" s="2" t="s">
        <v>350</v>
      </c>
      <c r="D184" s="2" t="str">
        <f>TEXT(Table1[[#This Row],[Order Date]],"mmmm")</f>
        <v>April</v>
      </c>
      <c r="E184" s="2" t="s">
        <v>118</v>
      </c>
      <c r="F184" s="2">
        <v>3</v>
      </c>
      <c r="G184" s="5">
        <v>0.1</v>
      </c>
      <c r="H184" s="2" t="s">
        <v>19</v>
      </c>
      <c r="I184" s="2" t="s">
        <v>20</v>
      </c>
      <c r="J184" s="2" t="s">
        <v>79</v>
      </c>
      <c r="K184">
        <f>VLOOKUP(E184,Products!$A$2:$E$23,5,0)</f>
        <v>150</v>
      </c>
      <c r="L184">
        <f>VLOOKUP(E184,Products!$A$2:$E$23,4,0)</f>
        <v>90</v>
      </c>
      <c r="M184" s="2">
        <f>K184*F184-Table1[[#This Row],[discount_amount]]</f>
        <v>405</v>
      </c>
      <c r="N184">
        <f t="shared" si="5"/>
        <v>270</v>
      </c>
      <c r="O184">
        <f t="shared" si="4"/>
        <v>135</v>
      </c>
      <c r="P184">
        <f>Table1[[#This Row],[Quantity]]*Table1[[#This Row],[unit_price]]*Table1[[#This Row],[Discount]]</f>
        <v>45</v>
      </c>
      <c r="Q184" t="str">
        <f>VLOOKUP(E184,Products!$A$2:$E$23,2,0)</f>
        <v>Gel Pen Box</v>
      </c>
      <c r="R184" t="str">
        <f>VLOOKUP(Table1[[#This Row],[Product ID]],Products!$A$2:$E$23,3,0)</f>
        <v>Office Supplies</v>
      </c>
      <c r="S184" t="str">
        <f>VLOOKUP(C184,Customers!$A$2:$F$201,4,0)</f>
        <v>West Bengal</v>
      </c>
      <c r="T184" t="str">
        <f>VLOOKUP(Table1[[#This Row],[Customer ID]],Customers!$A$2:$F$201,5,0)</f>
        <v>East</v>
      </c>
      <c r="U184" t="str">
        <f>VLOOKUP(Table1[[#This Row],[Customer ID]],Customers!$A$2:$F$201,6,0)</f>
        <v>Corporate</v>
      </c>
      <c r="V184" t="str">
        <f>TEXT(Table1[[#This Row],[Order Date]],"MMM")</f>
        <v>Apr</v>
      </c>
      <c r="W184" t="str">
        <f>TEXT(Table1[[#This Row],[Order Date]],"yyyy")</f>
        <v>2024</v>
      </c>
    </row>
    <row r="185" spans="1:23" x14ac:dyDescent="0.25">
      <c r="A185" s="2" t="s">
        <v>351</v>
      </c>
      <c r="B185" s="4">
        <v>45402</v>
      </c>
      <c r="C185" s="2" t="s">
        <v>90</v>
      </c>
      <c r="D185" s="2" t="str">
        <f>TEXT(Table1[[#This Row],[Order Date]],"mmmm")</f>
        <v>April</v>
      </c>
      <c r="E185" s="2" t="s">
        <v>24</v>
      </c>
      <c r="F185" s="2">
        <v>1</v>
      </c>
      <c r="G185" s="5">
        <v>0.15</v>
      </c>
      <c r="H185" s="2" t="s">
        <v>30</v>
      </c>
      <c r="I185" s="2" t="s">
        <v>20</v>
      </c>
      <c r="J185" s="2" t="s">
        <v>21</v>
      </c>
      <c r="K185">
        <f>VLOOKUP(E185,Products!$A$2:$E$23,5,0)</f>
        <v>899</v>
      </c>
      <c r="L185">
        <f>VLOOKUP(E185,Products!$A$2:$E$23,4,0)</f>
        <v>500</v>
      </c>
      <c r="M185" s="2">
        <f>K185*F185-Table1[[#This Row],[discount_amount]]</f>
        <v>764.15</v>
      </c>
      <c r="N185">
        <f t="shared" si="5"/>
        <v>500</v>
      </c>
      <c r="O185">
        <f t="shared" si="4"/>
        <v>264.14999999999998</v>
      </c>
      <c r="P185">
        <f>Table1[[#This Row],[Quantity]]*Table1[[#This Row],[unit_price]]*Table1[[#This Row],[Discount]]</f>
        <v>134.85</v>
      </c>
      <c r="Q185" t="str">
        <f>VLOOKUP(E185,Products!$A$2:$E$23,2,0)</f>
        <v>Monitor Stand</v>
      </c>
      <c r="R185" t="str">
        <f>VLOOKUP(Table1[[#This Row],[Product ID]],Products!$A$2:$E$23,3,0)</f>
        <v>Furniture</v>
      </c>
      <c r="S185" t="str">
        <f>VLOOKUP(C185,Customers!$A$2:$F$201,4,0)</f>
        <v>Kerala</v>
      </c>
      <c r="T185" t="str">
        <f>VLOOKUP(Table1[[#This Row],[Customer ID]],Customers!$A$2:$F$201,5,0)</f>
        <v>South</v>
      </c>
      <c r="U185" t="str">
        <f>VLOOKUP(Table1[[#This Row],[Customer ID]],Customers!$A$2:$F$201,6,0)</f>
        <v>Corporate</v>
      </c>
      <c r="V185" t="str">
        <f>TEXT(Table1[[#This Row],[Order Date]],"MMM")</f>
        <v>Apr</v>
      </c>
      <c r="W185" t="str">
        <f>TEXT(Table1[[#This Row],[Order Date]],"yyyy")</f>
        <v>2024</v>
      </c>
    </row>
    <row r="186" spans="1:23" x14ac:dyDescent="0.25">
      <c r="A186" s="2" t="s">
        <v>352</v>
      </c>
      <c r="B186" s="4">
        <v>45403</v>
      </c>
      <c r="C186" s="2" t="s">
        <v>353</v>
      </c>
      <c r="D186" s="2" t="str">
        <f>TEXT(Table1[[#This Row],[Order Date]],"mmmm")</f>
        <v>April</v>
      </c>
      <c r="E186" s="2" t="s">
        <v>57</v>
      </c>
      <c r="F186" s="2">
        <v>4</v>
      </c>
      <c r="G186" s="5">
        <v>0.15</v>
      </c>
      <c r="H186" s="2" t="s">
        <v>19</v>
      </c>
      <c r="I186" s="2" t="s">
        <v>46</v>
      </c>
      <c r="J186" s="2" t="s">
        <v>21</v>
      </c>
      <c r="K186">
        <f>VLOOKUP(E186,Products!$A$2:$E$23,5,0)</f>
        <v>1599</v>
      </c>
      <c r="L186">
        <f>VLOOKUP(E186,Products!$A$2:$E$23,4,0)</f>
        <v>800</v>
      </c>
      <c r="M186" s="2">
        <f>K186*F186-Table1[[#This Row],[discount_amount]]</f>
        <v>5436.6</v>
      </c>
      <c r="N186">
        <f t="shared" si="5"/>
        <v>3200</v>
      </c>
      <c r="O186">
        <f t="shared" si="4"/>
        <v>2236.6000000000004</v>
      </c>
      <c r="P186">
        <f>Table1[[#This Row],[Quantity]]*Table1[[#This Row],[unit_price]]*Table1[[#This Row],[Discount]]</f>
        <v>959.4</v>
      </c>
      <c r="Q186" t="str">
        <f>VLOOKUP(E186,Products!$A$2:$E$23,2,0)</f>
        <v>Hoodie</v>
      </c>
      <c r="R186" t="str">
        <f>VLOOKUP(Table1[[#This Row],[Product ID]],Products!$A$2:$E$23,3,0)</f>
        <v>Clothing</v>
      </c>
      <c r="S186" t="str">
        <f>VLOOKUP(C186,Customers!$A$2:$F$201,4,0)</f>
        <v>Maharashtra</v>
      </c>
      <c r="T186" t="str">
        <f>VLOOKUP(Table1[[#This Row],[Customer ID]],Customers!$A$2:$F$201,5,0)</f>
        <v>West</v>
      </c>
      <c r="U186" t="str">
        <f>VLOOKUP(Table1[[#This Row],[Customer ID]],Customers!$A$2:$F$201,6,0)</f>
        <v>Corporate</v>
      </c>
      <c r="V186" t="str">
        <f>TEXT(Table1[[#This Row],[Order Date]],"MMM")</f>
        <v>Apr</v>
      </c>
      <c r="W186" t="str">
        <f>TEXT(Table1[[#This Row],[Order Date]],"yyyy")</f>
        <v>2024</v>
      </c>
    </row>
    <row r="187" spans="1:23" x14ac:dyDescent="0.25">
      <c r="A187" s="2" t="s">
        <v>354</v>
      </c>
      <c r="B187" s="4">
        <v>45404</v>
      </c>
      <c r="C187" s="2" t="s">
        <v>158</v>
      </c>
      <c r="D187" s="2" t="str">
        <f>TEXT(Table1[[#This Row],[Order Date]],"mmmm")</f>
        <v>April</v>
      </c>
      <c r="E187" s="2" t="s">
        <v>135</v>
      </c>
      <c r="F187" s="2">
        <v>6</v>
      </c>
      <c r="G187" s="5">
        <v>0</v>
      </c>
      <c r="H187" s="2" t="s">
        <v>19</v>
      </c>
      <c r="I187" s="2" t="s">
        <v>31</v>
      </c>
      <c r="J187" s="2" t="s">
        <v>21</v>
      </c>
      <c r="K187">
        <f>VLOOKUP(E187,Products!$A$2:$E$23,5,0)</f>
        <v>220</v>
      </c>
      <c r="L187">
        <f>VLOOKUP(E187,Products!$A$2:$E$23,4,0)</f>
        <v>120</v>
      </c>
      <c r="M187" s="2">
        <f>K187*F187-Table1[[#This Row],[discount_amount]]</f>
        <v>1320</v>
      </c>
      <c r="N187">
        <f t="shared" si="5"/>
        <v>720</v>
      </c>
      <c r="O187">
        <f t="shared" si="4"/>
        <v>600</v>
      </c>
      <c r="P187">
        <f>Table1[[#This Row],[Quantity]]*Table1[[#This Row],[unit_price]]*Table1[[#This Row],[Discount]]</f>
        <v>0</v>
      </c>
      <c r="Q187" t="str">
        <f>VLOOKUP(E187,Products!$A$2:$E$23,2,0)</f>
        <v>Stapler</v>
      </c>
      <c r="R187" t="str">
        <f>VLOOKUP(Table1[[#This Row],[Product ID]],Products!$A$2:$E$23,3,0)</f>
        <v>Office Supplies</v>
      </c>
      <c r="S187" t="str">
        <f>VLOOKUP(C187,Customers!$A$2:$F$201,4,0)</f>
        <v>Kerala</v>
      </c>
      <c r="T187" t="str">
        <f>VLOOKUP(Table1[[#This Row],[Customer ID]],Customers!$A$2:$F$201,5,0)</f>
        <v>South</v>
      </c>
      <c r="U187" t="str">
        <f>VLOOKUP(Table1[[#This Row],[Customer ID]],Customers!$A$2:$F$201,6,0)</f>
        <v>Consumer</v>
      </c>
      <c r="V187" t="str">
        <f>TEXT(Table1[[#This Row],[Order Date]],"MMM")</f>
        <v>Apr</v>
      </c>
      <c r="W187" t="str">
        <f>TEXT(Table1[[#This Row],[Order Date]],"yyyy")</f>
        <v>2024</v>
      </c>
    </row>
    <row r="188" spans="1:23" x14ac:dyDescent="0.25">
      <c r="A188" s="2" t="s">
        <v>355</v>
      </c>
      <c r="B188" s="4">
        <v>45405</v>
      </c>
      <c r="C188" s="2" t="s">
        <v>356</v>
      </c>
      <c r="D188" s="2" t="str">
        <f>TEXT(Table1[[#This Row],[Order Date]],"mmmm")</f>
        <v>April</v>
      </c>
      <c r="E188" s="2" t="s">
        <v>91</v>
      </c>
      <c r="F188" s="2">
        <v>6</v>
      </c>
      <c r="G188" s="5">
        <v>0.1</v>
      </c>
      <c r="H188" s="2" t="s">
        <v>30</v>
      </c>
      <c r="I188" s="2" t="s">
        <v>38</v>
      </c>
      <c r="J188" s="2" t="s">
        <v>79</v>
      </c>
      <c r="K188">
        <f>VLOOKUP(E188,Products!$A$2:$E$23,5,0)</f>
        <v>1199</v>
      </c>
      <c r="L188">
        <f>VLOOKUP(E188,Products!$A$2:$E$23,4,0)</f>
        <v>600</v>
      </c>
      <c r="M188" s="2">
        <f>K188*F188-Table1[[#This Row],[discount_amount]]</f>
        <v>6474.6</v>
      </c>
      <c r="N188">
        <f t="shared" si="5"/>
        <v>3600</v>
      </c>
      <c r="O188">
        <f t="shared" si="4"/>
        <v>2874.6000000000004</v>
      </c>
      <c r="P188">
        <f>Table1[[#This Row],[Quantity]]*Table1[[#This Row],[unit_price]]*Table1[[#This Row],[Discount]]</f>
        <v>719.40000000000009</v>
      </c>
      <c r="Q188" t="str">
        <f>VLOOKUP(E188,Products!$A$2:$E$23,2,0)</f>
        <v>Formal Shirt</v>
      </c>
      <c r="R188" t="str">
        <f>VLOOKUP(Table1[[#This Row],[Product ID]],Products!$A$2:$E$23,3,0)</f>
        <v>Clothing</v>
      </c>
      <c r="S188" t="str">
        <f>VLOOKUP(C188,Customers!$A$2:$F$201,4,0)</f>
        <v>Gujarat</v>
      </c>
      <c r="T188" t="str">
        <f>VLOOKUP(Table1[[#This Row],[Customer ID]],Customers!$A$2:$F$201,5,0)</f>
        <v>West</v>
      </c>
      <c r="U188" t="str">
        <f>VLOOKUP(Table1[[#This Row],[Customer ID]],Customers!$A$2:$F$201,6,0)</f>
        <v>Corporate</v>
      </c>
      <c r="V188" t="str">
        <f>TEXT(Table1[[#This Row],[Order Date]],"MMM")</f>
        <v>Apr</v>
      </c>
      <c r="W188" t="str">
        <f>TEXT(Table1[[#This Row],[Order Date]],"yyyy")</f>
        <v>2024</v>
      </c>
    </row>
    <row r="189" spans="1:23" x14ac:dyDescent="0.25">
      <c r="A189" s="2" t="s">
        <v>357</v>
      </c>
      <c r="B189" s="4">
        <v>45405</v>
      </c>
      <c r="C189" s="2" t="s">
        <v>358</v>
      </c>
      <c r="D189" s="2" t="str">
        <f>TEXT(Table1[[#This Row],[Order Date]],"mmmm")</f>
        <v>April</v>
      </c>
      <c r="E189" s="2" t="s">
        <v>155</v>
      </c>
      <c r="F189" s="2">
        <v>6</v>
      </c>
      <c r="G189" s="5">
        <v>0</v>
      </c>
      <c r="H189" s="2" t="s">
        <v>30</v>
      </c>
      <c r="I189" s="2" t="s">
        <v>20</v>
      </c>
      <c r="J189" s="2" t="s">
        <v>94</v>
      </c>
      <c r="K189">
        <f>VLOOKUP(E189,Products!$A$2:$E$23,5,0)</f>
        <v>1599</v>
      </c>
      <c r="L189">
        <f>VLOOKUP(E189,Products!$A$2:$E$23,4,0)</f>
        <v>900</v>
      </c>
      <c r="M189" s="2">
        <f>K189*F189-Table1[[#This Row],[discount_amount]]</f>
        <v>9594</v>
      </c>
      <c r="N189">
        <f t="shared" si="5"/>
        <v>5400</v>
      </c>
      <c r="O189">
        <f t="shared" si="4"/>
        <v>4194</v>
      </c>
      <c r="P189">
        <f>Table1[[#This Row],[Quantity]]*Table1[[#This Row],[unit_price]]*Table1[[#This Row],[Discount]]</f>
        <v>0</v>
      </c>
      <c r="Q189" t="str">
        <f>VLOOKUP(E189,Products!$A$2:$E$23,2,0)</f>
        <v>Headphones</v>
      </c>
      <c r="R189" t="str">
        <f>VLOOKUP(Table1[[#This Row],[Product ID]],Products!$A$2:$E$23,3,0)</f>
        <v>Electronics</v>
      </c>
      <c r="S189" t="str">
        <f>VLOOKUP(C189,Customers!$A$2:$F$201,4,0)</f>
        <v>Delhi</v>
      </c>
      <c r="T189" t="str">
        <f>VLOOKUP(Table1[[#This Row],[Customer ID]],Customers!$A$2:$F$201,5,0)</f>
        <v>North</v>
      </c>
      <c r="U189" t="str">
        <f>VLOOKUP(Table1[[#This Row],[Customer ID]],Customers!$A$2:$F$201,6,0)</f>
        <v>Consumer</v>
      </c>
      <c r="V189" t="str">
        <f>TEXT(Table1[[#This Row],[Order Date]],"MMM")</f>
        <v>Apr</v>
      </c>
      <c r="W189" t="str">
        <f>TEXT(Table1[[#This Row],[Order Date]],"yyyy")</f>
        <v>2024</v>
      </c>
    </row>
    <row r="190" spans="1:23" x14ac:dyDescent="0.25">
      <c r="A190" s="2" t="s">
        <v>359</v>
      </c>
      <c r="B190" s="4">
        <v>45405</v>
      </c>
      <c r="C190" s="2" t="s">
        <v>360</v>
      </c>
      <c r="D190" s="2" t="str">
        <f>TEXT(Table1[[#This Row],[Order Date]],"mmmm")</f>
        <v>April</v>
      </c>
      <c r="E190" s="2" t="s">
        <v>54</v>
      </c>
      <c r="F190" s="2">
        <v>5</v>
      </c>
      <c r="G190" s="5">
        <v>0</v>
      </c>
      <c r="H190" s="2" t="s">
        <v>30</v>
      </c>
      <c r="I190" s="2" t="s">
        <v>26</v>
      </c>
      <c r="J190" s="2" t="s">
        <v>21</v>
      </c>
      <c r="K190">
        <f>VLOOKUP(E190,Products!$A$2:$E$23,5,0)</f>
        <v>299</v>
      </c>
      <c r="L190">
        <f>VLOOKUP(E190,Products!$A$2:$E$23,4,0)</f>
        <v>180</v>
      </c>
      <c r="M190" s="2">
        <f>K190*F190-Table1[[#This Row],[discount_amount]]</f>
        <v>1495</v>
      </c>
      <c r="N190">
        <f t="shared" si="5"/>
        <v>900</v>
      </c>
      <c r="O190">
        <f t="shared" si="4"/>
        <v>595</v>
      </c>
      <c r="P190">
        <f>Table1[[#This Row],[Quantity]]*Table1[[#This Row],[unit_price]]*Table1[[#This Row],[Discount]]</f>
        <v>0</v>
      </c>
      <c r="Q190" t="str">
        <f>VLOOKUP(E190,Products!$A$2:$E$23,2,0)</f>
        <v>Notebook Pack of 5</v>
      </c>
      <c r="R190" t="str">
        <f>VLOOKUP(Table1[[#This Row],[Product ID]],Products!$A$2:$E$23,3,0)</f>
        <v>Office Supplies</v>
      </c>
      <c r="S190" t="str">
        <f>VLOOKUP(C190,Customers!$A$2:$F$201,4,0)</f>
        <v>Gujarat</v>
      </c>
      <c r="T190" t="str">
        <f>VLOOKUP(Table1[[#This Row],[Customer ID]],Customers!$A$2:$F$201,5,0)</f>
        <v>West</v>
      </c>
      <c r="U190" t="str">
        <f>VLOOKUP(Table1[[#This Row],[Customer ID]],Customers!$A$2:$F$201,6,0)</f>
        <v>Consumer</v>
      </c>
      <c r="V190" t="str">
        <f>TEXT(Table1[[#This Row],[Order Date]],"MMM")</f>
        <v>Apr</v>
      </c>
      <c r="W190" t="str">
        <f>TEXT(Table1[[#This Row],[Order Date]],"yyyy")</f>
        <v>2024</v>
      </c>
    </row>
    <row r="191" spans="1:23" x14ac:dyDescent="0.25">
      <c r="A191" s="2" t="s">
        <v>361</v>
      </c>
      <c r="B191" s="4">
        <v>45408</v>
      </c>
      <c r="C191" s="2" t="s">
        <v>329</v>
      </c>
      <c r="D191" s="2" t="str">
        <f>TEXT(Table1[[#This Row],[Order Date]],"mmmm")</f>
        <v>April</v>
      </c>
      <c r="E191" s="2" t="s">
        <v>82</v>
      </c>
      <c r="F191" s="2">
        <v>1</v>
      </c>
      <c r="G191" s="5">
        <v>0.1</v>
      </c>
      <c r="H191" s="2" t="s">
        <v>19</v>
      </c>
      <c r="I191" s="2" t="s">
        <v>46</v>
      </c>
      <c r="J191" s="2" t="s">
        <v>21</v>
      </c>
      <c r="K191">
        <f>VLOOKUP(E191,Products!$A$2:$E$23,5,0)</f>
        <v>1799</v>
      </c>
      <c r="L191">
        <f>VLOOKUP(E191,Products!$A$2:$E$23,4,0)</f>
        <v>1100</v>
      </c>
      <c r="M191" s="2">
        <f>K191*F191-Table1[[#This Row],[discount_amount]]</f>
        <v>1619.1</v>
      </c>
      <c r="N191">
        <f t="shared" si="5"/>
        <v>1100</v>
      </c>
      <c r="O191">
        <f t="shared" si="4"/>
        <v>519.09999999999991</v>
      </c>
      <c r="P191">
        <f>Table1[[#This Row],[Quantity]]*Table1[[#This Row],[unit_price]]*Table1[[#This Row],[Discount]]</f>
        <v>179.9</v>
      </c>
      <c r="Q191" t="str">
        <f>VLOOKUP(E191,Products!$A$2:$E$23,2,0)</f>
        <v>Webcam HD</v>
      </c>
      <c r="R191" t="str">
        <f>VLOOKUP(Table1[[#This Row],[Product ID]],Products!$A$2:$E$23,3,0)</f>
        <v>Electronics</v>
      </c>
      <c r="S191" t="str">
        <f>VLOOKUP(C191,Customers!$A$2:$F$201,4,0)</f>
        <v>Maharashtra</v>
      </c>
      <c r="T191" t="str">
        <f>VLOOKUP(Table1[[#This Row],[Customer ID]],Customers!$A$2:$F$201,5,0)</f>
        <v>West</v>
      </c>
      <c r="U191" t="str">
        <f>VLOOKUP(Table1[[#This Row],[Customer ID]],Customers!$A$2:$F$201,6,0)</f>
        <v>Consumer</v>
      </c>
      <c r="V191" t="str">
        <f>TEXT(Table1[[#This Row],[Order Date]],"MMM")</f>
        <v>Apr</v>
      </c>
      <c r="W191" t="str">
        <f>TEXT(Table1[[#This Row],[Order Date]],"yyyy")</f>
        <v>2024</v>
      </c>
    </row>
    <row r="192" spans="1:23" x14ac:dyDescent="0.25">
      <c r="A192" s="2" t="s">
        <v>362</v>
      </c>
      <c r="B192" s="4">
        <v>45408</v>
      </c>
      <c r="C192" s="2" t="s">
        <v>363</v>
      </c>
      <c r="D192" s="2" t="str">
        <f>TEXT(Table1[[#This Row],[Order Date]],"mmmm")</f>
        <v>April</v>
      </c>
      <c r="E192" s="2" t="s">
        <v>127</v>
      </c>
      <c r="F192" s="2">
        <v>3</v>
      </c>
      <c r="G192" s="5">
        <v>0.1</v>
      </c>
      <c r="H192" s="2" t="s">
        <v>19</v>
      </c>
      <c r="I192" s="2" t="s">
        <v>38</v>
      </c>
      <c r="J192" s="2" t="s">
        <v>21</v>
      </c>
      <c r="K192">
        <f>VLOOKUP(E192,Products!$A$2:$E$23,5,0)</f>
        <v>1999</v>
      </c>
      <c r="L192">
        <f>VLOOKUP(E192,Products!$A$2:$E$23,4,0)</f>
        <v>1200</v>
      </c>
      <c r="M192" s="2">
        <f>K192*F192-Table1[[#This Row],[discount_amount]]</f>
        <v>5397.3</v>
      </c>
      <c r="N192">
        <f t="shared" si="5"/>
        <v>3600</v>
      </c>
      <c r="O192">
        <f t="shared" si="4"/>
        <v>1797.3000000000002</v>
      </c>
      <c r="P192">
        <f>Table1[[#This Row],[Quantity]]*Table1[[#This Row],[unit_price]]*Table1[[#This Row],[Discount]]</f>
        <v>599.70000000000005</v>
      </c>
      <c r="Q192" t="str">
        <f>VLOOKUP(E192,Products!$A$2:$E$23,2,0)</f>
        <v>Bluetooth Speaker</v>
      </c>
      <c r="R192" t="str">
        <f>VLOOKUP(Table1[[#This Row],[Product ID]],Products!$A$2:$E$23,3,0)</f>
        <v>Electronics</v>
      </c>
      <c r="S192" t="str">
        <f>VLOOKUP(C192,Customers!$A$2:$F$201,4,0)</f>
        <v>Karnataka</v>
      </c>
      <c r="T192" t="str">
        <f>VLOOKUP(Table1[[#This Row],[Customer ID]],Customers!$A$2:$F$201,5,0)</f>
        <v>South</v>
      </c>
      <c r="U192" t="str">
        <f>VLOOKUP(Table1[[#This Row],[Customer ID]],Customers!$A$2:$F$201,6,0)</f>
        <v>Corporate</v>
      </c>
      <c r="V192" t="str">
        <f>TEXT(Table1[[#This Row],[Order Date]],"MMM")</f>
        <v>Apr</v>
      </c>
      <c r="W192" t="str">
        <f>TEXT(Table1[[#This Row],[Order Date]],"yyyy")</f>
        <v>2024</v>
      </c>
    </row>
    <row r="193" spans="1:23" x14ac:dyDescent="0.25">
      <c r="A193" s="2" t="s">
        <v>364</v>
      </c>
      <c r="B193" s="4">
        <v>45408</v>
      </c>
      <c r="C193" s="2" t="s">
        <v>360</v>
      </c>
      <c r="D193" s="2" t="str">
        <f>TEXT(Table1[[#This Row],[Order Date]],"mmmm")</f>
        <v>April</v>
      </c>
      <c r="E193" s="2" t="s">
        <v>155</v>
      </c>
      <c r="F193" s="2">
        <v>2</v>
      </c>
      <c r="G193" s="5">
        <v>0.05</v>
      </c>
      <c r="H193" s="2" t="s">
        <v>30</v>
      </c>
      <c r="I193" s="2" t="s">
        <v>31</v>
      </c>
      <c r="J193" s="2" t="s">
        <v>21</v>
      </c>
      <c r="K193">
        <f>VLOOKUP(E193,Products!$A$2:$E$23,5,0)</f>
        <v>1599</v>
      </c>
      <c r="L193">
        <f>VLOOKUP(E193,Products!$A$2:$E$23,4,0)</f>
        <v>900</v>
      </c>
      <c r="M193" s="2">
        <f>K193*F193-Table1[[#This Row],[discount_amount]]</f>
        <v>3038.1</v>
      </c>
      <c r="N193">
        <f t="shared" si="5"/>
        <v>1800</v>
      </c>
      <c r="O193">
        <f t="shared" si="4"/>
        <v>1238.0999999999999</v>
      </c>
      <c r="P193">
        <f>Table1[[#This Row],[Quantity]]*Table1[[#This Row],[unit_price]]*Table1[[#This Row],[Discount]]</f>
        <v>159.9</v>
      </c>
      <c r="Q193" t="str">
        <f>VLOOKUP(E193,Products!$A$2:$E$23,2,0)</f>
        <v>Headphones</v>
      </c>
      <c r="R193" t="str">
        <f>VLOOKUP(Table1[[#This Row],[Product ID]],Products!$A$2:$E$23,3,0)</f>
        <v>Electronics</v>
      </c>
      <c r="S193" t="str">
        <f>VLOOKUP(C193,Customers!$A$2:$F$201,4,0)</f>
        <v>Gujarat</v>
      </c>
      <c r="T193" t="str">
        <f>VLOOKUP(Table1[[#This Row],[Customer ID]],Customers!$A$2:$F$201,5,0)</f>
        <v>West</v>
      </c>
      <c r="U193" t="str">
        <f>VLOOKUP(Table1[[#This Row],[Customer ID]],Customers!$A$2:$F$201,6,0)</f>
        <v>Consumer</v>
      </c>
      <c r="V193" t="str">
        <f>TEXT(Table1[[#This Row],[Order Date]],"MMM")</f>
        <v>Apr</v>
      </c>
      <c r="W193" t="str">
        <f>TEXT(Table1[[#This Row],[Order Date]],"yyyy")</f>
        <v>2024</v>
      </c>
    </row>
    <row r="194" spans="1:23" x14ac:dyDescent="0.25">
      <c r="A194" s="2" t="s">
        <v>365</v>
      </c>
      <c r="B194" s="4">
        <v>45408</v>
      </c>
      <c r="C194" s="2" t="s">
        <v>366</v>
      </c>
      <c r="D194" s="2" t="str">
        <f>TEXT(Table1[[#This Row],[Order Date]],"mmmm")</f>
        <v>April</v>
      </c>
      <c r="E194" s="2" t="s">
        <v>45</v>
      </c>
      <c r="F194" s="2">
        <v>1</v>
      </c>
      <c r="G194" s="5">
        <v>0</v>
      </c>
      <c r="H194" s="2" t="s">
        <v>30</v>
      </c>
      <c r="I194" s="2" t="s">
        <v>20</v>
      </c>
      <c r="J194" s="2" t="s">
        <v>21</v>
      </c>
      <c r="K194">
        <f>VLOOKUP(E194,Products!$A$2:$E$23,5,0)</f>
        <v>899</v>
      </c>
      <c r="L194">
        <f>VLOOKUP(E194,Products!$A$2:$E$23,4,0)</f>
        <v>450</v>
      </c>
      <c r="M194" s="2">
        <f>K194*F194-Table1[[#This Row],[discount_amount]]</f>
        <v>899</v>
      </c>
      <c r="N194">
        <f t="shared" si="5"/>
        <v>450</v>
      </c>
      <c r="O194">
        <f t="shared" ref="O194:O257" si="6">M194-N194</f>
        <v>449</v>
      </c>
      <c r="P194">
        <f>Table1[[#This Row],[Quantity]]*Table1[[#This Row],[unit_price]]*Table1[[#This Row],[Discount]]</f>
        <v>0</v>
      </c>
      <c r="Q194" t="str">
        <f>VLOOKUP(E194,Products!$A$2:$E$23,2,0)</f>
        <v>Track Pants</v>
      </c>
      <c r="R194" t="str">
        <f>VLOOKUP(Table1[[#This Row],[Product ID]],Products!$A$2:$E$23,3,0)</f>
        <v>Clothing</v>
      </c>
      <c r="S194" t="str">
        <f>VLOOKUP(C194,Customers!$A$2:$F$201,4,0)</f>
        <v>Bihar</v>
      </c>
      <c r="T194" t="str">
        <f>VLOOKUP(Table1[[#This Row],[Customer ID]],Customers!$A$2:$F$201,5,0)</f>
        <v>East</v>
      </c>
      <c r="U194" t="str">
        <f>VLOOKUP(Table1[[#This Row],[Customer ID]],Customers!$A$2:$F$201,6,0)</f>
        <v>Home Office</v>
      </c>
      <c r="V194" t="str">
        <f>TEXT(Table1[[#This Row],[Order Date]],"MMM")</f>
        <v>Apr</v>
      </c>
      <c r="W194" t="str">
        <f>TEXT(Table1[[#This Row],[Order Date]],"yyyy")</f>
        <v>2024</v>
      </c>
    </row>
    <row r="195" spans="1:23" x14ac:dyDescent="0.25">
      <c r="A195" s="2" t="s">
        <v>367</v>
      </c>
      <c r="B195" s="4">
        <v>45408</v>
      </c>
      <c r="C195" s="2" t="s">
        <v>368</v>
      </c>
      <c r="D195" s="2" t="str">
        <f>TEXT(Table1[[#This Row],[Order Date]],"mmmm")</f>
        <v>April</v>
      </c>
      <c r="E195" s="2" t="s">
        <v>66</v>
      </c>
      <c r="F195" s="2">
        <v>1</v>
      </c>
      <c r="G195" s="5">
        <v>0</v>
      </c>
      <c r="H195" s="2" t="s">
        <v>30</v>
      </c>
      <c r="I195" s="2" t="s">
        <v>38</v>
      </c>
      <c r="J195" s="2" t="s">
        <v>21</v>
      </c>
      <c r="K195">
        <f>VLOOKUP(E195,Products!$A$2:$E$23,5,0)</f>
        <v>1299</v>
      </c>
      <c r="L195">
        <f>VLOOKUP(E195,Products!$A$2:$E$23,4,0)</f>
        <v>800</v>
      </c>
      <c r="M195" s="2">
        <f>K195*F195-Table1[[#This Row],[discount_amount]]</f>
        <v>1299</v>
      </c>
      <c r="N195">
        <f t="shared" ref="N195:N258" si="7">F195*L195</f>
        <v>800</v>
      </c>
      <c r="O195">
        <f t="shared" si="6"/>
        <v>499</v>
      </c>
      <c r="P195">
        <f>Table1[[#This Row],[Quantity]]*Table1[[#This Row],[unit_price]]*Table1[[#This Row],[Discount]]</f>
        <v>0</v>
      </c>
      <c r="Q195" t="str">
        <f>VLOOKUP(E195,Products!$A$2:$E$23,2,0)</f>
        <v>Power Bank 10000mAh</v>
      </c>
      <c r="R195" t="str">
        <f>VLOOKUP(Table1[[#This Row],[Product ID]],Products!$A$2:$E$23,3,0)</f>
        <v>Electronics</v>
      </c>
      <c r="S195" t="str">
        <f>VLOOKUP(C195,Customers!$A$2:$F$201,4,0)</f>
        <v>Telangana</v>
      </c>
      <c r="T195" t="str">
        <f>VLOOKUP(Table1[[#This Row],[Customer ID]],Customers!$A$2:$F$201,5,0)</f>
        <v>South</v>
      </c>
      <c r="U195" t="str">
        <f>VLOOKUP(Table1[[#This Row],[Customer ID]],Customers!$A$2:$F$201,6,0)</f>
        <v>Consumer</v>
      </c>
      <c r="V195" t="str">
        <f>TEXT(Table1[[#This Row],[Order Date]],"MMM")</f>
        <v>Apr</v>
      </c>
      <c r="W195" t="str">
        <f>TEXT(Table1[[#This Row],[Order Date]],"yyyy")</f>
        <v>2024</v>
      </c>
    </row>
    <row r="196" spans="1:23" x14ac:dyDescent="0.25">
      <c r="A196" s="2" t="s">
        <v>369</v>
      </c>
      <c r="B196" s="4">
        <v>45409</v>
      </c>
      <c r="C196" s="2" t="s">
        <v>370</v>
      </c>
      <c r="D196" s="2" t="str">
        <f>TEXT(Table1[[#This Row],[Order Date]],"mmmm")</f>
        <v>April</v>
      </c>
      <c r="E196" s="2" t="s">
        <v>24</v>
      </c>
      <c r="F196" s="2">
        <v>3</v>
      </c>
      <c r="G196" s="5">
        <v>0</v>
      </c>
      <c r="H196" s="2" t="s">
        <v>30</v>
      </c>
      <c r="I196" s="2" t="s">
        <v>46</v>
      </c>
      <c r="J196" s="2" t="s">
        <v>21</v>
      </c>
      <c r="K196">
        <f>VLOOKUP(E196,Products!$A$2:$E$23,5,0)</f>
        <v>899</v>
      </c>
      <c r="L196">
        <f>VLOOKUP(E196,Products!$A$2:$E$23,4,0)</f>
        <v>500</v>
      </c>
      <c r="M196" s="2">
        <f>K196*F196-Table1[[#This Row],[discount_amount]]</f>
        <v>2697</v>
      </c>
      <c r="N196">
        <f t="shared" si="7"/>
        <v>1500</v>
      </c>
      <c r="O196">
        <f t="shared" si="6"/>
        <v>1197</v>
      </c>
      <c r="P196">
        <f>Table1[[#This Row],[Quantity]]*Table1[[#This Row],[unit_price]]*Table1[[#This Row],[Discount]]</f>
        <v>0</v>
      </c>
      <c r="Q196" t="str">
        <f>VLOOKUP(E196,Products!$A$2:$E$23,2,0)</f>
        <v>Monitor Stand</v>
      </c>
      <c r="R196" t="str">
        <f>VLOOKUP(Table1[[#This Row],[Product ID]],Products!$A$2:$E$23,3,0)</f>
        <v>Furniture</v>
      </c>
      <c r="S196" t="str">
        <f>VLOOKUP(C196,Customers!$A$2:$F$201,4,0)</f>
        <v>Tamil Nadu</v>
      </c>
      <c r="T196" t="str">
        <f>VLOOKUP(Table1[[#This Row],[Customer ID]],Customers!$A$2:$F$201,5,0)</f>
        <v>South</v>
      </c>
      <c r="U196" t="str">
        <f>VLOOKUP(Table1[[#This Row],[Customer ID]],Customers!$A$2:$F$201,6,0)</f>
        <v>Consumer</v>
      </c>
      <c r="V196" t="str">
        <f>TEXT(Table1[[#This Row],[Order Date]],"MMM")</f>
        <v>Apr</v>
      </c>
      <c r="W196" t="str">
        <f>TEXT(Table1[[#This Row],[Order Date]],"yyyy")</f>
        <v>2024</v>
      </c>
    </row>
    <row r="197" spans="1:23" x14ac:dyDescent="0.25">
      <c r="A197" s="2" t="s">
        <v>371</v>
      </c>
      <c r="B197" s="4">
        <v>45409</v>
      </c>
      <c r="C197" s="2" t="s">
        <v>188</v>
      </c>
      <c r="D197" s="2" t="str">
        <f>TEXT(Table1[[#This Row],[Order Date]],"mmmm")</f>
        <v>April</v>
      </c>
      <c r="E197" s="2" t="s">
        <v>29</v>
      </c>
      <c r="F197" s="2">
        <v>1</v>
      </c>
      <c r="G197" s="5">
        <v>0.05</v>
      </c>
      <c r="H197" s="2" t="s">
        <v>19</v>
      </c>
      <c r="I197" s="2" t="s">
        <v>46</v>
      </c>
      <c r="J197" s="2" t="s">
        <v>21</v>
      </c>
      <c r="K197">
        <f>VLOOKUP(E197,Products!$A$2:$E$23,5,0)</f>
        <v>599</v>
      </c>
      <c r="L197">
        <f>VLOOKUP(E197,Products!$A$2:$E$23,4,0)</f>
        <v>350</v>
      </c>
      <c r="M197" s="2">
        <f>K197*F197-Table1[[#This Row],[discount_amount]]</f>
        <v>569.04999999999995</v>
      </c>
      <c r="N197">
        <f t="shared" si="7"/>
        <v>350</v>
      </c>
      <c r="O197">
        <f t="shared" si="6"/>
        <v>219.04999999999995</v>
      </c>
      <c r="P197">
        <f>Table1[[#This Row],[Quantity]]*Table1[[#This Row],[unit_price]]*Table1[[#This Row],[Discount]]</f>
        <v>29.950000000000003</v>
      </c>
      <c r="Q197" t="str">
        <f>VLOOKUP(E197,Products!$A$2:$E$23,2,0)</f>
        <v>USB Flash Drive 64GB</v>
      </c>
      <c r="R197" t="str">
        <f>VLOOKUP(Table1[[#This Row],[Product ID]],Products!$A$2:$E$23,3,0)</f>
        <v>Electronics</v>
      </c>
      <c r="S197" t="str">
        <f>VLOOKUP(C197,Customers!$A$2:$F$201,4,0)</f>
        <v>Bihar</v>
      </c>
      <c r="T197" t="str">
        <f>VLOOKUP(Table1[[#This Row],[Customer ID]],Customers!$A$2:$F$201,5,0)</f>
        <v>East</v>
      </c>
      <c r="U197" t="str">
        <f>VLOOKUP(Table1[[#This Row],[Customer ID]],Customers!$A$2:$F$201,6,0)</f>
        <v>Corporate</v>
      </c>
      <c r="V197" t="str">
        <f>TEXT(Table1[[#This Row],[Order Date]],"MMM")</f>
        <v>Apr</v>
      </c>
      <c r="W197" t="str">
        <f>TEXT(Table1[[#This Row],[Order Date]],"yyyy")</f>
        <v>2024</v>
      </c>
    </row>
    <row r="198" spans="1:23" x14ac:dyDescent="0.25">
      <c r="A198" s="2" t="s">
        <v>372</v>
      </c>
      <c r="B198" s="4">
        <v>45409</v>
      </c>
      <c r="C198" s="2" t="s">
        <v>373</v>
      </c>
      <c r="D198" s="2" t="str">
        <f>TEXT(Table1[[#This Row],[Order Date]],"mmmm")</f>
        <v>April</v>
      </c>
      <c r="E198" s="2" t="s">
        <v>57</v>
      </c>
      <c r="F198" s="2">
        <v>2</v>
      </c>
      <c r="G198" s="5">
        <v>0.15</v>
      </c>
      <c r="H198" s="2" t="s">
        <v>19</v>
      </c>
      <c r="I198" s="2" t="s">
        <v>46</v>
      </c>
      <c r="J198" s="2" t="s">
        <v>21</v>
      </c>
      <c r="K198">
        <f>VLOOKUP(E198,Products!$A$2:$E$23,5,0)</f>
        <v>1599</v>
      </c>
      <c r="L198">
        <f>VLOOKUP(E198,Products!$A$2:$E$23,4,0)</f>
        <v>800</v>
      </c>
      <c r="M198" s="2">
        <f>K198*F198-Table1[[#This Row],[discount_amount]]</f>
        <v>2718.3</v>
      </c>
      <c r="N198">
        <f t="shared" si="7"/>
        <v>1600</v>
      </c>
      <c r="O198">
        <f t="shared" si="6"/>
        <v>1118.3000000000002</v>
      </c>
      <c r="P198">
        <f>Table1[[#This Row],[Quantity]]*Table1[[#This Row],[unit_price]]*Table1[[#This Row],[Discount]]</f>
        <v>479.7</v>
      </c>
      <c r="Q198" t="str">
        <f>VLOOKUP(E198,Products!$A$2:$E$23,2,0)</f>
        <v>Hoodie</v>
      </c>
      <c r="R198" t="str">
        <f>VLOOKUP(Table1[[#This Row],[Product ID]],Products!$A$2:$E$23,3,0)</f>
        <v>Clothing</v>
      </c>
      <c r="S198" t="str">
        <f>VLOOKUP(C198,Customers!$A$2:$F$201,4,0)</f>
        <v>Odisha</v>
      </c>
      <c r="T198" t="str">
        <f>VLOOKUP(Table1[[#This Row],[Customer ID]],Customers!$A$2:$F$201,5,0)</f>
        <v>East</v>
      </c>
      <c r="U198" t="str">
        <f>VLOOKUP(Table1[[#This Row],[Customer ID]],Customers!$A$2:$F$201,6,0)</f>
        <v>Corporate</v>
      </c>
      <c r="V198" t="str">
        <f>TEXT(Table1[[#This Row],[Order Date]],"MMM")</f>
        <v>Apr</v>
      </c>
      <c r="W198" t="str">
        <f>TEXT(Table1[[#This Row],[Order Date]],"yyyy")</f>
        <v>2024</v>
      </c>
    </row>
    <row r="199" spans="1:23" x14ac:dyDescent="0.25">
      <c r="A199" s="2" t="s">
        <v>374</v>
      </c>
      <c r="B199" s="4">
        <v>45409</v>
      </c>
      <c r="C199" s="2" t="s">
        <v>375</v>
      </c>
      <c r="D199" s="2" t="str">
        <f>TEXT(Table1[[#This Row],[Order Date]],"mmmm")</f>
        <v>April</v>
      </c>
      <c r="E199" s="2" t="s">
        <v>29</v>
      </c>
      <c r="F199" s="2">
        <v>2</v>
      </c>
      <c r="G199" s="5">
        <v>0.1</v>
      </c>
      <c r="H199" s="2" t="s">
        <v>19</v>
      </c>
      <c r="I199" s="2" t="s">
        <v>26</v>
      </c>
      <c r="J199" s="2" t="s">
        <v>21</v>
      </c>
      <c r="K199">
        <f>VLOOKUP(E199,Products!$A$2:$E$23,5,0)</f>
        <v>599</v>
      </c>
      <c r="L199">
        <f>VLOOKUP(E199,Products!$A$2:$E$23,4,0)</f>
        <v>350</v>
      </c>
      <c r="M199" s="2">
        <f>K199*F199-Table1[[#This Row],[discount_amount]]</f>
        <v>1078.2</v>
      </c>
      <c r="N199">
        <f t="shared" si="7"/>
        <v>700</v>
      </c>
      <c r="O199">
        <f t="shared" si="6"/>
        <v>378.20000000000005</v>
      </c>
      <c r="P199">
        <f>Table1[[#This Row],[Quantity]]*Table1[[#This Row],[unit_price]]*Table1[[#This Row],[Discount]]</f>
        <v>119.80000000000001</v>
      </c>
      <c r="Q199" t="str">
        <f>VLOOKUP(E199,Products!$A$2:$E$23,2,0)</f>
        <v>USB Flash Drive 64GB</v>
      </c>
      <c r="R199" t="str">
        <f>VLOOKUP(Table1[[#This Row],[Product ID]],Products!$A$2:$E$23,3,0)</f>
        <v>Electronics</v>
      </c>
      <c r="S199" t="str">
        <f>VLOOKUP(C199,Customers!$A$2:$F$201,4,0)</f>
        <v>Madhya Pradesh</v>
      </c>
      <c r="T199" t="str">
        <f>VLOOKUP(Table1[[#This Row],[Customer ID]],Customers!$A$2:$F$201,5,0)</f>
        <v>Central</v>
      </c>
      <c r="U199" t="str">
        <f>VLOOKUP(Table1[[#This Row],[Customer ID]],Customers!$A$2:$F$201,6,0)</f>
        <v>Corporate</v>
      </c>
      <c r="V199" t="str">
        <f>TEXT(Table1[[#This Row],[Order Date]],"MMM")</f>
        <v>Apr</v>
      </c>
      <c r="W199" t="str">
        <f>TEXT(Table1[[#This Row],[Order Date]],"yyyy")</f>
        <v>2024</v>
      </c>
    </row>
    <row r="200" spans="1:23" x14ac:dyDescent="0.25">
      <c r="A200" s="2" t="s">
        <v>376</v>
      </c>
      <c r="B200" s="4">
        <v>45409</v>
      </c>
      <c r="C200" s="2" t="s">
        <v>235</v>
      </c>
      <c r="D200" s="2" t="str">
        <f>TEXT(Table1[[#This Row],[Order Date]],"mmmm")</f>
        <v>April</v>
      </c>
      <c r="E200" s="2" t="s">
        <v>135</v>
      </c>
      <c r="F200" s="2">
        <v>2</v>
      </c>
      <c r="G200" s="5">
        <v>0</v>
      </c>
      <c r="H200" s="2" t="s">
        <v>30</v>
      </c>
      <c r="I200" s="2" t="s">
        <v>31</v>
      </c>
      <c r="J200" s="2" t="s">
        <v>21</v>
      </c>
      <c r="K200">
        <f>VLOOKUP(E200,Products!$A$2:$E$23,5,0)</f>
        <v>220</v>
      </c>
      <c r="L200">
        <f>VLOOKUP(E200,Products!$A$2:$E$23,4,0)</f>
        <v>120</v>
      </c>
      <c r="M200" s="2">
        <f>K200*F200-Table1[[#This Row],[discount_amount]]</f>
        <v>440</v>
      </c>
      <c r="N200">
        <f t="shared" si="7"/>
        <v>240</v>
      </c>
      <c r="O200">
        <f t="shared" si="6"/>
        <v>200</v>
      </c>
      <c r="P200">
        <f>Table1[[#This Row],[Quantity]]*Table1[[#This Row],[unit_price]]*Table1[[#This Row],[Discount]]</f>
        <v>0</v>
      </c>
      <c r="Q200" t="str">
        <f>VLOOKUP(E200,Products!$A$2:$E$23,2,0)</f>
        <v>Stapler</v>
      </c>
      <c r="R200" t="str">
        <f>VLOOKUP(Table1[[#This Row],[Product ID]],Products!$A$2:$E$23,3,0)</f>
        <v>Office Supplies</v>
      </c>
      <c r="S200" t="str">
        <f>VLOOKUP(C200,Customers!$A$2:$F$201,4,0)</f>
        <v>Bihar</v>
      </c>
      <c r="T200" t="str">
        <f>VLOOKUP(Table1[[#This Row],[Customer ID]],Customers!$A$2:$F$201,5,0)</f>
        <v>East</v>
      </c>
      <c r="U200" t="str">
        <f>VLOOKUP(Table1[[#This Row],[Customer ID]],Customers!$A$2:$F$201,6,0)</f>
        <v>Home Office</v>
      </c>
      <c r="V200" t="str">
        <f>TEXT(Table1[[#This Row],[Order Date]],"MMM")</f>
        <v>Apr</v>
      </c>
      <c r="W200" t="str">
        <f>TEXT(Table1[[#This Row],[Order Date]],"yyyy")</f>
        <v>2024</v>
      </c>
    </row>
    <row r="201" spans="1:23" x14ac:dyDescent="0.25">
      <c r="A201" s="2" t="s">
        <v>377</v>
      </c>
      <c r="B201" s="4">
        <v>45410</v>
      </c>
      <c r="C201" s="2" t="s">
        <v>214</v>
      </c>
      <c r="D201" s="2" t="str">
        <f>TEXT(Table1[[#This Row],[Order Date]],"mmmm")</f>
        <v>April</v>
      </c>
      <c r="E201" s="2" t="s">
        <v>37</v>
      </c>
      <c r="F201" s="2">
        <v>3</v>
      </c>
      <c r="G201" s="5">
        <v>0.1</v>
      </c>
      <c r="H201" s="2" t="s">
        <v>25</v>
      </c>
      <c r="I201" s="2" t="s">
        <v>26</v>
      </c>
      <c r="J201" s="2" t="s">
        <v>21</v>
      </c>
      <c r="K201">
        <f>VLOOKUP(E201,Products!$A$2:$E$23,5,0)</f>
        <v>1799</v>
      </c>
      <c r="L201">
        <f>VLOOKUP(E201,Products!$A$2:$E$23,4,0)</f>
        <v>900</v>
      </c>
      <c r="M201" s="2">
        <f>K201*F201-Table1[[#This Row],[discount_amount]]</f>
        <v>4857.3</v>
      </c>
      <c r="N201">
        <f t="shared" si="7"/>
        <v>2700</v>
      </c>
      <c r="O201">
        <f t="shared" si="6"/>
        <v>2157.3000000000002</v>
      </c>
      <c r="P201">
        <f>Table1[[#This Row],[Quantity]]*Table1[[#This Row],[unit_price]]*Table1[[#This Row],[Discount]]</f>
        <v>539.70000000000005</v>
      </c>
      <c r="Q201" t="str">
        <f>VLOOKUP(E201,Products!$A$2:$E$23,2,0)</f>
        <v>Denim Jeans</v>
      </c>
      <c r="R201" t="str">
        <f>VLOOKUP(Table1[[#This Row],[Product ID]],Products!$A$2:$E$23,3,0)</f>
        <v>Clothing</v>
      </c>
      <c r="S201" t="str">
        <f>VLOOKUP(C201,Customers!$A$2:$F$201,4,0)</f>
        <v>Maharashtra</v>
      </c>
      <c r="T201" t="str">
        <f>VLOOKUP(Table1[[#This Row],[Customer ID]],Customers!$A$2:$F$201,5,0)</f>
        <v>Central</v>
      </c>
      <c r="U201" t="str">
        <f>VLOOKUP(Table1[[#This Row],[Customer ID]],Customers!$A$2:$F$201,6,0)</f>
        <v>Consumer</v>
      </c>
      <c r="V201" t="str">
        <f>TEXT(Table1[[#This Row],[Order Date]],"MMM")</f>
        <v>Apr</v>
      </c>
      <c r="W201" t="str">
        <f>TEXT(Table1[[#This Row],[Order Date]],"yyyy")</f>
        <v>2024</v>
      </c>
    </row>
    <row r="202" spans="1:23" x14ac:dyDescent="0.25">
      <c r="A202" s="2" t="s">
        <v>378</v>
      </c>
      <c r="B202" s="4">
        <v>45410</v>
      </c>
      <c r="C202" s="2" t="s">
        <v>86</v>
      </c>
      <c r="D202" s="2" t="str">
        <f>TEXT(Table1[[#This Row],[Order Date]],"mmmm")</f>
        <v>April</v>
      </c>
      <c r="E202" s="2" t="s">
        <v>63</v>
      </c>
      <c r="F202" s="2">
        <v>10</v>
      </c>
      <c r="G202" s="5">
        <v>0</v>
      </c>
      <c r="H202" s="2" t="s">
        <v>25</v>
      </c>
      <c r="I202" s="2" t="s">
        <v>38</v>
      </c>
      <c r="J202" s="2" t="s">
        <v>21</v>
      </c>
      <c r="K202">
        <f>VLOOKUP(E202,Products!$A$2:$E$23,5,0)</f>
        <v>5499</v>
      </c>
      <c r="L202">
        <f>VLOOKUP(E202,Products!$A$2:$E$23,4,0)</f>
        <v>3500</v>
      </c>
      <c r="M202" s="2">
        <f>K202*F202-Table1[[#This Row],[discount_amount]]</f>
        <v>54990</v>
      </c>
      <c r="N202">
        <f t="shared" si="7"/>
        <v>35000</v>
      </c>
      <c r="O202">
        <f t="shared" si="6"/>
        <v>19990</v>
      </c>
      <c r="P202">
        <f>Table1[[#This Row],[Quantity]]*Table1[[#This Row],[unit_price]]*Table1[[#This Row],[Discount]]</f>
        <v>0</v>
      </c>
      <c r="Q202" t="str">
        <f>VLOOKUP(E202,Products!$A$2:$E$23,2,0)</f>
        <v>Office Chair</v>
      </c>
      <c r="R202" t="str">
        <f>VLOOKUP(Table1[[#This Row],[Product ID]],Products!$A$2:$E$23,3,0)</f>
        <v>Furniture</v>
      </c>
      <c r="S202" t="str">
        <f>VLOOKUP(C202,Customers!$A$2:$F$201,4,0)</f>
        <v>Delhi</v>
      </c>
      <c r="T202" t="str">
        <f>VLOOKUP(Table1[[#This Row],[Customer ID]],Customers!$A$2:$F$201,5,0)</f>
        <v>North</v>
      </c>
      <c r="U202" t="str">
        <f>VLOOKUP(Table1[[#This Row],[Customer ID]],Customers!$A$2:$F$201,6,0)</f>
        <v>Consumer</v>
      </c>
      <c r="V202" t="str">
        <f>TEXT(Table1[[#This Row],[Order Date]],"MMM")</f>
        <v>Apr</v>
      </c>
      <c r="W202" t="str">
        <f>TEXT(Table1[[#This Row],[Order Date]],"yyyy")</f>
        <v>2024</v>
      </c>
    </row>
    <row r="203" spans="1:23" x14ac:dyDescent="0.25">
      <c r="A203" s="2" t="s">
        <v>379</v>
      </c>
      <c r="B203" s="4">
        <v>45411</v>
      </c>
      <c r="C203" s="2" t="s">
        <v>72</v>
      </c>
      <c r="D203" s="2" t="str">
        <f>TEXT(Table1[[#This Row],[Order Date]],"mmmm")</f>
        <v>April</v>
      </c>
      <c r="E203" s="2" t="s">
        <v>73</v>
      </c>
      <c r="F203" s="2">
        <v>5</v>
      </c>
      <c r="G203" s="5">
        <v>0</v>
      </c>
      <c r="H203" s="2" t="s">
        <v>25</v>
      </c>
      <c r="I203" s="2" t="s">
        <v>38</v>
      </c>
      <c r="J203" s="2" t="s">
        <v>21</v>
      </c>
      <c r="K203">
        <f>VLOOKUP(E203,Products!$A$2:$E$23,5,0)</f>
        <v>6499</v>
      </c>
      <c r="L203">
        <f>VLOOKUP(E203,Products!$A$2:$E$23,4,0)</f>
        <v>4200</v>
      </c>
      <c r="M203" s="2">
        <f>K203*F203-Table1[[#This Row],[discount_amount]]</f>
        <v>32495</v>
      </c>
      <c r="N203">
        <f t="shared" si="7"/>
        <v>21000</v>
      </c>
      <c r="O203">
        <f t="shared" si="6"/>
        <v>11495</v>
      </c>
      <c r="P203">
        <f>Table1[[#This Row],[Quantity]]*Table1[[#This Row],[unit_price]]*Table1[[#This Row],[Discount]]</f>
        <v>0</v>
      </c>
      <c r="Q203" t="str">
        <f>VLOOKUP(E203,Products!$A$2:$E$23,2,0)</f>
        <v>Study Table</v>
      </c>
      <c r="R203" t="str">
        <f>VLOOKUP(Table1[[#This Row],[Product ID]],Products!$A$2:$E$23,3,0)</f>
        <v>Furniture</v>
      </c>
      <c r="S203" t="str">
        <f>VLOOKUP(C203,Customers!$A$2:$F$201,4,0)</f>
        <v>Maharashtra</v>
      </c>
      <c r="T203" t="str">
        <f>VLOOKUP(Table1[[#This Row],[Customer ID]],Customers!$A$2:$F$201,5,0)</f>
        <v>West</v>
      </c>
      <c r="U203" t="str">
        <f>VLOOKUP(Table1[[#This Row],[Customer ID]],Customers!$A$2:$F$201,6,0)</f>
        <v>Consumer</v>
      </c>
      <c r="V203" t="str">
        <f>TEXT(Table1[[#This Row],[Order Date]],"MMM")</f>
        <v>Apr</v>
      </c>
      <c r="W203" t="str">
        <f>TEXT(Table1[[#This Row],[Order Date]],"yyyy")</f>
        <v>2024</v>
      </c>
    </row>
    <row r="204" spans="1:23" x14ac:dyDescent="0.25">
      <c r="A204" s="2" t="s">
        <v>380</v>
      </c>
      <c r="B204" s="4">
        <v>45412</v>
      </c>
      <c r="C204" s="2" t="s">
        <v>381</v>
      </c>
      <c r="D204" s="2" t="str">
        <f>TEXT(Table1[[#This Row],[Order Date]],"mmmm")</f>
        <v>April</v>
      </c>
      <c r="E204" s="2" t="s">
        <v>60</v>
      </c>
      <c r="F204" s="2">
        <v>4</v>
      </c>
      <c r="G204" s="5">
        <v>0.15</v>
      </c>
      <c r="H204" s="2" t="s">
        <v>25</v>
      </c>
      <c r="I204" s="2" t="s">
        <v>20</v>
      </c>
      <c r="J204" s="2" t="s">
        <v>21</v>
      </c>
      <c r="K204">
        <f>VLOOKUP(E204,Products!$A$2:$E$23,5,0)</f>
        <v>449</v>
      </c>
      <c r="L204">
        <f>VLOOKUP(E204,Products!$A$2:$E$23,4,0)</f>
        <v>260</v>
      </c>
      <c r="M204" s="2">
        <f>K204*F204-Table1[[#This Row],[discount_amount]]</f>
        <v>1526.6</v>
      </c>
      <c r="N204">
        <f t="shared" si="7"/>
        <v>1040</v>
      </c>
      <c r="O204">
        <f t="shared" si="6"/>
        <v>486.59999999999991</v>
      </c>
      <c r="P204">
        <f>Table1[[#This Row],[Quantity]]*Table1[[#This Row],[unit_price]]*Table1[[#This Row],[Discount]]</f>
        <v>269.39999999999998</v>
      </c>
      <c r="Q204" t="str">
        <f>VLOOKUP(E204,Products!$A$2:$E$23,2,0)</f>
        <v>Desk Organizer</v>
      </c>
      <c r="R204" t="str">
        <f>VLOOKUP(Table1[[#This Row],[Product ID]],Products!$A$2:$E$23,3,0)</f>
        <v>Office Supplies</v>
      </c>
      <c r="S204" t="str">
        <f>VLOOKUP(C204,Customers!$A$2:$F$201,4,0)</f>
        <v>Gujarat</v>
      </c>
      <c r="T204" t="str">
        <f>VLOOKUP(Table1[[#This Row],[Customer ID]],Customers!$A$2:$F$201,5,0)</f>
        <v>West</v>
      </c>
      <c r="U204" t="str">
        <f>VLOOKUP(Table1[[#This Row],[Customer ID]],Customers!$A$2:$F$201,6,0)</f>
        <v>Consumer</v>
      </c>
      <c r="V204" t="str">
        <f>TEXT(Table1[[#This Row],[Order Date]],"MMM")</f>
        <v>Apr</v>
      </c>
      <c r="W204" t="str">
        <f>TEXT(Table1[[#This Row],[Order Date]],"yyyy")</f>
        <v>2024</v>
      </c>
    </row>
    <row r="205" spans="1:23" x14ac:dyDescent="0.25">
      <c r="A205" s="2" t="s">
        <v>382</v>
      </c>
      <c r="B205" s="4">
        <v>45413</v>
      </c>
      <c r="C205" s="2" t="s">
        <v>383</v>
      </c>
      <c r="D205" s="2" t="str">
        <f>TEXT(Table1[[#This Row],[Order Date]],"mmmm")</f>
        <v>May</v>
      </c>
      <c r="E205" s="2" t="s">
        <v>41</v>
      </c>
      <c r="F205" s="2">
        <v>2</v>
      </c>
      <c r="G205" s="5">
        <v>0.1</v>
      </c>
      <c r="H205" s="2" t="s">
        <v>30</v>
      </c>
      <c r="I205" s="2" t="s">
        <v>38</v>
      </c>
      <c r="J205" s="2" t="s">
        <v>94</v>
      </c>
      <c r="K205">
        <f>VLOOKUP(E205,Products!$A$2:$E$23,5,0)</f>
        <v>320</v>
      </c>
      <c r="L205">
        <f>VLOOKUP(E205,Products!$A$2:$E$23,4,0)</f>
        <v>220</v>
      </c>
      <c r="M205" s="2">
        <f>K205*F205-Table1[[#This Row],[discount_amount]]</f>
        <v>576</v>
      </c>
      <c r="N205">
        <f t="shared" si="7"/>
        <v>440</v>
      </c>
      <c r="O205">
        <f t="shared" si="6"/>
        <v>136</v>
      </c>
      <c r="P205">
        <f>Table1[[#This Row],[Quantity]]*Table1[[#This Row],[unit_price]]*Table1[[#This Row],[Discount]]</f>
        <v>64</v>
      </c>
      <c r="Q205" t="str">
        <f>VLOOKUP(E205,Products!$A$2:$E$23,2,0)</f>
        <v>A4 Paper Ream</v>
      </c>
      <c r="R205" t="str">
        <f>VLOOKUP(Table1[[#This Row],[Product ID]],Products!$A$2:$E$23,3,0)</f>
        <v>Office Supplies</v>
      </c>
      <c r="S205" t="str">
        <f>VLOOKUP(C205,Customers!$A$2:$F$201,4,0)</f>
        <v>Bihar</v>
      </c>
      <c r="T205" t="str">
        <f>VLOOKUP(Table1[[#This Row],[Customer ID]],Customers!$A$2:$F$201,5,0)</f>
        <v>East</v>
      </c>
      <c r="U205" t="str">
        <f>VLOOKUP(Table1[[#This Row],[Customer ID]],Customers!$A$2:$F$201,6,0)</f>
        <v>Home Office</v>
      </c>
      <c r="V205" t="str">
        <f>TEXT(Table1[[#This Row],[Order Date]],"MMM")</f>
        <v>May</v>
      </c>
      <c r="W205" t="str">
        <f>TEXT(Table1[[#This Row],[Order Date]],"yyyy")</f>
        <v>2024</v>
      </c>
    </row>
    <row r="206" spans="1:23" x14ac:dyDescent="0.25">
      <c r="A206" s="2" t="s">
        <v>384</v>
      </c>
      <c r="B206" s="4">
        <v>45414</v>
      </c>
      <c r="C206" s="2" t="s">
        <v>209</v>
      </c>
      <c r="D206" s="2" t="str">
        <f>TEXT(Table1[[#This Row],[Order Date]],"mmmm")</f>
        <v>May</v>
      </c>
      <c r="E206" s="2" t="s">
        <v>91</v>
      </c>
      <c r="F206" s="2">
        <v>1</v>
      </c>
      <c r="G206" s="5">
        <v>0</v>
      </c>
      <c r="H206" s="2" t="s">
        <v>30</v>
      </c>
      <c r="I206" s="2" t="s">
        <v>20</v>
      </c>
      <c r="J206" s="2" t="s">
        <v>21</v>
      </c>
      <c r="K206">
        <f>VLOOKUP(E206,Products!$A$2:$E$23,5,0)</f>
        <v>1199</v>
      </c>
      <c r="L206">
        <f>VLOOKUP(E206,Products!$A$2:$E$23,4,0)</f>
        <v>600</v>
      </c>
      <c r="M206" s="2">
        <f>K206*F206-Table1[[#This Row],[discount_amount]]</f>
        <v>1199</v>
      </c>
      <c r="N206">
        <f t="shared" si="7"/>
        <v>600</v>
      </c>
      <c r="O206">
        <f t="shared" si="6"/>
        <v>599</v>
      </c>
      <c r="P206">
        <f>Table1[[#This Row],[Quantity]]*Table1[[#This Row],[unit_price]]*Table1[[#This Row],[Discount]]</f>
        <v>0</v>
      </c>
      <c r="Q206" t="str">
        <f>VLOOKUP(E206,Products!$A$2:$E$23,2,0)</f>
        <v>Formal Shirt</v>
      </c>
      <c r="R206" t="str">
        <f>VLOOKUP(Table1[[#This Row],[Product ID]],Products!$A$2:$E$23,3,0)</f>
        <v>Clothing</v>
      </c>
      <c r="S206" t="str">
        <f>VLOOKUP(C206,Customers!$A$2:$F$201,4,0)</f>
        <v>Chandigarh</v>
      </c>
      <c r="T206" t="str">
        <f>VLOOKUP(Table1[[#This Row],[Customer ID]],Customers!$A$2:$F$201,5,0)</f>
        <v>North</v>
      </c>
      <c r="U206" t="str">
        <f>VLOOKUP(Table1[[#This Row],[Customer ID]],Customers!$A$2:$F$201,6,0)</f>
        <v>Corporate</v>
      </c>
      <c r="V206" t="str">
        <f>TEXT(Table1[[#This Row],[Order Date]],"MMM")</f>
        <v>May</v>
      </c>
      <c r="W206" t="str">
        <f>TEXT(Table1[[#This Row],[Order Date]],"yyyy")</f>
        <v>2024</v>
      </c>
    </row>
    <row r="207" spans="1:23" x14ac:dyDescent="0.25">
      <c r="A207" s="2" t="s">
        <v>385</v>
      </c>
      <c r="B207" s="4">
        <v>45416</v>
      </c>
      <c r="C207" s="2" t="s">
        <v>120</v>
      </c>
      <c r="D207" s="2" t="str">
        <f>TEXT(Table1[[#This Row],[Order Date]],"mmmm")</f>
        <v>May</v>
      </c>
      <c r="E207" s="2" t="s">
        <v>60</v>
      </c>
      <c r="F207" s="2">
        <v>10</v>
      </c>
      <c r="G207" s="5">
        <v>0.1</v>
      </c>
      <c r="H207" s="2" t="s">
        <v>19</v>
      </c>
      <c r="I207" s="2" t="s">
        <v>38</v>
      </c>
      <c r="J207" s="2" t="s">
        <v>21</v>
      </c>
      <c r="K207">
        <f>VLOOKUP(E207,Products!$A$2:$E$23,5,0)</f>
        <v>449</v>
      </c>
      <c r="L207">
        <f>VLOOKUP(E207,Products!$A$2:$E$23,4,0)</f>
        <v>260</v>
      </c>
      <c r="M207" s="2">
        <f>K207*F207-Table1[[#This Row],[discount_amount]]</f>
        <v>4041</v>
      </c>
      <c r="N207">
        <f t="shared" si="7"/>
        <v>2600</v>
      </c>
      <c r="O207">
        <f t="shared" si="6"/>
        <v>1441</v>
      </c>
      <c r="P207">
        <f>Table1[[#This Row],[Quantity]]*Table1[[#This Row],[unit_price]]*Table1[[#This Row],[Discount]]</f>
        <v>449</v>
      </c>
      <c r="Q207" t="str">
        <f>VLOOKUP(E207,Products!$A$2:$E$23,2,0)</f>
        <v>Desk Organizer</v>
      </c>
      <c r="R207" t="str">
        <f>VLOOKUP(Table1[[#This Row],[Product ID]],Products!$A$2:$E$23,3,0)</f>
        <v>Office Supplies</v>
      </c>
      <c r="S207" t="str">
        <f>VLOOKUP(C207,Customers!$A$2:$F$201,4,0)</f>
        <v>Madhya Pradesh</v>
      </c>
      <c r="T207" t="str">
        <f>VLOOKUP(Table1[[#This Row],[Customer ID]],Customers!$A$2:$F$201,5,0)</f>
        <v>Central</v>
      </c>
      <c r="U207" t="str">
        <f>VLOOKUP(Table1[[#This Row],[Customer ID]],Customers!$A$2:$F$201,6,0)</f>
        <v>Corporate</v>
      </c>
      <c r="V207" t="str">
        <f>TEXT(Table1[[#This Row],[Order Date]],"MMM")</f>
        <v>May</v>
      </c>
      <c r="W207" t="str">
        <f>TEXT(Table1[[#This Row],[Order Date]],"yyyy")</f>
        <v>2024</v>
      </c>
    </row>
    <row r="208" spans="1:23" x14ac:dyDescent="0.25">
      <c r="A208" s="2" t="s">
        <v>386</v>
      </c>
      <c r="B208" s="4">
        <v>45416</v>
      </c>
      <c r="C208" s="2" t="s">
        <v>115</v>
      </c>
      <c r="D208" s="2" t="str">
        <f>TEXT(Table1[[#This Row],[Order Date]],"mmmm")</f>
        <v>May</v>
      </c>
      <c r="E208" s="2" t="s">
        <v>57</v>
      </c>
      <c r="F208" s="2">
        <v>10</v>
      </c>
      <c r="G208" s="5">
        <v>0.05</v>
      </c>
      <c r="H208" s="2" t="s">
        <v>19</v>
      </c>
      <c r="I208" s="2" t="s">
        <v>38</v>
      </c>
      <c r="J208" s="2" t="s">
        <v>21</v>
      </c>
      <c r="K208">
        <f>VLOOKUP(E208,Products!$A$2:$E$23,5,0)</f>
        <v>1599</v>
      </c>
      <c r="L208">
        <f>VLOOKUP(E208,Products!$A$2:$E$23,4,0)</f>
        <v>800</v>
      </c>
      <c r="M208" s="2">
        <f>K208*F208-Table1[[#This Row],[discount_amount]]</f>
        <v>15190.5</v>
      </c>
      <c r="N208">
        <f t="shared" si="7"/>
        <v>8000</v>
      </c>
      <c r="O208">
        <f t="shared" si="6"/>
        <v>7190.5</v>
      </c>
      <c r="P208">
        <f>Table1[[#This Row],[Quantity]]*Table1[[#This Row],[unit_price]]*Table1[[#This Row],[Discount]]</f>
        <v>799.5</v>
      </c>
      <c r="Q208" t="str">
        <f>VLOOKUP(E208,Products!$A$2:$E$23,2,0)</f>
        <v>Hoodie</v>
      </c>
      <c r="R208" t="str">
        <f>VLOOKUP(Table1[[#This Row],[Product ID]],Products!$A$2:$E$23,3,0)</f>
        <v>Clothing</v>
      </c>
      <c r="S208" t="str">
        <f>VLOOKUP(C208,Customers!$A$2:$F$201,4,0)</f>
        <v>Bihar</v>
      </c>
      <c r="T208" t="str">
        <f>VLOOKUP(Table1[[#This Row],[Customer ID]],Customers!$A$2:$F$201,5,0)</f>
        <v>East</v>
      </c>
      <c r="U208" t="str">
        <f>VLOOKUP(Table1[[#This Row],[Customer ID]],Customers!$A$2:$F$201,6,0)</f>
        <v>Consumer</v>
      </c>
      <c r="V208" t="str">
        <f>TEXT(Table1[[#This Row],[Order Date]],"MMM")</f>
        <v>May</v>
      </c>
      <c r="W208" t="str">
        <f>TEXT(Table1[[#This Row],[Order Date]],"yyyy")</f>
        <v>2024</v>
      </c>
    </row>
    <row r="209" spans="1:23" x14ac:dyDescent="0.25">
      <c r="A209" s="2" t="s">
        <v>387</v>
      </c>
      <c r="B209" s="4">
        <v>45417</v>
      </c>
      <c r="C209" s="2" t="s">
        <v>102</v>
      </c>
      <c r="D209" s="2" t="str">
        <f>TEXT(Table1[[#This Row],[Order Date]],"mmmm")</f>
        <v>May</v>
      </c>
      <c r="E209" s="2" t="s">
        <v>60</v>
      </c>
      <c r="F209" s="2">
        <v>2</v>
      </c>
      <c r="G209" s="5">
        <v>0.05</v>
      </c>
      <c r="H209" s="2" t="s">
        <v>25</v>
      </c>
      <c r="I209" s="2" t="s">
        <v>38</v>
      </c>
      <c r="J209" s="2" t="s">
        <v>21</v>
      </c>
      <c r="K209">
        <f>VLOOKUP(E209,Products!$A$2:$E$23,5,0)</f>
        <v>449</v>
      </c>
      <c r="L209">
        <f>VLOOKUP(E209,Products!$A$2:$E$23,4,0)</f>
        <v>260</v>
      </c>
      <c r="M209" s="2">
        <f>K209*F209-Table1[[#This Row],[discount_amount]]</f>
        <v>853.1</v>
      </c>
      <c r="N209">
        <f t="shared" si="7"/>
        <v>520</v>
      </c>
      <c r="O209">
        <f t="shared" si="6"/>
        <v>333.1</v>
      </c>
      <c r="P209">
        <f>Table1[[#This Row],[Quantity]]*Table1[[#This Row],[unit_price]]*Table1[[#This Row],[Discount]]</f>
        <v>44.900000000000006</v>
      </c>
      <c r="Q209" t="str">
        <f>VLOOKUP(E209,Products!$A$2:$E$23,2,0)</f>
        <v>Desk Organizer</v>
      </c>
      <c r="R209" t="str">
        <f>VLOOKUP(Table1[[#This Row],[Product ID]],Products!$A$2:$E$23,3,0)</f>
        <v>Office Supplies</v>
      </c>
      <c r="S209" t="str">
        <f>VLOOKUP(C209,Customers!$A$2:$F$201,4,0)</f>
        <v>Madhya Pradesh</v>
      </c>
      <c r="T209" t="str">
        <f>VLOOKUP(Table1[[#This Row],[Customer ID]],Customers!$A$2:$F$201,5,0)</f>
        <v>Central</v>
      </c>
      <c r="U209" t="str">
        <f>VLOOKUP(Table1[[#This Row],[Customer ID]],Customers!$A$2:$F$201,6,0)</f>
        <v>Consumer</v>
      </c>
      <c r="V209" t="str">
        <f>TEXT(Table1[[#This Row],[Order Date]],"MMM")</f>
        <v>May</v>
      </c>
      <c r="W209" t="str">
        <f>TEXT(Table1[[#This Row],[Order Date]],"yyyy")</f>
        <v>2024</v>
      </c>
    </row>
    <row r="210" spans="1:23" x14ac:dyDescent="0.25">
      <c r="A210" s="2" t="s">
        <v>388</v>
      </c>
      <c r="B210" s="4">
        <v>45417</v>
      </c>
      <c r="C210" s="2" t="s">
        <v>389</v>
      </c>
      <c r="D210" s="2" t="str">
        <f>TEXT(Table1[[#This Row],[Order Date]],"mmmm")</f>
        <v>May</v>
      </c>
      <c r="E210" s="2" t="s">
        <v>34</v>
      </c>
      <c r="F210" s="2">
        <v>5</v>
      </c>
      <c r="G210" s="5">
        <v>0.1</v>
      </c>
      <c r="H210" s="2" t="s">
        <v>30</v>
      </c>
      <c r="I210" s="2" t="s">
        <v>46</v>
      </c>
      <c r="J210" s="2" t="s">
        <v>21</v>
      </c>
      <c r="K210">
        <f>VLOOKUP(E210,Products!$A$2:$E$23,5,0)</f>
        <v>4599</v>
      </c>
      <c r="L210">
        <f>VLOOKUP(E210,Products!$A$2:$E$23,4,0)</f>
        <v>3000</v>
      </c>
      <c r="M210" s="2">
        <f>K210*F210-Table1[[#This Row],[discount_amount]]</f>
        <v>20695.5</v>
      </c>
      <c r="N210">
        <f t="shared" si="7"/>
        <v>15000</v>
      </c>
      <c r="O210">
        <f t="shared" si="6"/>
        <v>5695.5</v>
      </c>
      <c r="P210">
        <f>Table1[[#This Row],[Quantity]]*Table1[[#This Row],[unit_price]]*Table1[[#This Row],[Discount]]</f>
        <v>2299.5</v>
      </c>
      <c r="Q210" t="str">
        <f>VLOOKUP(E210,Products!$A$2:$E$23,2,0)</f>
        <v>Filing Cabinet</v>
      </c>
      <c r="R210" t="str">
        <f>VLOOKUP(Table1[[#This Row],[Product ID]],Products!$A$2:$E$23,3,0)</f>
        <v>Furniture</v>
      </c>
      <c r="S210" t="str">
        <f>VLOOKUP(C210,Customers!$A$2:$F$201,4,0)</f>
        <v>Kerala</v>
      </c>
      <c r="T210" t="str">
        <f>VLOOKUP(Table1[[#This Row],[Customer ID]],Customers!$A$2:$F$201,5,0)</f>
        <v>South</v>
      </c>
      <c r="U210" t="str">
        <f>VLOOKUP(Table1[[#This Row],[Customer ID]],Customers!$A$2:$F$201,6,0)</f>
        <v>Home Office</v>
      </c>
      <c r="V210" t="str">
        <f>TEXT(Table1[[#This Row],[Order Date]],"MMM")</f>
        <v>May</v>
      </c>
      <c r="W210" t="str">
        <f>TEXT(Table1[[#This Row],[Order Date]],"yyyy")</f>
        <v>2024</v>
      </c>
    </row>
    <row r="211" spans="1:23" x14ac:dyDescent="0.25">
      <c r="A211" s="2" t="s">
        <v>390</v>
      </c>
      <c r="B211" s="4">
        <v>45418</v>
      </c>
      <c r="C211" s="2" t="s">
        <v>391</v>
      </c>
      <c r="D211" s="2" t="str">
        <f>TEXT(Table1[[#This Row],[Order Date]],"mmmm")</f>
        <v>May</v>
      </c>
      <c r="E211" s="2" t="s">
        <v>29</v>
      </c>
      <c r="F211" s="2">
        <v>1</v>
      </c>
      <c r="G211" s="5">
        <v>0.05</v>
      </c>
      <c r="H211" s="2" t="s">
        <v>19</v>
      </c>
      <c r="I211" s="2" t="s">
        <v>46</v>
      </c>
      <c r="J211" s="2" t="s">
        <v>21</v>
      </c>
      <c r="K211">
        <f>VLOOKUP(E211,Products!$A$2:$E$23,5,0)</f>
        <v>599</v>
      </c>
      <c r="L211">
        <f>VLOOKUP(E211,Products!$A$2:$E$23,4,0)</f>
        <v>350</v>
      </c>
      <c r="M211" s="2">
        <f>K211*F211-Table1[[#This Row],[discount_amount]]</f>
        <v>569.04999999999995</v>
      </c>
      <c r="N211">
        <f t="shared" si="7"/>
        <v>350</v>
      </c>
      <c r="O211">
        <f t="shared" si="6"/>
        <v>219.04999999999995</v>
      </c>
      <c r="P211">
        <f>Table1[[#This Row],[Quantity]]*Table1[[#This Row],[unit_price]]*Table1[[#This Row],[Discount]]</f>
        <v>29.950000000000003</v>
      </c>
      <c r="Q211" t="str">
        <f>VLOOKUP(E211,Products!$A$2:$E$23,2,0)</f>
        <v>USB Flash Drive 64GB</v>
      </c>
      <c r="R211" t="str">
        <f>VLOOKUP(Table1[[#This Row],[Product ID]],Products!$A$2:$E$23,3,0)</f>
        <v>Electronics</v>
      </c>
      <c r="S211" t="str">
        <f>VLOOKUP(C211,Customers!$A$2:$F$201,4,0)</f>
        <v>Chandigarh</v>
      </c>
      <c r="T211" t="str">
        <f>VLOOKUP(Table1[[#This Row],[Customer ID]],Customers!$A$2:$F$201,5,0)</f>
        <v>North</v>
      </c>
      <c r="U211" t="str">
        <f>VLOOKUP(Table1[[#This Row],[Customer ID]],Customers!$A$2:$F$201,6,0)</f>
        <v>Corporate</v>
      </c>
      <c r="V211" t="str">
        <f>TEXT(Table1[[#This Row],[Order Date]],"MMM")</f>
        <v>May</v>
      </c>
      <c r="W211" t="str">
        <f>TEXT(Table1[[#This Row],[Order Date]],"yyyy")</f>
        <v>2024</v>
      </c>
    </row>
    <row r="212" spans="1:23" x14ac:dyDescent="0.25">
      <c r="A212" s="2" t="s">
        <v>392</v>
      </c>
      <c r="B212" s="4">
        <v>45419</v>
      </c>
      <c r="C212" s="2" t="s">
        <v>381</v>
      </c>
      <c r="D212" s="2" t="str">
        <f>TEXT(Table1[[#This Row],[Order Date]],"mmmm")</f>
        <v>May</v>
      </c>
      <c r="E212" s="2" t="s">
        <v>155</v>
      </c>
      <c r="F212" s="2">
        <v>2</v>
      </c>
      <c r="G212" s="5">
        <v>0.1</v>
      </c>
      <c r="H212" s="2" t="s">
        <v>19</v>
      </c>
      <c r="I212" s="2" t="s">
        <v>31</v>
      </c>
      <c r="J212" s="2" t="s">
        <v>21</v>
      </c>
      <c r="K212">
        <f>VLOOKUP(E212,Products!$A$2:$E$23,5,0)</f>
        <v>1599</v>
      </c>
      <c r="L212">
        <f>VLOOKUP(E212,Products!$A$2:$E$23,4,0)</f>
        <v>900</v>
      </c>
      <c r="M212" s="2">
        <f>K212*F212-Table1[[#This Row],[discount_amount]]</f>
        <v>2878.2</v>
      </c>
      <c r="N212">
        <f t="shared" si="7"/>
        <v>1800</v>
      </c>
      <c r="O212">
        <f t="shared" si="6"/>
        <v>1078.1999999999998</v>
      </c>
      <c r="P212">
        <f>Table1[[#This Row],[Quantity]]*Table1[[#This Row],[unit_price]]*Table1[[#This Row],[Discount]]</f>
        <v>319.8</v>
      </c>
      <c r="Q212" t="str">
        <f>VLOOKUP(E212,Products!$A$2:$E$23,2,0)</f>
        <v>Headphones</v>
      </c>
      <c r="R212" t="str">
        <f>VLOOKUP(Table1[[#This Row],[Product ID]],Products!$A$2:$E$23,3,0)</f>
        <v>Electronics</v>
      </c>
      <c r="S212" t="str">
        <f>VLOOKUP(C212,Customers!$A$2:$F$201,4,0)</f>
        <v>Gujarat</v>
      </c>
      <c r="T212" t="str">
        <f>VLOOKUP(Table1[[#This Row],[Customer ID]],Customers!$A$2:$F$201,5,0)</f>
        <v>West</v>
      </c>
      <c r="U212" t="str">
        <f>VLOOKUP(Table1[[#This Row],[Customer ID]],Customers!$A$2:$F$201,6,0)</f>
        <v>Consumer</v>
      </c>
      <c r="V212" t="str">
        <f>TEXT(Table1[[#This Row],[Order Date]],"MMM")</f>
        <v>May</v>
      </c>
      <c r="W212" t="str">
        <f>TEXT(Table1[[#This Row],[Order Date]],"yyyy")</f>
        <v>2024</v>
      </c>
    </row>
    <row r="213" spans="1:23" x14ac:dyDescent="0.25">
      <c r="A213" s="2" t="s">
        <v>393</v>
      </c>
      <c r="B213" s="4">
        <v>45419</v>
      </c>
      <c r="C213" s="2" t="s">
        <v>108</v>
      </c>
      <c r="D213" s="2" t="str">
        <f>TEXT(Table1[[#This Row],[Order Date]],"mmmm")</f>
        <v>May</v>
      </c>
      <c r="E213" s="2" t="s">
        <v>60</v>
      </c>
      <c r="F213" s="2">
        <v>3</v>
      </c>
      <c r="G213" s="5">
        <v>0</v>
      </c>
      <c r="H213" s="2" t="s">
        <v>19</v>
      </c>
      <c r="I213" s="2" t="s">
        <v>38</v>
      </c>
      <c r="J213" s="2" t="s">
        <v>21</v>
      </c>
      <c r="K213">
        <f>VLOOKUP(E213,Products!$A$2:$E$23,5,0)</f>
        <v>449</v>
      </c>
      <c r="L213">
        <f>VLOOKUP(E213,Products!$A$2:$E$23,4,0)</f>
        <v>260</v>
      </c>
      <c r="M213" s="2">
        <f>K213*F213-Table1[[#This Row],[discount_amount]]</f>
        <v>1347</v>
      </c>
      <c r="N213">
        <f t="shared" si="7"/>
        <v>780</v>
      </c>
      <c r="O213">
        <f t="shared" si="6"/>
        <v>567</v>
      </c>
      <c r="P213">
        <f>Table1[[#This Row],[Quantity]]*Table1[[#This Row],[unit_price]]*Table1[[#This Row],[Discount]]</f>
        <v>0</v>
      </c>
      <c r="Q213" t="str">
        <f>VLOOKUP(E213,Products!$A$2:$E$23,2,0)</f>
        <v>Desk Organizer</v>
      </c>
      <c r="R213" t="str">
        <f>VLOOKUP(Table1[[#This Row],[Product ID]],Products!$A$2:$E$23,3,0)</f>
        <v>Office Supplies</v>
      </c>
      <c r="S213" t="str">
        <f>VLOOKUP(C213,Customers!$A$2:$F$201,4,0)</f>
        <v>West Bengal</v>
      </c>
      <c r="T213" t="str">
        <f>VLOOKUP(Table1[[#This Row],[Customer ID]],Customers!$A$2:$F$201,5,0)</f>
        <v>East</v>
      </c>
      <c r="U213" t="str">
        <f>VLOOKUP(Table1[[#This Row],[Customer ID]],Customers!$A$2:$F$201,6,0)</f>
        <v>Corporate</v>
      </c>
      <c r="V213" t="str">
        <f>TEXT(Table1[[#This Row],[Order Date]],"MMM")</f>
        <v>May</v>
      </c>
      <c r="W213" t="str">
        <f>TEXT(Table1[[#This Row],[Order Date]],"yyyy")</f>
        <v>2024</v>
      </c>
    </row>
    <row r="214" spans="1:23" x14ac:dyDescent="0.25">
      <c r="A214" s="2" t="s">
        <v>394</v>
      </c>
      <c r="B214" s="4">
        <v>45420</v>
      </c>
      <c r="C214" s="2" t="s">
        <v>395</v>
      </c>
      <c r="D214" s="2" t="str">
        <f>TEXT(Table1[[#This Row],[Order Date]],"mmmm")</f>
        <v>May</v>
      </c>
      <c r="E214" s="2" t="s">
        <v>49</v>
      </c>
      <c r="F214" s="2">
        <v>5</v>
      </c>
      <c r="G214" s="5">
        <v>0</v>
      </c>
      <c r="H214" s="2" t="s">
        <v>25</v>
      </c>
      <c r="I214" s="2" t="s">
        <v>31</v>
      </c>
      <c r="J214" s="2" t="s">
        <v>21</v>
      </c>
      <c r="K214">
        <f>VLOOKUP(E214,Products!$A$2:$E$23,5,0)</f>
        <v>700</v>
      </c>
      <c r="L214">
        <f>VLOOKUP(E214,Products!$A$2:$E$23,4,0)</f>
        <v>450</v>
      </c>
      <c r="M214" s="2">
        <f>K214*F214-Table1[[#This Row],[discount_amount]]</f>
        <v>3500</v>
      </c>
      <c r="N214">
        <f t="shared" si="7"/>
        <v>2250</v>
      </c>
      <c r="O214">
        <f t="shared" si="6"/>
        <v>1250</v>
      </c>
      <c r="P214">
        <f>Table1[[#This Row],[Quantity]]*Table1[[#This Row],[unit_price]]*Table1[[#This Row],[Discount]]</f>
        <v>0</v>
      </c>
      <c r="Q214" t="str">
        <f>VLOOKUP(E214,Products!$A$2:$E$23,2,0)</f>
        <v>Wireless Mouse</v>
      </c>
      <c r="R214" t="str">
        <f>VLOOKUP(Table1[[#This Row],[Product ID]],Products!$A$2:$E$23,3,0)</f>
        <v>Electronics</v>
      </c>
      <c r="S214" t="str">
        <f>VLOOKUP(C214,Customers!$A$2:$F$201,4,0)</f>
        <v>Gujarat</v>
      </c>
      <c r="T214" t="str">
        <f>VLOOKUP(Table1[[#This Row],[Customer ID]],Customers!$A$2:$F$201,5,0)</f>
        <v>West</v>
      </c>
      <c r="U214" t="str">
        <f>VLOOKUP(Table1[[#This Row],[Customer ID]],Customers!$A$2:$F$201,6,0)</f>
        <v>Corporate</v>
      </c>
      <c r="V214" t="str">
        <f>TEXT(Table1[[#This Row],[Order Date]],"MMM")</f>
        <v>May</v>
      </c>
      <c r="W214" t="str">
        <f>TEXT(Table1[[#This Row],[Order Date]],"yyyy")</f>
        <v>2024</v>
      </c>
    </row>
    <row r="215" spans="1:23" x14ac:dyDescent="0.25">
      <c r="A215" s="2" t="s">
        <v>396</v>
      </c>
      <c r="B215" s="4">
        <v>45421</v>
      </c>
      <c r="C215" s="2" t="s">
        <v>397</v>
      </c>
      <c r="D215" s="2" t="str">
        <f>TEXT(Table1[[#This Row],[Order Date]],"mmmm")</f>
        <v>May</v>
      </c>
      <c r="E215" s="2" t="s">
        <v>57</v>
      </c>
      <c r="F215" s="2">
        <v>6</v>
      </c>
      <c r="G215" s="5">
        <v>0.05</v>
      </c>
      <c r="H215" s="2" t="s">
        <v>19</v>
      </c>
      <c r="I215" s="2" t="s">
        <v>31</v>
      </c>
      <c r="J215" s="2" t="s">
        <v>21</v>
      </c>
      <c r="K215">
        <f>VLOOKUP(E215,Products!$A$2:$E$23,5,0)</f>
        <v>1599</v>
      </c>
      <c r="L215">
        <f>VLOOKUP(E215,Products!$A$2:$E$23,4,0)</f>
        <v>800</v>
      </c>
      <c r="M215" s="2">
        <f>K215*F215-Table1[[#This Row],[discount_amount]]</f>
        <v>9114.2999999999993</v>
      </c>
      <c r="N215">
        <f t="shared" si="7"/>
        <v>4800</v>
      </c>
      <c r="O215">
        <f t="shared" si="6"/>
        <v>4314.2999999999993</v>
      </c>
      <c r="P215">
        <f>Table1[[#This Row],[Quantity]]*Table1[[#This Row],[unit_price]]*Table1[[#This Row],[Discount]]</f>
        <v>479.70000000000005</v>
      </c>
      <c r="Q215" t="str">
        <f>VLOOKUP(E215,Products!$A$2:$E$23,2,0)</f>
        <v>Hoodie</v>
      </c>
      <c r="R215" t="str">
        <f>VLOOKUP(Table1[[#This Row],[Product ID]],Products!$A$2:$E$23,3,0)</f>
        <v>Clothing</v>
      </c>
      <c r="S215" t="str">
        <f>VLOOKUP(C215,Customers!$A$2:$F$201,4,0)</f>
        <v>Chandigarh</v>
      </c>
      <c r="T215" t="str">
        <f>VLOOKUP(Table1[[#This Row],[Customer ID]],Customers!$A$2:$F$201,5,0)</f>
        <v>North</v>
      </c>
      <c r="U215" t="str">
        <f>VLOOKUP(Table1[[#This Row],[Customer ID]],Customers!$A$2:$F$201,6,0)</f>
        <v>Corporate</v>
      </c>
      <c r="V215" t="str">
        <f>TEXT(Table1[[#This Row],[Order Date]],"MMM")</f>
        <v>May</v>
      </c>
      <c r="W215" t="str">
        <f>TEXT(Table1[[#This Row],[Order Date]],"yyyy")</f>
        <v>2024</v>
      </c>
    </row>
    <row r="216" spans="1:23" x14ac:dyDescent="0.25">
      <c r="A216" s="2" t="s">
        <v>398</v>
      </c>
      <c r="B216" s="4">
        <v>45421</v>
      </c>
      <c r="C216" s="2" t="s">
        <v>370</v>
      </c>
      <c r="D216" s="2" t="str">
        <f>TEXT(Table1[[#This Row],[Order Date]],"mmmm")</f>
        <v>May</v>
      </c>
      <c r="E216" s="2" t="s">
        <v>82</v>
      </c>
      <c r="F216" s="2">
        <v>2</v>
      </c>
      <c r="G216" s="5">
        <v>0</v>
      </c>
      <c r="H216" s="2" t="s">
        <v>25</v>
      </c>
      <c r="I216" s="2" t="s">
        <v>38</v>
      </c>
      <c r="J216" s="2" t="s">
        <v>21</v>
      </c>
      <c r="K216">
        <f>VLOOKUP(E216,Products!$A$2:$E$23,5,0)</f>
        <v>1799</v>
      </c>
      <c r="L216">
        <f>VLOOKUP(E216,Products!$A$2:$E$23,4,0)</f>
        <v>1100</v>
      </c>
      <c r="M216" s="2">
        <f>K216*F216-Table1[[#This Row],[discount_amount]]</f>
        <v>3598</v>
      </c>
      <c r="N216">
        <f t="shared" si="7"/>
        <v>2200</v>
      </c>
      <c r="O216">
        <f t="shared" si="6"/>
        <v>1398</v>
      </c>
      <c r="P216">
        <f>Table1[[#This Row],[Quantity]]*Table1[[#This Row],[unit_price]]*Table1[[#This Row],[Discount]]</f>
        <v>0</v>
      </c>
      <c r="Q216" t="str">
        <f>VLOOKUP(E216,Products!$A$2:$E$23,2,0)</f>
        <v>Webcam HD</v>
      </c>
      <c r="R216" t="str">
        <f>VLOOKUP(Table1[[#This Row],[Product ID]],Products!$A$2:$E$23,3,0)</f>
        <v>Electronics</v>
      </c>
      <c r="S216" t="str">
        <f>VLOOKUP(C216,Customers!$A$2:$F$201,4,0)</f>
        <v>Tamil Nadu</v>
      </c>
      <c r="T216" t="str">
        <f>VLOOKUP(Table1[[#This Row],[Customer ID]],Customers!$A$2:$F$201,5,0)</f>
        <v>South</v>
      </c>
      <c r="U216" t="str">
        <f>VLOOKUP(Table1[[#This Row],[Customer ID]],Customers!$A$2:$F$201,6,0)</f>
        <v>Consumer</v>
      </c>
      <c r="V216" t="str">
        <f>TEXT(Table1[[#This Row],[Order Date]],"MMM")</f>
        <v>May</v>
      </c>
      <c r="W216" t="str">
        <f>TEXT(Table1[[#This Row],[Order Date]],"yyyy")</f>
        <v>2024</v>
      </c>
    </row>
    <row r="217" spans="1:23" x14ac:dyDescent="0.25">
      <c r="A217" s="2" t="s">
        <v>399</v>
      </c>
      <c r="B217" s="4">
        <v>45421</v>
      </c>
      <c r="C217" s="2" t="s">
        <v>168</v>
      </c>
      <c r="D217" s="2" t="str">
        <f>TEXT(Table1[[#This Row],[Order Date]],"mmmm")</f>
        <v>May</v>
      </c>
      <c r="E217" s="2" t="s">
        <v>73</v>
      </c>
      <c r="F217" s="2">
        <v>10</v>
      </c>
      <c r="G217" s="5">
        <v>0</v>
      </c>
      <c r="H217" s="2" t="s">
        <v>30</v>
      </c>
      <c r="I217" s="2" t="s">
        <v>46</v>
      </c>
      <c r="J217" s="2" t="s">
        <v>21</v>
      </c>
      <c r="K217">
        <f>VLOOKUP(E217,Products!$A$2:$E$23,5,0)</f>
        <v>6499</v>
      </c>
      <c r="L217">
        <f>VLOOKUP(E217,Products!$A$2:$E$23,4,0)</f>
        <v>4200</v>
      </c>
      <c r="M217" s="2">
        <f>K217*F217-Table1[[#This Row],[discount_amount]]</f>
        <v>64990</v>
      </c>
      <c r="N217">
        <f t="shared" si="7"/>
        <v>42000</v>
      </c>
      <c r="O217">
        <f t="shared" si="6"/>
        <v>22990</v>
      </c>
      <c r="P217">
        <f>Table1[[#This Row],[Quantity]]*Table1[[#This Row],[unit_price]]*Table1[[#This Row],[Discount]]</f>
        <v>0</v>
      </c>
      <c r="Q217" t="str">
        <f>VLOOKUP(E217,Products!$A$2:$E$23,2,0)</f>
        <v>Study Table</v>
      </c>
      <c r="R217" t="str">
        <f>VLOOKUP(Table1[[#This Row],[Product ID]],Products!$A$2:$E$23,3,0)</f>
        <v>Furniture</v>
      </c>
      <c r="S217" t="str">
        <f>VLOOKUP(C217,Customers!$A$2:$F$201,4,0)</f>
        <v>Delhi</v>
      </c>
      <c r="T217" t="str">
        <f>VLOOKUP(Table1[[#This Row],[Customer ID]],Customers!$A$2:$F$201,5,0)</f>
        <v>North</v>
      </c>
      <c r="U217" t="str">
        <f>VLOOKUP(Table1[[#This Row],[Customer ID]],Customers!$A$2:$F$201,6,0)</f>
        <v>Corporate</v>
      </c>
      <c r="V217" t="str">
        <f>TEXT(Table1[[#This Row],[Order Date]],"MMM")</f>
        <v>May</v>
      </c>
      <c r="W217" t="str">
        <f>TEXT(Table1[[#This Row],[Order Date]],"yyyy")</f>
        <v>2024</v>
      </c>
    </row>
    <row r="218" spans="1:23" x14ac:dyDescent="0.25">
      <c r="A218" s="2" t="s">
        <v>400</v>
      </c>
      <c r="B218" s="4">
        <v>45421</v>
      </c>
      <c r="C218" s="2" t="s">
        <v>197</v>
      </c>
      <c r="D218" s="2" t="str">
        <f>TEXT(Table1[[#This Row],[Order Date]],"mmmm")</f>
        <v>May</v>
      </c>
      <c r="E218" s="2" t="s">
        <v>127</v>
      </c>
      <c r="F218" s="2">
        <v>4</v>
      </c>
      <c r="G218" s="5">
        <v>0</v>
      </c>
      <c r="H218" s="2" t="s">
        <v>30</v>
      </c>
      <c r="I218" s="2" t="s">
        <v>31</v>
      </c>
      <c r="J218" s="2" t="s">
        <v>21</v>
      </c>
      <c r="K218">
        <f>VLOOKUP(E218,Products!$A$2:$E$23,5,0)</f>
        <v>1999</v>
      </c>
      <c r="L218">
        <f>VLOOKUP(E218,Products!$A$2:$E$23,4,0)</f>
        <v>1200</v>
      </c>
      <c r="M218" s="2">
        <f>K218*F218-Table1[[#This Row],[discount_amount]]</f>
        <v>7996</v>
      </c>
      <c r="N218">
        <f t="shared" si="7"/>
        <v>4800</v>
      </c>
      <c r="O218">
        <f t="shared" si="6"/>
        <v>3196</v>
      </c>
      <c r="P218">
        <f>Table1[[#This Row],[Quantity]]*Table1[[#This Row],[unit_price]]*Table1[[#This Row],[Discount]]</f>
        <v>0</v>
      </c>
      <c r="Q218" t="str">
        <f>VLOOKUP(E218,Products!$A$2:$E$23,2,0)</f>
        <v>Bluetooth Speaker</v>
      </c>
      <c r="R218" t="str">
        <f>VLOOKUP(Table1[[#This Row],[Product ID]],Products!$A$2:$E$23,3,0)</f>
        <v>Electronics</v>
      </c>
      <c r="S218" t="str">
        <f>VLOOKUP(C218,Customers!$A$2:$F$201,4,0)</f>
        <v>Madhya Pradesh</v>
      </c>
      <c r="T218" t="str">
        <f>VLOOKUP(Table1[[#This Row],[Customer ID]],Customers!$A$2:$F$201,5,0)</f>
        <v>Central</v>
      </c>
      <c r="U218" t="str">
        <f>VLOOKUP(Table1[[#This Row],[Customer ID]],Customers!$A$2:$F$201,6,0)</f>
        <v>Consumer</v>
      </c>
      <c r="V218" t="str">
        <f>TEXT(Table1[[#This Row],[Order Date]],"MMM")</f>
        <v>May</v>
      </c>
      <c r="W218" t="str">
        <f>TEXT(Table1[[#This Row],[Order Date]],"yyyy")</f>
        <v>2024</v>
      </c>
    </row>
    <row r="219" spans="1:23" x14ac:dyDescent="0.25">
      <c r="A219" s="2" t="s">
        <v>401</v>
      </c>
      <c r="B219" s="4">
        <v>45421</v>
      </c>
      <c r="C219" s="2" t="s">
        <v>402</v>
      </c>
      <c r="D219" s="2" t="str">
        <f>TEXT(Table1[[#This Row],[Order Date]],"mmmm")</f>
        <v>May</v>
      </c>
      <c r="E219" s="2" t="s">
        <v>57</v>
      </c>
      <c r="F219" s="2">
        <v>2</v>
      </c>
      <c r="G219" s="5">
        <v>0</v>
      </c>
      <c r="H219" s="2" t="s">
        <v>25</v>
      </c>
      <c r="I219" s="2" t="s">
        <v>26</v>
      </c>
      <c r="J219" s="2" t="s">
        <v>21</v>
      </c>
      <c r="K219">
        <f>VLOOKUP(E219,Products!$A$2:$E$23,5,0)</f>
        <v>1599</v>
      </c>
      <c r="L219">
        <f>VLOOKUP(E219,Products!$A$2:$E$23,4,0)</f>
        <v>800</v>
      </c>
      <c r="M219" s="2">
        <f>K219*F219-Table1[[#This Row],[discount_amount]]</f>
        <v>3198</v>
      </c>
      <c r="N219">
        <f t="shared" si="7"/>
        <v>1600</v>
      </c>
      <c r="O219">
        <f t="shared" si="6"/>
        <v>1598</v>
      </c>
      <c r="P219">
        <f>Table1[[#This Row],[Quantity]]*Table1[[#This Row],[unit_price]]*Table1[[#This Row],[Discount]]</f>
        <v>0</v>
      </c>
      <c r="Q219" t="str">
        <f>VLOOKUP(E219,Products!$A$2:$E$23,2,0)</f>
        <v>Hoodie</v>
      </c>
      <c r="R219" t="str">
        <f>VLOOKUP(Table1[[#This Row],[Product ID]],Products!$A$2:$E$23,3,0)</f>
        <v>Clothing</v>
      </c>
      <c r="S219" t="str">
        <f>VLOOKUP(C219,Customers!$A$2:$F$201,4,0)</f>
        <v>Telangana</v>
      </c>
      <c r="T219" t="str">
        <f>VLOOKUP(Table1[[#This Row],[Customer ID]],Customers!$A$2:$F$201,5,0)</f>
        <v>South</v>
      </c>
      <c r="U219" t="str">
        <f>VLOOKUP(Table1[[#This Row],[Customer ID]],Customers!$A$2:$F$201,6,0)</f>
        <v>Home Office</v>
      </c>
      <c r="V219" t="str">
        <f>TEXT(Table1[[#This Row],[Order Date]],"MMM")</f>
        <v>May</v>
      </c>
      <c r="W219" t="str">
        <f>TEXT(Table1[[#This Row],[Order Date]],"yyyy")</f>
        <v>2024</v>
      </c>
    </row>
    <row r="220" spans="1:23" x14ac:dyDescent="0.25">
      <c r="A220" s="2" t="s">
        <v>403</v>
      </c>
      <c r="B220" s="4">
        <v>45422</v>
      </c>
      <c r="C220" s="2" t="s">
        <v>397</v>
      </c>
      <c r="D220" s="2" t="str">
        <f>TEXT(Table1[[#This Row],[Order Date]],"mmmm")</f>
        <v>May</v>
      </c>
      <c r="E220" s="2" t="s">
        <v>18</v>
      </c>
      <c r="F220" s="2">
        <v>4</v>
      </c>
      <c r="G220" s="5">
        <v>0</v>
      </c>
      <c r="H220" s="2" t="s">
        <v>30</v>
      </c>
      <c r="I220" s="2" t="s">
        <v>46</v>
      </c>
      <c r="J220" s="2" t="s">
        <v>21</v>
      </c>
      <c r="K220">
        <f>VLOOKUP(E220,Products!$A$2:$E$23,5,0)</f>
        <v>4299</v>
      </c>
      <c r="L220">
        <f>VLOOKUP(E220,Products!$A$2:$E$23,4,0)</f>
        <v>2800</v>
      </c>
      <c r="M220" s="2">
        <f>K220*F220-Table1[[#This Row],[discount_amount]]</f>
        <v>17196</v>
      </c>
      <c r="N220">
        <f t="shared" si="7"/>
        <v>11200</v>
      </c>
      <c r="O220">
        <f t="shared" si="6"/>
        <v>5996</v>
      </c>
      <c r="P220">
        <f>Table1[[#This Row],[Quantity]]*Table1[[#This Row],[unit_price]]*Table1[[#This Row],[Discount]]</f>
        <v>0</v>
      </c>
      <c r="Q220" t="str">
        <f>VLOOKUP(E220,Products!$A$2:$E$23,2,0)</f>
        <v>Bookshelf</v>
      </c>
      <c r="R220" t="str">
        <f>VLOOKUP(Table1[[#This Row],[Product ID]],Products!$A$2:$E$23,3,0)</f>
        <v>Furniture</v>
      </c>
      <c r="S220" t="str">
        <f>VLOOKUP(C220,Customers!$A$2:$F$201,4,0)</f>
        <v>Chandigarh</v>
      </c>
      <c r="T220" t="str">
        <f>VLOOKUP(Table1[[#This Row],[Customer ID]],Customers!$A$2:$F$201,5,0)</f>
        <v>North</v>
      </c>
      <c r="U220" t="str">
        <f>VLOOKUP(Table1[[#This Row],[Customer ID]],Customers!$A$2:$F$201,6,0)</f>
        <v>Corporate</v>
      </c>
      <c r="V220" t="str">
        <f>TEXT(Table1[[#This Row],[Order Date]],"MMM")</f>
        <v>May</v>
      </c>
      <c r="W220" t="str">
        <f>TEXT(Table1[[#This Row],[Order Date]],"yyyy")</f>
        <v>2024</v>
      </c>
    </row>
    <row r="221" spans="1:23" x14ac:dyDescent="0.25">
      <c r="A221" s="2" t="s">
        <v>404</v>
      </c>
      <c r="B221" s="4">
        <v>45424</v>
      </c>
      <c r="C221" s="2" t="s">
        <v>86</v>
      </c>
      <c r="D221" s="2" t="str">
        <f>TEXT(Table1[[#This Row],[Order Date]],"mmmm")</f>
        <v>May</v>
      </c>
      <c r="E221" s="2" t="s">
        <v>73</v>
      </c>
      <c r="F221" s="2">
        <v>1</v>
      </c>
      <c r="G221" s="5">
        <v>0.2</v>
      </c>
      <c r="H221" s="2" t="s">
        <v>19</v>
      </c>
      <c r="I221" s="2" t="s">
        <v>26</v>
      </c>
      <c r="J221" s="2" t="s">
        <v>21</v>
      </c>
      <c r="K221">
        <f>VLOOKUP(E221,Products!$A$2:$E$23,5,0)</f>
        <v>6499</v>
      </c>
      <c r="L221">
        <f>VLOOKUP(E221,Products!$A$2:$E$23,4,0)</f>
        <v>4200</v>
      </c>
      <c r="M221" s="2">
        <f>K221*F221-Table1[[#This Row],[discount_amount]]</f>
        <v>5199.2</v>
      </c>
      <c r="N221">
        <f t="shared" si="7"/>
        <v>4200</v>
      </c>
      <c r="O221">
        <f t="shared" si="6"/>
        <v>999.19999999999982</v>
      </c>
      <c r="P221">
        <f>Table1[[#This Row],[Quantity]]*Table1[[#This Row],[unit_price]]*Table1[[#This Row],[Discount]]</f>
        <v>1299.8000000000002</v>
      </c>
      <c r="Q221" t="str">
        <f>VLOOKUP(E221,Products!$A$2:$E$23,2,0)</f>
        <v>Study Table</v>
      </c>
      <c r="R221" t="str">
        <f>VLOOKUP(Table1[[#This Row],[Product ID]],Products!$A$2:$E$23,3,0)</f>
        <v>Furniture</v>
      </c>
      <c r="S221" t="str">
        <f>VLOOKUP(C221,Customers!$A$2:$F$201,4,0)</f>
        <v>Delhi</v>
      </c>
      <c r="T221" t="str">
        <f>VLOOKUP(Table1[[#This Row],[Customer ID]],Customers!$A$2:$F$201,5,0)</f>
        <v>North</v>
      </c>
      <c r="U221" t="str">
        <f>VLOOKUP(Table1[[#This Row],[Customer ID]],Customers!$A$2:$F$201,6,0)</f>
        <v>Consumer</v>
      </c>
      <c r="V221" t="str">
        <f>TEXT(Table1[[#This Row],[Order Date]],"MMM")</f>
        <v>May</v>
      </c>
      <c r="W221" t="str">
        <f>TEXT(Table1[[#This Row],[Order Date]],"yyyy")</f>
        <v>2024</v>
      </c>
    </row>
    <row r="222" spans="1:23" x14ac:dyDescent="0.25">
      <c r="A222" s="2" t="s">
        <v>405</v>
      </c>
      <c r="B222" s="4">
        <v>45424</v>
      </c>
      <c r="C222" s="2" t="s">
        <v>178</v>
      </c>
      <c r="D222" s="2" t="str">
        <f>TEXT(Table1[[#This Row],[Order Date]],"mmmm")</f>
        <v>May</v>
      </c>
      <c r="E222" s="2" t="s">
        <v>34</v>
      </c>
      <c r="F222" s="2">
        <v>1</v>
      </c>
      <c r="G222" s="5">
        <v>0.05</v>
      </c>
      <c r="H222" s="2" t="s">
        <v>30</v>
      </c>
      <c r="I222" s="2" t="s">
        <v>26</v>
      </c>
      <c r="J222" s="2" t="s">
        <v>21</v>
      </c>
      <c r="K222">
        <f>VLOOKUP(E222,Products!$A$2:$E$23,5,0)</f>
        <v>4599</v>
      </c>
      <c r="L222">
        <f>VLOOKUP(E222,Products!$A$2:$E$23,4,0)</f>
        <v>3000</v>
      </c>
      <c r="M222" s="2">
        <f>K222*F222-Table1[[#This Row],[discount_amount]]</f>
        <v>4369.05</v>
      </c>
      <c r="N222">
        <f t="shared" si="7"/>
        <v>3000</v>
      </c>
      <c r="O222">
        <f t="shared" si="6"/>
        <v>1369.0500000000002</v>
      </c>
      <c r="P222">
        <f>Table1[[#This Row],[Quantity]]*Table1[[#This Row],[unit_price]]*Table1[[#This Row],[Discount]]</f>
        <v>229.95000000000002</v>
      </c>
      <c r="Q222" t="str">
        <f>VLOOKUP(E222,Products!$A$2:$E$23,2,0)</f>
        <v>Filing Cabinet</v>
      </c>
      <c r="R222" t="str">
        <f>VLOOKUP(Table1[[#This Row],[Product ID]],Products!$A$2:$E$23,3,0)</f>
        <v>Furniture</v>
      </c>
      <c r="S222" t="str">
        <f>VLOOKUP(C222,Customers!$A$2:$F$201,4,0)</f>
        <v>Bihar</v>
      </c>
      <c r="T222" t="str">
        <f>VLOOKUP(Table1[[#This Row],[Customer ID]],Customers!$A$2:$F$201,5,0)</f>
        <v>East</v>
      </c>
      <c r="U222" t="str">
        <f>VLOOKUP(Table1[[#This Row],[Customer ID]],Customers!$A$2:$F$201,6,0)</f>
        <v>Corporate</v>
      </c>
      <c r="V222" t="str">
        <f>TEXT(Table1[[#This Row],[Order Date]],"MMM")</f>
        <v>May</v>
      </c>
      <c r="W222" t="str">
        <f>TEXT(Table1[[#This Row],[Order Date]],"yyyy")</f>
        <v>2024</v>
      </c>
    </row>
    <row r="223" spans="1:23" x14ac:dyDescent="0.25">
      <c r="A223" s="2" t="s">
        <v>406</v>
      </c>
      <c r="B223" s="4">
        <v>45425</v>
      </c>
      <c r="C223" s="2" t="s">
        <v>407</v>
      </c>
      <c r="D223" s="2" t="str">
        <f>TEXT(Table1[[#This Row],[Order Date]],"mmmm")</f>
        <v>May</v>
      </c>
      <c r="E223" s="2" t="s">
        <v>91</v>
      </c>
      <c r="F223" s="2">
        <v>2</v>
      </c>
      <c r="G223" s="5">
        <v>0.05</v>
      </c>
      <c r="H223" s="2" t="s">
        <v>19</v>
      </c>
      <c r="I223" s="2" t="s">
        <v>46</v>
      </c>
      <c r="J223" s="2" t="s">
        <v>21</v>
      </c>
      <c r="K223">
        <f>VLOOKUP(E223,Products!$A$2:$E$23,5,0)</f>
        <v>1199</v>
      </c>
      <c r="L223">
        <f>VLOOKUP(E223,Products!$A$2:$E$23,4,0)</f>
        <v>600</v>
      </c>
      <c r="M223" s="2">
        <f>K223*F223-Table1[[#This Row],[discount_amount]]</f>
        <v>2278.1</v>
      </c>
      <c r="N223">
        <f t="shared" si="7"/>
        <v>1200</v>
      </c>
      <c r="O223">
        <f t="shared" si="6"/>
        <v>1078.0999999999999</v>
      </c>
      <c r="P223">
        <f>Table1[[#This Row],[Quantity]]*Table1[[#This Row],[unit_price]]*Table1[[#This Row],[Discount]]</f>
        <v>119.9</v>
      </c>
      <c r="Q223" t="str">
        <f>VLOOKUP(E223,Products!$A$2:$E$23,2,0)</f>
        <v>Formal Shirt</v>
      </c>
      <c r="R223" t="str">
        <f>VLOOKUP(Table1[[#This Row],[Product ID]],Products!$A$2:$E$23,3,0)</f>
        <v>Clothing</v>
      </c>
      <c r="S223" t="str">
        <f>VLOOKUP(C223,Customers!$A$2:$F$201,4,0)</f>
        <v>Maharashtra</v>
      </c>
      <c r="T223" t="str">
        <f>VLOOKUP(Table1[[#This Row],[Customer ID]],Customers!$A$2:$F$201,5,0)</f>
        <v>West</v>
      </c>
      <c r="U223" t="str">
        <f>VLOOKUP(Table1[[#This Row],[Customer ID]],Customers!$A$2:$F$201,6,0)</f>
        <v>Consumer</v>
      </c>
      <c r="V223" t="str">
        <f>TEXT(Table1[[#This Row],[Order Date]],"MMM")</f>
        <v>May</v>
      </c>
      <c r="W223" t="str">
        <f>TEXT(Table1[[#This Row],[Order Date]],"yyyy")</f>
        <v>2024</v>
      </c>
    </row>
    <row r="224" spans="1:23" x14ac:dyDescent="0.25">
      <c r="A224" s="2" t="s">
        <v>408</v>
      </c>
      <c r="B224" s="4">
        <v>45425</v>
      </c>
      <c r="C224" s="2" t="s">
        <v>228</v>
      </c>
      <c r="D224" s="2" t="str">
        <f>TEXT(Table1[[#This Row],[Order Date]],"mmmm")</f>
        <v>May</v>
      </c>
      <c r="E224" s="2" t="s">
        <v>121</v>
      </c>
      <c r="F224" s="2">
        <v>2</v>
      </c>
      <c r="G224" s="5">
        <v>0</v>
      </c>
      <c r="H224" s="2" t="s">
        <v>30</v>
      </c>
      <c r="I224" s="2" t="s">
        <v>46</v>
      </c>
      <c r="J224" s="2" t="s">
        <v>94</v>
      </c>
      <c r="K224">
        <f>VLOOKUP(E224,Products!$A$2:$E$23,5,0)</f>
        <v>499</v>
      </c>
      <c r="L224">
        <f>VLOOKUP(E224,Products!$A$2:$E$23,4,0)</f>
        <v>250</v>
      </c>
      <c r="M224" s="2">
        <f>K224*F224-Table1[[#This Row],[discount_amount]]</f>
        <v>998</v>
      </c>
      <c r="N224">
        <f t="shared" si="7"/>
        <v>500</v>
      </c>
      <c r="O224">
        <f t="shared" si="6"/>
        <v>498</v>
      </c>
      <c r="P224">
        <f>Table1[[#This Row],[Quantity]]*Table1[[#This Row],[unit_price]]*Table1[[#This Row],[Discount]]</f>
        <v>0</v>
      </c>
      <c r="Q224" t="str">
        <f>VLOOKUP(E224,Products!$A$2:$E$23,2,0)</f>
        <v>Cotton T-Shirt</v>
      </c>
      <c r="R224" t="str">
        <f>VLOOKUP(Table1[[#This Row],[Product ID]],Products!$A$2:$E$23,3,0)</f>
        <v>Clothing</v>
      </c>
      <c r="S224" t="str">
        <f>VLOOKUP(C224,Customers!$A$2:$F$201,4,0)</f>
        <v>Odisha</v>
      </c>
      <c r="T224" t="str">
        <f>VLOOKUP(Table1[[#This Row],[Customer ID]],Customers!$A$2:$F$201,5,0)</f>
        <v>East</v>
      </c>
      <c r="U224" t="str">
        <f>VLOOKUP(Table1[[#This Row],[Customer ID]],Customers!$A$2:$F$201,6,0)</f>
        <v>Consumer</v>
      </c>
      <c r="V224" t="str">
        <f>TEXT(Table1[[#This Row],[Order Date]],"MMM")</f>
        <v>May</v>
      </c>
      <c r="W224" t="str">
        <f>TEXT(Table1[[#This Row],[Order Date]],"yyyy")</f>
        <v>2024</v>
      </c>
    </row>
    <row r="225" spans="1:23" x14ac:dyDescent="0.25">
      <c r="A225" s="2" t="s">
        <v>409</v>
      </c>
      <c r="B225" s="4">
        <v>45426</v>
      </c>
      <c r="C225" s="2" t="s">
        <v>68</v>
      </c>
      <c r="D225" s="2" t="str">
        <f>TEXT(Table1[[#This Row],[Order Date]],"mmmm")</f>
        <v>May</v>
      </c>
      <c r="E225" s="2" t="s">
        <v>121</v>
      </c>
      <c r="F225" s="2">
        <v>1</v>
      </c>
      <c r="G225" s="5">
        <v>0.2</v>
      </c>
      <c r="H225" s="2" t="s">
        <v>25</v>
      </c>
      <c r="I225" s="2" t="s">
        <v>20</v>
      </c>
      <c r="J225" s="2" t="s">
        <v>21</v>
      </c>
      <c r="K225">
        <f>VLOOKUP(E225,Products!$A$2:$E$23,5,0)</f>
        <v>499</v>
      </c>
      <c r="L225">
        <f>VLOOKUP(E225,Products!$A$2:$E$23,4,0)</f>
        <v>250</v>
      </c>
      <c r="M225" s="2">
        <f>K225*F225-Table1[[#This Row],[discount_amount]]</f>
        <v>399.2</v>
      </c>
      <c r="N225">
        <f t="shared" si="7"/>
        <v>250</v>
      </c>
      <c r="O225">
        <f t="shared" si="6"/>
        <v>149.19999999999999</v>
      </c>
      <c r="P225">
        <f>Table1[[#This Row],[Quantity]]*Table1[[#This Row],[unit_price]]*Table1[[#This Row],[Discount]]</f>
        <v>99.800000000000011</v>
      </c>
      <c r="Q225" t="str">
        <f>VLOOKUP(E225,Products!$A$2:$E$23,2,0)</f>
        <v>Cotton T-Shirt</v>
      </c>
      <c r="R225" t="str">
        <f>VLOOKUP(Table1[[#This Row],[Product ID]],Products!$A$2:$E$23,3,0)</f>
        <v>Clothing</v>
      </c>
      <c r="S225" t="str">
        <f>VLOOKUP(C225,Customers!$A$2:$F$201,4,0)</f>
        <v>Chandigarh</v>
      </c>
      <c r="T225" t="str">
        <f>VLOOKUP(Table1[[#This Row],[Customer ID]],Customers!$A$2:$F$201,5,0)</f>
        <v>North</v>
      </c>
      <c r="U225" t="str">
        <f>VLOOKUP(Table1[[#This Row],[Customer ID]],Customers!$A$2:$F$201,6,0)</f>
        <v>Consumer</v>
      </c>
      <c r="V225" t="str">
        <f>TEXT(Table1[[#This Row],[Order Date]],"MMM")</f>
        <v>May</v>
      </c>
      <c r="W225" t="str">
        <f>TEXT(Table1[[#This Row],[Order Date]],"yyyy")</f>
        <v>2024</v>
      </c>
    </row>
    <row r="226" spans="1:23" x14ac:dyDescent="0.25">
      <c r="A226" s="2" t="s">
        <v>410</v>
      </c>
      <c r="B226" s="4">
        <v>45426</v>
      </c>
      <c r="C226" s="2" t="s">
        <v>276</v>
      </c>
      <c r="D226" s="2" t="str">
        <f>TEXT(Table1[[#This Row],[Order Date]],"mmmm")</f>
        <v>May</v>
      </c>
      <c r="E226" s="2" t="s">
        <v>34</v>
      </c>
      <c r="F226" s="2">
        <v>2</v>
      </c>
      <c r="G226" s="5">
        <v>0.05</v>
      </c>
      <c r="H226" s="2" t="s">
        <v>19</v>
      </c>
      <c r="I226" s="2" t="s">
        <v>38</v>
      </c>
      <c r="J226" s="2" t="s">
        <v>21</v>
      </c>
      <c r="K226">
        <f>VLOOKUP(E226,Products!$A$2:$E$23,5,0)</f>
        <v>4599</v>
      </c>
      <c r="L226">
        <f>VLOOKUP(E226,Products!$A$2:$E$23,4,0)</f>
        <v>3000</v>
      </c>
      <c r="M226" s="2">
        <f>K226*F226-Table1[[#This Row],[discount_amount]]</f>
        <v>8738.1</v>
      </c>
      <c r="N226">
        <f t="shared" si="7"/>
        <v>6000</v>
      </c>
      <c r="O226">
        <f t="shared" si="6"/>
        <v>2738.1000000000004</v>
      </c>
      <c r="P226">
        <f>Table1[[#This Row],[Quantity]]*Table1[[#This Row],[unit_price]]*Table1[[#This Row],[Discount]]</f>
        <v>459.90000000000003</v>
      </c>
      <c r="Q226" t="str">
        <f>VLOOKUP(E226,Products!$A$2:$E$23,2,0)</f>
        <v>Filing Cabinet</v>
      </c>
      <c r="R226" t="str">
        <f>VLOOKUP(Table1[[#This Row],[Product ID]],Products!$A$2:$E$23,3,0)</f>
        <v>Furniture</v>
      </c>
      <c r="S226" t="str">
        <f>VLOOKUP(C226,Customers!$A$2:$F$201,4,0)</f>
        <v>Tamil Nadu</v>
      </c>
      <c r="T226" t="str">
        <f>VLOOKUP(Table1[[#This Row],[Customer ID]],Customers!$A$2:$F$201,5,0)</f>
        <v>South</v>
      </c>
      <c r="U226" t="str">
        <f>VLOOKUP(Table1[[#This Row],[Customer ID]],Customers!$A$2:$F$201,6,0)</f>
        <v>Consumer</v>
      </c>
      <c r="V226" t="str">
        <f>TEXT(Table1[[#This Row],[Order Date]],"MMM")</f>
        <v>May</v>
      </c>
      <c r="W226" t="str">
        <f>TEXT(Table1[[#This Row],[Order Date]],"yyyy")</f>
        <v>2024</v>
      </c>
    </row>
    <row r="227" spans="1:23" x14ac:dyDescent="0.25">
      <c r="A227" s="2" t="s">
        <v>411</v>
      </c>
      <c r="B227" s="4">
        <v>45426</v>
      </c>
      <c r="C227" s="2" t="s">
        <v>347</v>
      </c>
      <c r="D227" s="2" t="str">
        <f>TEXT(Table1[[#This Row],[Order Date]],"mmmm")</f>
        <v>May</v>
      </c>
      <c r="E227" s="2" t="s">
        <v>66</v>
      </c>
      <c r="F227" s="2">
        <v>3</v>
      </c>
      <c r="G227" s="5">
        <v>0</v>
      </c>
      <c r="H227" s="2" t="s">
        <v>25</v>
      </c>
      <c r="I227" s="2" t="s">
        <v>20</v>
      </c>
      <c r="J227" s="2" t="s">
        <v>94</v>
      </c>
      <c r="K227">
        <f>VLOOKUP(E227,Products!$A$2:$E$23,5,0)</f>
        <v>1299</v>
      </c>
      <c r="L227">
        <f>VLOOKUP(E227,Products!$A$2:$E$23,4,0)</f>
        <v>800</v>
      </c>
      <c r="M227" s="2">
        <f>K227*F227-Table1[[#This Row],[discount_amount]]</f>
        <v>3897</v>
      </c>
      <c r="N227">
        <f t="shared" si="7"/>
        <v>2400</v>
      </c>
      <c r="O227">
        <f t="shared" si="6"/>
        <v>1497</v>
      </c>
      <c r="P227">
        <f>Table1[[#This Row],[Quantity]]*Table1[[#This Row],[unit_price]]*Table1[[#This Row],[Discount]]</f>
        <v>0</v>
      </c>
      <c r="Q227" t="str">
        <f>VLOOKUP(E227,Products!$A$2:$E$23,2,0)</f>
        <v>Power Bank 10000mAh</v>
      </c>
      <c r="R227" t="str">
        <f>VLOOKUP(Table1[[#This Row],[Product ID]],Products!$A$2:$E$23,3,0)</f>
        <v>Electronics</v>
      </c>
      <c r="S227" t="str">
        <f>VLOOKUP(C227,Customers!$A$2:$F$201,4,0)</f>
        <v>Madhya Pradesh</v>
      </c>
      <c r="T227" t="str">
        <f>VLOOKUP(Table1[[#This Row],[Customer ID]],Customers!$A$2:$F$201,5,0)</f>
        <v>Central</v>
      </c>
      <c r="U227" t="str">
        <f>VLOOKUP(Table1[[#This Row],[Customer ID]],Customers!$A$2:$F$201,6,0)</f>
        <v>Home Office</v>
      </c>
      <c r="V227" t="str">
        <f>TEXT(Table1[[#This Row],[Order Date]],"MMM")</f>
        <v>May</v>
      </c>
      <c r="W227" t="str">
        <f>TEXT(Table1[[#This Row],[Order Date]],"yyyy")</f>
        <v>2024</v>
      </c>
    </row>
    <row r="228" spans="1:23" x14ac:dyDescent="0.25">
      <c r="A228" s="2" t="s">
        <v>412</v>
      </c>
      <c r="B228" s="4">
        <v>45426</v>
      </c>
      <c r="C228" s="2" t="s">
        <v>413</v>
      </c>
      <c r="D228" s="2" t="str">
        <f>TEXT(Table1[[#This Row],[Order Date]],"mmmm")</f>
        <v>May</v>
      </c>
      <c r="E228" s="2" t="s">
        <v>41</v>
      </c>
      <c r="F228" s="2">
        <v>1</v>
      </c>
      <c r="G228" s="5">
        <v>0.05</v>
      </c>
      <c r="H228" s="2" t="s">
        <v>25</v>
      </c>
      <c r="I228" s="2" t="s">
        <v>20</v>
      </c>
      <c r="J228" s="2" t="s">
        <v>21</v>
      </c>
      <c r="K228">
        <f>VLOOKUP(E228,Products!$A$2:$E$23,5,0)</f>
        <v>320</v>
      </c>
      <c r="L228">
        <f>VLOOKUP(E228,Products!$A$2:$E$23,4,0)</f>
        <v>220</v>
      </c>
      <c r="M228" s="2">
        <f>K228*F228-Table1[[#This Row],[discount_amount]]</f>
        <v>304</v>
      </c>
      <c r="N228">
        <f t="shared" si="7"/>
        <v>220</v>
      </c>
      <c r="O228">
        <f t="shared" si="6"/>
        <v>84</v>
      </c>
      <c r="P228">
        <f>Table1[[#This Row],[Quantity]]*Table1[[#This Row],[unit_price]]*Table1[[#This Row],[Discount]]</f>
        <v>16</v>
      </c>
      <c r="Q228" t="str">
        <f>VLOOKUP(E228,Products!$A$2:$E$23,2,0)</f>
        <v>A4 Paper Ream</v>
      </c>
      <c r="R228" t="str">
        <f>VLOOKUP(Table1[[#This Row],[Product ID]],Products!$A$2:$E$23,3,0)</f>
        <v>Office Supplies</v>
      </c>
      <c r="S228" t="str">
        <f>VLOOKUP(C228,Customers!$A$2:$F$201,4,0)</f>
        <v>Karnataka</v>
      </c>
      <c r="T228" t="str">
        <f>VLOOKUP(Table1[[#This Row],[Customer ID]],Customers!$A$2:$F$201,5,0)</f>
        <v>South</v>
      </c>
      <c r="U228" t="str">
        <f>VLOOKUP(Table1[[#This Row],[Customer ID]],Customers!$A$2:$F$201,6,0)</f>
        <v>Corporate</v>
      </c>
      <c r="V228" t="str">
        <f>TEXT(Table1[[#This Row],[Order Date]],"MMM")</f>
        <v>May</v>
      </c>
      <c r="W228" t="str">
        <f>TEXT(Table1[[#This Row],[Order Date]],"yyyy")</f>
        <v>2024</v>
      </c>
    </row>
    <row r="229" spans="1:23" x14ac:dyDescent="0.25">
      <c r="A229" s="2" t="s">
        <v>414</v>
      </c>
      <c r="B229" s="4">
        <v>45427</v>
      </c>
      <c r="C229" s="2" t="s">
        <v>415</v>
      </c>
      <c r="D229" s="2" t="str">
        <f>TEXT(Table1[[#This Row],[Order Date]],"mmmm")</f>
        <v>May</v>
      </c>
      <c r="E229" s="2" t="s">
        <v>29</v>
      </c>
      <c r="F229" s="2">
        <v>1</v>
      </c>
      <c r="G229" s="5">
        <v>0.05</v>
      </c>
      <c r="H229" s="2" t="s">
        <v>30</v>
      </c>
      <c r="I229" s="2" t="s">
        <v>26</v>
      </c>
      <c r="J229" s="2" t="s">
        <v>94</v>
      </c>
      <c r="K229">
        <f>VLOOKUP(E229,Products!$A$2:$E$23,5,0)</f>
        <v>599</v>
      </c>
      <c r="L229">
        <f>VLOOKUP(E229,Products!$A$2:$E$23,4,0)</f>
        <v>350</v>
      </c>
      <c r="M229" s="2">
        <f>K229*F229-Table1[[#This Row],[discount_amount]]</f>
        <v>569.04999999999995</v>
      </c>
      <c r="N229">
        <f t="shared" si="7"/>
        <v>350</v>
      </c>
      <c r="O229">
        <f t="shared" si="6"/>
        <v>219.04999999999995</v>
      </c>
      <c r="P229">
        <f>Table1[[#This Row],[Quantity]]*Table1[[#This Row],[unit_price]]*Table1[[#This Row],[Discount]]</f>
        <v>29.950000000000003</v>
      </c>
      <c r="Q229" t="str">
        <f>VLOOKUP(E229,Products!$A$2:$E$23,2,0)</f>
        <v>USB Flash Drive 64GB</v>
      </c>
      <c r="R229" t="str">
        <f>VLOOKUP(Table1[[#This Row],[Product ID]],Products!$A$2:$E$23,3,0)</f>
        <v>Electronics</v>
      </c>
      <c r="S229" t="str">
        <f>VLOOKUP(C229,Customers!$A$2:$F$201,4,0)</f>
        <v>Tamil Nadu</v>
      </c>
      <c r="T229" t="str">
        <f>VLOOKUP(Table1[[#This Row],[Customer ID]],Customers!$A$2:$F$201,5,0)</f>
        <v>South</v>
      </c>
      <c r="U229" t="str">
        <f>VLOOKUP(Table1[[#This Row],[Customer ID]],Customers!$A$2:$F$201,6,0)</f>
        <v>Consumer</v>
      </c>
      <c r="V229" t="str">
        <f>TEXT(Table1[[#This Row],[Order Date]],"MMM")</f>
        <v>May</v>
      </c>
      <c r="W229" t="str">
        <f>TEXT(Table1[[#This Row],[Order Date]],"yyyy")</f>
        <v>2024</v>
      </c>
    </row>
    <row r="230" spans="1:23" x14ac:dyDescent="0.25">
      <c r="A230" s="2" t="s">
        <v>416</v>
      </c>
      <c r="B230" s="4">
        <v>45428</v>
      </c>
      <c r="C230" s="2" t="s">
        <v>235</v>
      </c>
      <c r="D230" s="2" t="str">
        <f>TEXT(Table1[[#This Row],[Order Date]],"mmmm")</f>
        <v>May</v>
      </c>
      <c r="E230" s="2" t="s">
        <v>18</v>
      </c>
      <c r="F230" s="2">
        <v>5</v>
      </c>
      <c r="G230" s="5">
        <v>0.1</v>
      </c>
      <c r="H230" s="2" t="s">
        <v>19</v>
      </c>
      <c r="I230" s="2" t="s">
        <v>20</v>
      </c>
      <c r="J230" s="2" t="s">
        <v>21</v>
      </c>
      <c r="K230">
        <f>VLOOKUP(E230,Products!$A$2:$E$23,5,0)</f>
        <v>4299</v>
      </c>
      <c r="L230">
        <f>VLOOKUP(E230,Products!$A$2:$E$23,4,0)</f>
        <v>2800</v>
      </c>
      <c r="M230" s="2">
        <f>K230*F230-Table1[[#This Row],[discount_amount]]</f>
        <v>19345.5</v>
      </c>
      <c r="N230">
        <f t="shared" si="7"/>
        <v>14000</v>
      </c>
      <c r="O230">
        <f t="shared" si="6"/>
        <v>5345.5</v>
      </c>
      <c r="P230">
        <f>Table1[[#This Row],[Quantity]]*Table1[[#This Row],[unit_price]]*Table1[[#This Row],[Discount]]</f>
        <v>2149.5</v>
      </c>
      <c r="Q230" t="str">
        <f>VLOOKUP(E230,Products!$A$2:$E$23,2,0)</f>
        <v>Bookshelf</v>
      </c>
      <c r="R230" t="str">
        <f>VLOOKUP(Table1[[#This Row],[Product ID]],Products!$A$2:$E$23,3,0)</f>
        <v>Furniture</v>
      </c>
      <c r="S230" t="str">
        <f>VLOOKUP(C230,Customers!$A$2:$F$201,4,0)</f>
        <v>Bihar</v>
      </c>
      <c r="T230" t="str">
        <f>VLOOKUP(Table1[[#This Row],[Customer ID]],Customers!$A$2:$F$201,5,0)</f>
        <v>East</v>
      </c>
      <c r="U230" t="str">
        <f>VLOOKUP(Table1[[#This Row],[Customer ID]],Customers!$A$2:$F$201,6,0)</f>
        <v>Home Office</v>
      </c>
      <c r="V230" t="str">
        <f>TEXT(Table1[[#This Row],[Order Date]],"MMM")</f>
        <v>May</v>
      </c>
      <c r="W230" t="str">
        <f>TEXT(Table1[[#This Row],[Order Date]],"yyyy")</f>
        <v>2024</v>
      </c>
    </row>
    <row r="231" spans="1:23" x14ac:dyDescent="0.25">
      <c r="A231" s="2" t="s">
        <v>417</v>
      </c>
      <c r="B231" s="4">
        <v>45430</v>
      </c>
      <c r="C231" s="2" t="s">
        <v>162</v>
      </c>
      <c r="D231" s="2" t="str">
        <f>TEXT(Table1[[#This Row],[Order Date]],"mmmm")</f>
        <v>May</v>
      </c>
      <c r="E231" s="2" t="s">
        <v>18</v>
      </c>
      <c r="F231" s="2">
        <v>1</v>
      </c>
      <c r="G231" s="5">
        <v>0.15</v>
      </c>
      <c r="H231" s="2" t="s">
        <v>25</v>
      </c>
      <c r="I231" s="2" t="s">
        <v>38</v>
      </c>
      <c r="J231" s="2" t="s">
        <v>21</v>
      </c>
      <c r="K231">
        <f>VLOOKUP(E231,Products!$A$2:$E$23,5,0)</f>
        <v>4299</v>
      </c>
      <c r="L231">
        <f>VLOOKUP(E231,Products!$A$2:$E$23,4,0)</f>
        <v>2800</v>
      </c>
      <c r="M231" s="2">
        <f>K231*F231-Table1[[#This Row],[discount_amount]]</f>
        <v>3654.15</v>
      </c>
      <c r="N231">
        <f t="shared" si="7"/>
        <v>2800</v>
      </c>
      <c r="O231">
        <f t="shared" si="6"/>
        <v>854.15000000000009</v>
      </c>
      <c r="P231">
        <f>Table1[[#This Row],[Quantity]]*Table1[[#This Row],[unit_price]]*Table1[[#This Row],[Discount]]</f>
        <v>644.85</v>
      </c>
      <c r="Q231" t="str">
        <f>VLOOKUP(E231,Products!$A$2:$E$23,2,0)</f>
        <v>Bookshelf</v>
      </c>
      <c r="R231" t="str">
        <f>VLOOKUP(Table1[[#This Row],[Product ID]],Products!$A$2:$E$23,3,0)</f>
        <v>Furniture</v>
      </c>
      <c r="S231" t="str">
        <f>VLOOKUP(C231,Customers!$A$2:$F$201,4,0)</f>
        <v>Gujarat</v>
      </c>
      <c r="T231" t="str">
        <f>VLOOKUP(Table1[[#This Row],[Customer ID]],Customers!$A$2:$F$201,5,0)</f>
        <v>West</v>
      </c>
      <c r="U231" t="str">
        <f>VLOOKUP(Table1[[#This Row],[Customer ID]],Customers!$A$2:$F$201,6,0)</f>
        <v>Home Office</v>
      </c>
      <c r="V231" t="str">
        <f>TEXT(Table1[[#This Row],[Order Date]],"MMM")</f>
        <v>May</v>
      </c>
      <c r="W231" t="str">
        <f>TEXT(Table1[[#This Row],[Order Date]],"yyyy")</f>
        <v>2024</v>
      </c>
    </row>
    <row r="232" spans="1:23" x14ac:dyDescent="0.25">
      <c r="A232" s="2" t="s">
        <v>418</v>
      </c>
      <c r="B232" s="4">
        <v>45430</v>
      </c>
      <c r="C232" s="2" t="s">
        <v>160</v>
      </c>
      <c r="D232" s="2" t="str">
        <f>TEXT(Table1[[#This Row],[Order Date]],"mmmm")</f>
        <v>May</v>
      </c>
      <c r="E232" s="2" t="s">
        <v>66</v>
      </c>
      <c r="F232" s="2">
        <v>2</v>
      </c>
      <c r="G232" s="5">
        <v>0.05</v>
      </c>
      <c r="H232" s="2" t="s">
        <v>30</v>
      </c>
      <c r="I232" s="2" t="s">
        <v>31</v>
      </c>
      <c r="J232" s="2" t="s">
        <v>21</v>
      </c>
      <c r="K232">
        <f>VLOOKUP(E232,Products!$A$2:$E$23,5,0)</f>
        <v>1299</v>
      </c>
      <c r="L232">
        <f>VLOOKUP(E232,Products!$A$2:$E$23,4,0)</f>
        <v>800</v>
      </c>
      <c r="M232" s="2">
        <f>K232*F232-Table1[[#This Row],[discount_amount]]</f>
        <v>2468.1</v>
      </c>
      <c r="N232">
        <f t="shared" si="7"/>
        <v>1600</v>
      </c>
      <c r="O232">
        <f t="shared" si="6"/>
        <v>868.09999999999991</v>
      </c>
      <c r="P232">
        <f>Table1[[#This Row],[Quantity]]*Table1[[#This Row],[unit_price]]*Table1[[#This Row],[Discount]]</f>
        <v>129.9</v>
      </c>
      <c r="Q232" t="str">
        <f>VLOOKUP(E232,Products!$A$2:$E$23,2,0)</f>
        <v>Power Bank 10000mAh</v>
      </c>
      <c r="R232" t="str">
        <f>VLOOKUP(Table1[[#This Row],[Product ID]],Products!$A$2:$E$23,3,0)</f>
        <v>Electronics</v>
      </c>
      <c r="S232" t="str">
        <f>VLOOKUP(C232,Customers!$A$2:$F$201,4,0)</f>
        <v>Gujarat</v>
      </c>
      <c r="T232" t="str">
        <f>VLOOKUP(Table1[[#This Row],[Customer ID]],Customers!$A$2:$F$201,5,0)</f>
        <v>West</v>
      </c>
      <c r="U232" t="str">
        <f>VLOOKUP(Table1[[#This Row],[Customer ID]],Customers!$A$2:$F$201,6,0)</f>
        <v>Consumer</v>
      </c>
      <c r="V232" t="str">
        <f>TEXT(Table1[[#This Row],[Order Date]],"MMM")</f>
        <v>May</v>
      </c>
      <c r="W232" t="str">
        <f>TEXT(Table1[[#This Row],[Order Date]],"yyyy")</f>
        <v>2024</v>
      </c>
    </row>
    <row r="233" spans="1:23" x14ac:dyDescent="0.25">
      <c r="A233" s="2" t="s">
        <v>419</v>
      </c>
      <c r="B233" s="4">
        <v>45431</v>
      </c>
      <c r="C233" s="2" t="s">
        <v>150</v>
      </c>
      <c r="D233" s="2" t="str">
        <f>TEXT(Table1[[#This Row],[Order Date]],"mmmm")</f>
        <v>May</v>
      </c>
      <c r="E233" s="2" t="s">
        <v>41</v>
      </c>
      <c r="F233" s="2">
        <v>2</v>
      </c>
      <c r="G233" s="5">
        <v>0.05</v>
      </c>
      <c r="H233" s="2" t="s">
        <v>30</v>
      </c>
      <c r="I233" s="2" t="s">
        <v>38</v>
      </c>
      <c r="J233" s="2" t="s">
        <v>21</v>
      </c>
      <c r="K233">
        <f>VLOOKUP(E233,Products!$A$2:$E$23,5,0)</f>
        <v>320</v>
      </c>
      <c r="L233">
        <f>VLOOKUP(E233,Products!$A$2:$E$23,4,0)</f>
        <v>220</v>
      </c>
      <c r="M233" s="2">
        <f>K233*F233-Table1[[#This Row],[discount_amount]]</f>
        <v>608</v>
      </c>
      <c r="N233">
        <f t="shared" si="7"/>
        <v>440</v>
      </c>
      <c r="O233">
        <f t="shared" si="6"/>
        <v>168</v>
      </c>
      <c r="P233">
        <f>Table1[[#This Row],[Quantity]]*Table1[[#This Row],[unit_price]]*Table1[[#This Row],[Discount]]</f>
        <v>32</v>
      </c>
      <c r="Q233" t="str">
        <f>VLOOKUP(E233,Products!$A$2:$E$23,2,0)</f>
        <v>A4 Paper Ream</v>
      </c>
      <c r="R233" t="str">
        <f>VLOOKUP(Table1[[#This Row],[Product ID]],Products!$A$2:$E$23,3,0)</f>
        <v>Office Supplies</v>
      </c>
      <c r="S233" t="str">
        <f>VLOOKUP(C233,Customers!$A$2:$F$201,4,0)</f>
        <v>Delhi</v>
      </c>
      <c r="T233" t="str">
        <f>VLOOKUP(Table1[[#This Row],[Customer ID]],Customers!$A$2:$F$201,5,0)</f>
        <v>North</v>
      </c>
      <c r="U233" t="str">
        <f>VLOOKUP(Table1[[#This Row],[Customer ID]],Customers!$A$2:$F$201,6,0)</f>
        <v>Corporate</v>
      </c>
      <c r="V233" t="str">
        <f>TEXT(Table1[[#This Row],[Order Date]],"MMM")</f>
        <v>May</v>
      </c>
      <c r="W233" t="str">
        <f>TEXT(Table1[[#This Row],[Order Date]],"yyyy")</f>
        <v>2024</v>
      </c>
    </row>
    <row r="234" spans="1:23" x14ac:dyDescent="0.25">
      <c r="A234" s="2" t="s">
        <v>420</v>
      </c>
      <c r="B234" s="4">
        <v>45432</v>
      </c>
      <c r="C234" s="2" t="s">
        <v>421</v>
      </c>
      <c r="D234" s="2" t="str">
        <f>TEXT(Table1[[#This Row],[Order Date]],"mmmm")</f>
        <v>May</v>
      </c>
      <c r="E234" s="2" t="s">
        <v>82</v>
      </c>
      <c r="F234" s="2">
        <v>3</v>
      </c>
      <c r="G234" s="5">
        <v>0.1</v>
      </c>
      <c r="H234" s="2" t="s">
        <v>30</v>
      </c>
      <c r="I234" s="2" t="s">
        <v>46</v>
      </c>
      <c r="J234" s="2" t="s">
        <v>21</v>
      </c>
      <c r="K234">
        <f>VLOOKUP(E234,Products!$A$2:$E$23,5,0)</f>
        <v>1799</v>
      </c>
      <c r="L234">
        <f>VLOOKUP(E234,Products!$A$2:$E$23,4,0)</f>
        <v>1100</v>
      </c>
      <c r="M234" s="2">
        <f>K234*F234-Table1[[#This Row],[discount_amount]]</f>
        <v>4857.3</v>
      </c>
      <c r="N234">
        <f t="shared" si="7"/>
        <v>3300</v>
      </c>
      <c r="O234">
        <f t="shared" si="6"/>
        <v>1557.3000000000002</v>
      </c>
      <c r="P234">
        <f>Table1[[#This Row],[Quantity]]*Table1[[#This Row],[unit_price]]*Table1[[#This Row],[Discount]]</f>
        <v>539.70000000000005</v>
      </c>
      <c r="Q234" t="str">
        <f>VLOOKUP(E234,Products!$A$2:$E$23,2,0)</f>
        <v>Webcam HD</v>
      </c>
      <c r="R234" t="str">
        <f>VLOOKUP(Table1[[#This Row],[Product ID]],Products!$A$2:$E$23,3,0)</f>
        <v>Electronics</v>
      </c>
      <c r="S234" t="str">
        <f>VLOOKUP(C234,Customers!$A$2:$F$201,4,0)</f>
        <v>Madhya Pradesh</v>
      </c>
      <c r="T234" t="str">
        <f>VLOOKUP(Table1[[#This Row],[Customer ID]],Customers!$A$2:$F$201,5,0)</f>
        <v>Central</v>
      </c>
      <c r="U234" t="str">
        <f>VLOOKUP(Table1[[#This Row],[Customer ID]],Customers!$A$2:$F$201,6,0)</f>
        <v>Consumer</v>
      </c>
      <c r="V234" t="str">
        <f>TEXT(Table1[[#This Row],[Order Date]],"MMM")</f>
        <v>May</v>
      </c>
      <c r="W234" t="str">
        <f>TEXT(Table1[[#This Row],[Order Date]],"yyyy")</f>
        <v>2024</v>
      </c>
    </row>
    <row r="235" spans="1:23" x14ac:dyDescent="0.25">
      <c r="A235" s="2" t="s">
        <v>422</v>
      </c>
      <c r="B235" s="4">
        <v>45432</v>
      </c>
      <c r="C235" s="2" t="s">
        <v>140</v>
      </c>
      <c r="D235" s="2" t="str">
        <f>TEXT(Table1[[#This Row],[Order Date]],"mmmm")</f>
        <v>May</v>
      </c>
      <c r="E235" s="2" t="s">
        <v>24</v>
      </c>
      <c r="F235" s="2">
        <v>1</v>
      </c>
      <c r="G235" s="5">
        <v>0.1</v>
      </c>
      <c r="H235" s="2" t="s">
        <v>19</v>
      </c>
      <c r="I235" s="2" t="s">
        <v>31</v>
      </c>
      <c r="J235" s="2" t="s">
        <v>94</v>
      </c>
      <c r="K235">
        <f>VLOOKUP(E235,Products!$A$2:$E$23,5,0)</f>
        <v>899</v>
      </c>
      <c r="L235">
        <f>VLOOKUP(E235,Products!$A$2:$E$23,4,0)</f>
        <v>500</v>
      </c>
      <c r="M235" s="2">
        <f>K235*F235-Table1[[#This Row],[discount_amount]]</f>
        <v>809.1</v>
      </c>
      <c r="N235">
        <f t="shared" si="7"/>
        <v>500</v>
      </c>
      <c r="O235">
        <f t="shared" si="6"/>
        <v>309.10000000000002</v>
      </c>
      <c r="P235">
        <f>Table1[[#This Row],[Quantity]]*Table1[[#This Row],[unit_price]]*Table1[[#This Row],[Discount]]</f>
        <v>89.9</v>
      </c>
      <c r="Q235" t="str">
        <f>VLOOKUP(E235,Products!$A$2:$E$23,2,0)</f>
        <v>Monitor Stand</v>
      </c>
      <c r="R235" t="str">
        <f>VLOOKUP(Table1[[#This Row],[Product ID]],Products!$A$2:$E$23,3,0)</f>
        <v>Furniture</v>
      </c>
      <c r="S235" t="str">
        <f>VLOOKUP(C235,Customers!$A$2:$F$201,4,0)</f>
        <v>Gujarat</v>
      </c>
      <c r="T235" t="str">
        <f>VLOOKUP(Table1[[#This Row],[Customer ID]],Customers!$A$2:$F$201,5,0)</f>
        <v>West</v>
      </c>
      <c r="U235" t="str">
        <f>VLOOKUP(Table1[[#This Row],[Customer ID]],Customers!$A$2:$F$201,6,0)</f>
        <v>Consumer</v>
      </c>
      <c r="V235" t="str">
        <f>TEXT(Table1[[#This Row],[Order Date]],"MMM")</f>
        <v>May</v>
      </c>
      <c r="W235" t="str">
        <f>TEXT(Table1[[#This Row],[Order Date]],"yyyy")</f>
        <v>2024</v>
      </c>
    </row>
    <row r="236" spans="1:23" x14ac:dyDescent="0.25">
      <c r="A236" s="2" t="s">
        <v>423</v>
      </c>
      <c r="B236" s="4">
        <v>45432</v>
      </c>
      <c r="C236" s="2" t="s">
        <v>217</v>
      </c>
      <c r="D236" s="2" t="str">
        <f>TEXT(Table1[[#This Row],[Order Date]],"mmmm")</f>
        <v>May</v>
      </c>
      <c r="E236" s="2" t="s">
        <v>127</v>
      </c>
      <c r="F236" s="2">
        <v>3</v>
      </c>
      <c r="G236" s="5">
        <v>0</v>
      </c>
      <c r="H236" s="2" t="s">
        <v>30</v>
      </c>
      <c r="I236" s="2" t="s">
        <v>20</v>
      </c>
      <c r="J236" s="2" t="s">
        <v>42</v>
      </c>
      <c r="K236">
        <f>VLOOKUP(E236,Products!$A$2:$E$23,5,0)</f>
        <v>1999</v>
      </c>
      <c r="L236">
        <f>VLOOKUP(E236,Products!$A$2:$E$23,4,0)</f>
        <v>1200</v>
      </c>
      <c r="M236" s="2">
        <f>K236*F236-Table1[[#This Row],[discount_amount]]</f>
        <v>5997</v>
      </c>
      <c r="N236">
        <f t="shared" si="7"/>
        <v>3600</v>
      </c>
      <c r="O236">
        <f t="shared" si="6"/>
        <v>2397</v>
      </c>
      <c r="P236">
        <f>Table1[[#This Row],[Quantity]]*Table1[[#This Row],[unit_price]]*Table1[[#This Row],[Discount]]</f>
        <v>0</v>
      </c>
      <c r="Q236" t="str">
        <f>VLOOKUP(E236,Products!$A$2:$E$23,2,0)</f>
        <v>Bluetooth Speaker</v>
      </c>
      <c r="R236" t="str">
        <f>VLOOKUP(Table1[[#This Row],[Product ID]],Products!$A$2:$E$23,3,0)</f>
        <v>Electronics</v>
      </c>
      <c r="S236" t="str">
        <f>VLOOKUP(C236,Customers!$A$2:$F$201,4,0)</f>
        <v>Madhya Pradesh</v>
      </c>
      <c r="T236" t="str">
        <f>VLOOKUP(Table1[[#This Row],[Customer ID]],Customers!$A$2:$F$201,5,0)</f>
        <v>Central</v>
      </c>
      <c r="U236" t="str">
        <f>VLOOKUP(Table1[[#This Row],[Customer ID]],Customers!$A$2:$F$201,6,0)</f>
        <v>Corporate</v>
      </c>
      <c r="V236" t="str">
        <f>TEXT(Table1[[#This Row],[Order Date]],"MMM")</f>
        <v>May</v>
      </c>
      <c r="W236" t="str">
        <f>TEXT(Table1[[#This Row],[Order Date]],"yyyy")</f>
        <v>2024</v>
      </c>
    </row>
    <row r="237" spans="1:23" x14ac:dyDescent="0.25">
      <c r="A237" s="2" t="s">
        <v>424</v>
      </c>
      <c r="B237" s="4">
        <v>45432</v>
      </c>
      <c r="C237" s="2" t="s">
        <v>425</v>
      </c>
      <c r="D237" s="2" t="str">
        <f>TEXT(Table1[[#This Row],[Order Date]],"mmmm")</f>
        <v>May</v>
      </c>
      <c r="E237" s="2" t="s">
        <v>54</v>
      </c>
      <c r="F237" s="2">
        <v>10</v>
      </c>
      <c r="G237" s="5">
        <v>0</v>
      </c>
      <c r="H237" s="2" t="s">
        <v>30</v>
      </c>
      <c r="I237" s="2" t="s">
        <v>38</v>
      </c>
      <c r="J237" s="2" t="s">
        <v>21</v>
      </c>
      <c r="K237">
        <f>VLOOKUP(E237,Products!$A$2:$E$23,5,0)</f>
        <v>299</v>
      </c>
      <c r="L237">
        <f>VLOOKUP(E237,Products!$A$2:$E$23,4,0)</f>
        <v>180</v>
      </c>
      <c r="M237" s="2">
        <f>K237*F237-Table1[[#This Row],[discount_amount]]</f>
        <v>2990</v>
      </c>
      <c r="N237">
        <f t="shared" si="7"/>
        <v>1800</v>
      </c>
      <c r="O237">
        <f t="shared" si="6"/>
        <v>1190</v>
      </c>
      <c r="P237">
        <f>Table1[[#This Row],[Quantity]]*Table1[[#This Row],[unit_price]]*Table1[[#This Row],[Discount]]</f>
        <v>0</v>
      </c>
      <c r="Q237" t="str">
        <f>VLOOKUP(E237,Products!$A$2:$E$23,2,0)</f>
        <v>Notebook Pack of 5</v>
      </c>
      <c r="R237" t="str">
        <f>VLOOKUP(Table1[[#This Row],[Product ID]],Products!$A$2:$E$23,3,0)</f>
        <v>Office Supplies</v>
      </c>
      <c r="S237" t="str">
        <f>VLOOKUP(C237,Customers!$A$2:$F$201,4,0)</f>
        <v>Chandigarh</v>
      </c>
      <c r="T237" t="str">
        <f>VLOOKUP(Table1[[#This Row],[Customer ID]],Customers!$A$2:$F$201,5,0)</f>
        <v>North</v>
      </c>
      <c r="U237" t="str">
        <f>VLOOKUP(Table1[[#This Row],[Customer ID]],Customers!$A$2:$F$201,6,0)</f>
        <v>Corporate</v>
      </c>
      <c r="V237" t="str">
        <f>TEXT(Table1[[#This Row],[Order Date]],"MMM")</f>
        <v>May</v>
      </c>
      <c r="W237" t="str">
        <f>TEXT(Table1[[#This Row],[Order Date]],"yyyy")</f>
        <v>2024</v>
      </c>
    </row>
    <row r="238" spans="1:23" x14ac:dyDescent="0.25">
      <c r="A238" s="2" t="s">
        <v>426</v>
      </c>
      <c r="B238" s="4">
        <v>45433</v>
      </c>
      <c r="C238" s="2" t="s">
        <v>345</v>
      </c>
      <c r="D238" s="2" t="str">
        <f>TEXT(Table1[[#This Row],[Order Date]],"mmmm")</f>
        <v>May</v>
      </c>
      <c r="E238" s="2" t="s">
        <v>49</v>
      </c>
      <c r="F238" s="2">
        <v>2</v>
      </c>
      <c r="G238" s="5">
        <v>0</v>
      </c>
      <c r="H238" s="2" t="s">
        <v>19</v>
      </c>
      <c r="I238" s="2" t="s">
        <v>38</v>
      </c>
      <c r="J238" s="2" t="s">
        <v>21</v>
      </c>
      <c r="K238">
        <f>VLOOKUP(E238,Products!$A$2:$E$23,5,0)</f>
        <v>700</v>
      </c>
      <c r="L238">
        <f>VLOOKUP(E238,Products!$A$2:$E$23,4,0)</f>
        <v>450</v>
      </c>
      <c r="M238" s="2">
        <f>K238*F238-Table1[[#This Row],[discount_amount]]</f>
        <v>1400</v>
      </c>
      <c r="N238">
        <f t="shared" si="7"/>
        <v>900</v>
      </c>
      <c r="O238">
        <f t="shared" si="6"/>
        <v>500</v>
      </c>
      <c r="P238">
        <f>Table1[[#This Row],[Quantity]]*Table1[[#This Row],[unit_price]]*Table1[[#This Row],[Discount]]</f>
        <v>0</v>
      </c>
      <c r="Q238" t="str">
        <f>VLOOKUP(E238,Products!$A$2:$E$23,2,0)</f>
        <v>Wireless Mouse</v>
      </c>
      <c r="R238" t="str">
        <f>VLOOKUP(Table1[[#This Row],[Product ID]],Products!$A$2:$E$23,3,0)</f>
        <v>Electronics</v>
      </c>
      <c r="S238" t="str">
        <f>VLOOKUP(C238,Customers!$A$2:$F$201,4,0)</f>
        <v>Gujarat</v>
      </c>
      <c r="T238" t="str">
        <f>VLOOKUP(Table1[[#This Row],[Customer ID]],Customers!$A$2:$F$201,5,0)</f>
        <v>West</v>
      </c>
      <c r="U238" t="str">
        <f>VLOOKUP(Table1[[#This Row],[Customer ID]],Customers!$A$2:$F$201,6,0)</f>
        <v>Consumer</v>
      </c>
      <c r="V238" t="str">
        <f>TEXT(Table1[[#This Row],[Order Date]],"MMM")</f>
        <v>May</v>
      </c>
      <c r="W238" t="str">
        <f>TEXT(Table1[[#This Row],[Order Date]],"yyyy")</f>
        <v>2024</v>
      </c>
    </row>
    <row r="239" spans="1:23" x14ac:dyDescent="0.25">
      <c r="A239" s="2" t="s">
        <v>427</v>
      </c>
      <c r="B239" s="4">
        <v>45434</v>
      </c>
      <c r="C239" s="2" t="s">
        <v>428</v>
      </c>
      <c r="D239" s="2" t="str">
        <f>TEXT(Table1[[#This Row],[Order Date]],"mmmm")</f>
        <v>May</v>
      </c>
      <c r="E239" s="2" t="s">
        <v>91</v>
      </c>
      <c r="F239" s="2">
        <v>3</v>
      </c>
      <c r="G239" s="5">
        <v>0.15</v>
      </c>
      <c r="H239" s="2" t="s">
        <v>30</v>
      </c>
      <c r="I239" s="2" t="s">
        <v>46</v>
      </c>
      <c r="J239" s="2" t="s">
        <v>21</v>
      </c>
      <c r="K239">
        <f>VLOOKUP(E239,Products!$A$2:$E$23,5,0)</f>
        <v>1199</v>
      </c>
      <c r="L239">
        <f>VLOOKUP(E239,Products!$A$2:$E$23,4,0)</f>
        <v>600</v>
      </c>
      <c r="M239" s="2">
        <f>K239*F239-Table1[[#This Row],[discount_amount]]</f>
        <v>3057.45</v>
      </c>
      <c r="N239">
        <f t="shared" si="7"/>
        <v>1800</v>
      </c>
      <c r="O239">
        <f t="shared" si="6"/>
        <v>1257.4499999999998</v>
      </c>
      <c r="P239">
        <f>Table1[[#This Row],[Quantity]]*Table1[[#This Row],[unit_price]]*Table1[[#This Row],[Discount]]</f>
        <v>539.54999999999995</v>
      </c>
      <c r="Q239" t="str">
        <f>VLOOKUP(E239,Products!$A$2:$E$23,2,0)</f>
        <v>Formal Shirt</v>
      </c>
      <c r="R239" t="str">
        <f>VLOOKUP(Table1[[#This Row],[Product ID]],Products!$A$2:$E$23,3,0)</f>
        <v>Clothing</v>
      </c>
      <c r="S239" t="str">
        <f>VLOOKUP(C239,Customers!$A$2:$F$201,4,0)</f>
        <v>Madhya Pradesh</v>
      </c>
      <c r="T239" t="str">
        <f>VLOOKUP(Table1[[#This Row],[Customer ID]],Customers!$A$2:$F$201,5,0)</f>
        <v>Central</v>
      </c>
      <c r="U239" t="str">
        <f>VLOOKUP(Table1[[#This Row],[Customer ID]],Customers!$A$2:$F$201,6,0)</f>
        <v>Consumer</v>
      </c>
      <c r="V239" t="str">
        <f>TEXT(Table1[[#This Row],[Order Date]],"MMM")</f>
        <v>May</v>
      </c>
      <c r="W239" t="str">
        <f>TEXT(Table1[[#This Row],[Order Date]],"yyyy")</f>
        <v>2024</v>
      </c>
    </row>
    <row r="240" spans="1:23" x14ac:dyDescent="0.25">
      <c r="A240" s="2" t="s">
        <v>429</v>
      </c>
      <c r="B240" s="4">
        <v>45435</v>
      </c>
      <c r="C240" s="2" t="s">
        <v>366</v>
      </c>
      <c r="D240" s="2" t="str">
        <f>TEXT(Table1[[#This Row],[Order Date]],"mmmm")</f>
        <v>May</v>
      </c>
      <c r="E240" s="2" t="s">
        <v>57</v>
      </c>
      <c r="F240" s="2">
        <v>2</v>
      </c>
      <c r="G240" s="5">
        <v>0</v>
      </c>
      <c r="H240" s="2" t="s">
        <v>19</v>
      </c>
      <c r="I240" s="2" t="s">
        <v>38</v>
      </c>
      <c r="J240" s="2" t="s">
        <v>21</v>
      </c>
      <c r="K240">
        <f>VLOOKUP(E240,Products!$A$2:$E$23,5,0)</f>
        <v>1599</v>
      </c>
      <c r="L240">
        <f>VLOOKUP(E240,Products!$A$2:$E$23,4,0)</f>
        <v>800</v>
      </c>
      <c r="M240" s="2">
        <f>K240*F240-Table1[[#This Row],[discount_amount]]</f>
        <v>3198</v>
      </c>
      <c r="N240">
        <f t="shared" si="7"/>
        <v>1600</v>
      </c>
      <c r="O240">
        <f t="shared" si="6"/>
        <v>1598</v>
      </c>
      <c r="P240">
        <f>Table1[[#This Row],[Quantity]]*Table1[[#This Row],[unit_price]]*Table1[[#This Row],[Discount]]</f>
        <v>0</v>
      </c>
      <c r="Q240" t="str">
        <f>VLOOKUP(E240,Products!$A$2:$E$23,2,0)</f>
        <v>Hoodie</v>
      </c>
      <c r="R240" t="str">
        <f>VLOOKUP(Table1[[#This Row],[Product ID]],Products!$A$2:$E$23,3,0)</f>
        <v>Clothing</v>
      </c>
      <c r="S240" t="str">
        <f>VLOOKUP(C240,Customers!$A$2:$F$201,4,0)</f>
        <v>Bihar</v>
      </c>
      <c r="T240" t="str">
        <f>VLOOKUP(Table1[[#This Row],[Customer ID]],Customers!$A$2:$F$201,5,0)</f>
        <v>East</v>
      </c>
      <c r="U240" t="str">
        <f>VLOOKUP(Table1[[#This Row],[Customer ID]],Customers!$A$2:$F$201,6,0)</f>
        <v>Home Office</v>
      </c>
      <c r="V240" t="str">
        <f>TEXT(Table1[[#This Row],[Order Date]],"MMM")</f>
        <v>May</v>
      </c>
      <c r="W240" t="str">
        <f>TEXT(Table1[[#This Row],[Order Date]],"yyyy")</f>
        <v>2024</v>
      </c>
    </row>
    <row r="241" spans="1:23" x14ac:dyDescent="0.25">
      <c r="A241" s="2" t="s">
        <v>430</v>
      </c>
      <c r="B241" s="4">
        <v>45436</v>
      </c>
      <c r="C241" s="2" t="s">
        <v>205</v>
      </c>
      <c r="D241" s="2" t="str">
        <f>TEXT(Table1[[#This Row],[Order Date]],"mmmm")</f>
        <v>May</v>
      </c>
      <c r="E241" s="2" t="s">
        <v>127</v>
      </c>
      <c r="F241" s="2">
        <v>1</v>
      </c>
      <c r="G241" s="5">
        <v>0</v>
      </c>
      <c r="H241" s="2" t="s">
        <v>25</v>
      </c>
      <c r="I241" s="2" t="s">
        <v>20</v>
      </c>
      <c r="J241" s="2" t="s">
        <v>21</v>
      </c>
      <c r="K241">
        <f>VLOOKUP(E241,Products!$A$2:$E$23,5,0)</f>
        <v>1999</v>
      </c>
      <c r="L241">
        <f>VLOOKUP(E241,Products!$A$2:$E$23,4,0)</f>
        <v>1200</v>
      </c>
      <c r="M241" s="2">
        <f>K241*F241-Table1[[#This Row],[discount_amount]]</f>
        <v>1999</v>
      </c>
      <c r="N241">
        <f t="shared" si="7"/>
        <v>1200</v>
      </c>
      <c r="O241">
        <f t="shared" si="6"/>
        <v>799</v>
      </c>
      <c r="P241">
        <f>Table1[[#This Row],[Quantity]]*Table1[[#This Row],[unit_price]]*Table1[[#This Row],[Discount]]</f>
        <v>0</v>
      </c>
      <c r="Q241" t="str">
        <f>VLOOKUP(E241,Products!$A$2:$E$23,2,0)</f>
        <v>Bluetooth Speaker</v>
      </c>
      <c r="R241" t="str">
        <f>VLOOKUP(Table1[[#This Row],[Product ID]],Products!$A$2:$E$23,3,0)</f>
        <v>Electronics</v>
      </c>
      <c r="S241" t="str">
        <f>VLOOKUP(C241,Customers!$A$2:$F$201,4,0)</f>
        <v>Gujarat</v>
      </c>
      <c r="T241" t="str">
        <f>VLOOKUP(Table1[[#This Row],[Customer ID]],Customers!$A$2:$F$201,5,0)</f>
        <v>West</v>
      </c>
      <c r="U241" t="str">
        <f>VLOOKUP(Table1[[#This Row],[Customer ID]],Customers!$A$2:$F$201,6,0)</f>
        <v>Consumer</v>
      </c>
      <c r="V241" t="str">
        <f>TEXT(Table1[[#This Row],[Order Date]],"MMM")</f>
        <v>May</v>
      </c>
      <c r="W241" t="str">
        <f>TEXT(Table1[[#This Row],[Order Date]],"yyyy")</f>
        <v>2024</v>
      </c>
    </row>
    <row r="242" spans="1:23" x14ac:dyDescent="0.25">
      <c r="A242" s="2" t="s">
        <v>431</v>
      </c>
      <c r="B242" s="4">
        <v>45436</v>
      </c>
      <c r="C242" s="2" t="s">
        <v>313</v>
      </c>
      <c r="D242" s="2" t="str">
        <f>TEXT(Table1[[#This Row],[Order Date]],"mmmm")</f>
        <v>May</v>
      </c>
      <c r="E242" s="2" t="s">
        <v>111</v>
      </c>
      <c r="F242" s="2">
        <v>5</v>
      </c>
      <c r="G242" s="5">
        <v>0.1</v>
      </c>
      <c r="H242" s="2" t="s">
        <v>30</v>
      </c>
      <c r="I242" s="2" t="s">
        <v>46</v>
      </c>
      <c r="J242" s="2" t="s">
        <v>21</v>
      </c>
      <c r="K242">
        <f>VLOOKUP(E242,Products!$A$2:$E$23,5,0)</f>
        <v>240</v>
      </c>
      <c r="L242">
        <f>VLOOKUP(E242,Products!$A$2:$E$23,4,0)</f>
        <v>140</v>
      </c>
      <c r="M242" s="2">
        <f>K242*F242-Table1[[#This Row],[discount_amount]]</f>
        <v>1080</v>
      </c>
      <c r="N242">
        <f t="shared" si="7"/>
        <v>700</v>
      </c>
      <c r="O242">
        <f t="shared" si="6"/>
        <v>380</v>
      </c>
      <c r="P242">
        <f>Table1[[#This Row],[Quantity]]*Table1[[#This Row],[unit_price]]*Table1[[#This Row],[Discount]]</f>
        <v>120</v>
      </c>
      <c r="Q242" t="str">
        <f>VLOOKUP(E242,Products!$A$2:$E$23,2,0)</f>
        <v>Whiteboard Marker Set</v>
      </c>
      <c r="R242" t="str">
        <f>VLOOKUP(Table1[[#This Row],[Product ID]],Products!$A$2:$E$23,3,0)</f>
        <v>Office Supplies</v>
      </c>
      <c r="S242" t="str">
        <f>VLOOKUP(C242,Customers!$A$2:$F$201,4,0)</f>
        <v>Kerala</v>
      </c>
      <c r="T242" t="str">
        <f>VLOOKUP(Table1[[#This Row],[Customer ID]],Customers!$A$2:$F$201,5,0)</f>
        <v>South</v>
      </c>
      <c r="U242" t="str">
        <f>VLOOKUP(Table1[[#This Row],[Customer ID]],Customers!$A$2:$F$201,6,0)</f>
        <v>Consumer</v>
      </c>
      <c r="V242" t="str">
        <f>TEXT(Table1[[#This Row],[Order Date]],"MMM")</f>
        <v>May</v>
      </c>
      <c r="W242" t="str">
        <f>TEXT(Table1[[#This Row],[Order Date]],"yyyy")</f>
        <v>2024</v>
      </c>
    </row>
    <row r="243" spans="1:23" x14ac:dyDescent="0.25">
      <c r="A243" s="2" t="s">
        <v>432</v>
      </c>
      <c r="B243" s="4">
        <v>45437</v>
      </c>
      <c r="C243" s="2" t="s">
        <v>56</v>
      </c>
      <c r="D243" s="2" t="str">
        <f>TEXT(Table1[[#This Row],[Order Date]],"mmmm")</f>
        <v>May</v>
      </c>
      <c r="E243" s="2" t="s">
        <v>18</v>
      </c>
      <c r="F243" s="2">
        <v>6</v>
      </c>
      <c r="G243" s="5">
        <v>0.15</v>
      </c>
      <c r="H243" s="2" t="s">
        <v>25</v>
      </c>
      <c r="I243" s="2" t="s">
        <v>31</v>
      </c>
      <c r="J243" s="2" t="s">
        <v>21</v>
      </c>
      <c r="K243">
        <f>VLOOKUP(E243,Products!$A$2:$E$23,5,0)</f>
        <v>4299</v>
      </c>
      <c r="L243">
        <f>VLOOKUP(E243,Products!$A$2:$E$23,4,0)</f>
        <v>2800</v>
      </c>
      <c r="M243" s="2">
        <f>K243*F243-Table1[[#This Row],[discount_amount]]</f>
        <v>21924.9</v>
      </c>
      <c r="N243">
        <f t="shared" si="7"/>
        <v>16800</v>
      </c>
      <c r="O243">
        <f t="shared" si="6"/>
        <v>5124.9000000000015</v>
      </c>
      <c r="P243">
        <f>Table1[[#This Row],[Quantity]]*Table1[[#This Row],[unit_price]]*Table1[[#This Row],[Discount]]</f>
        <v>3869.1</v>
      </c>
      <c r="Q243" t="str">
        <f>VLOOKUP(E243,Products!$A$2:$E$23,2,0)</f>
        <v>Bookshelf</v>
      </c>
      <c r="R243" t="str">
        <f>VLOOKUP(Table1[[#This Row],[Product ID]],Products!$A$2:$E$23,3,0)</f>
        <v>Furniture</v>
      </c>
      <c r="S243" t="str">
        <f>VLOOKUP(C243,Customers!$A$2:$F$201,4,0)</f>
        <v>Maharashtra</v>
      </c>
      <c r="T243" t="str">
        <f>VLOOKUP(Table1[[#This Row],[Customer ID]],Customers!$A$2:$F$201,5,0)</f>
        <v>West</v>
      </c>
      <c r="U243" t="str">
        <f>VLOOKUP(Table1[[#This Row],[Customer ID]],Customers!$A$2:$F$201,6,0)</f>
        <v>Consumer</v>
      </c>
      <c r="V243" t="str">
        <f>TEXT(Table1[[#This Row],[Order Date]],"MMM")</f>
        <v>May</v>
      </c>
      <c r="W243" t="str">
        <f>TEXT(Table1[[#This Row],[Order Date]],"yyyy")</f>
        <v>2024</v>
      </c>
    </row>
    <row r="244" spans="1:23" x14ac:dyDescent="0.25">
      <c r="A244" s="2" t="s">
        <v>433</v>
      </c>
      <c r="B244" s="4">
        <v>45437</v>
      </c>
      <c r="C244" s="2" t="s">
        <v>166</v>
      </c>
      <c r="D244" s="2" t="str">
        <f>TEXT(Table1[[#This Row],[Order Date]],"mmmm")</f>
        <v>May</v>
      </c>
      <c r="E244" s="2" t="s">
        <v>73</v>
      </c>
      <c r="F244" s="2">
        <v>3</v>
      </c>
      <c r="G244" s="5">
        <v>0.05</v>
      </c>
      <c r="H244" s="2" t="s">
        <v>19</v>
      </c>
      <c r="I244" s="2" t="s">
        <v>38</v>
      </c>
      <c r="J244" s="2" t="s">
        <v>79</v>
      </c>
      <c r="K244">
        <f>VLOOKUP(E244,Products!$A$2:$E$23,5,0)</f>
        <v>6499</v>
      </c>
      <c r="L244">
        <f>VLOOKUP(E244,Products!$A$2:$E$23,4,0)</f>
        <v>4200</v>
      </c>
      <c r="M244" s="2">
        <f>K244*F244-Table1[[#This Row],[discount_amount]]</f>
        <v>18522.150000000001</v>
      </c>
      <c r="N244">
        <f t="shared" si="7"/>
        <v>12600</v>
      </c>
      <c r="O244">
        <f t="shared" si="6"/>
        <v>5922.1500000000015</v>
      </c>
      <c r="P244">
        <f>Table1[[#This Row],[Quantity]]*Table1[[#This Row],[unit_price]]*Table1[[#This Row],[Discount]]</f>
        <v>974.85</v>
      </c>
      <c r="Q244" t="str">
        <f>VLOOKUP(E244,Products!$A$2:$E$23,2,0)</f>
        <v>Study Table</v>
      </c>
      <c r="R244" t="str">
        <f>VLOOKUP(Table1[[#This Row],[Product ID]],Products!$A$2:$E$23,3,0)</f>
        <v>Furniture</v>
      </c>
      <c r="S244" t="str">
        <f>VLOOKUP(C244,Customers!$A$2:$F$201,4,0)</f>
        <v>Gujarat</v>
      </c>
      <c r="T244" t="str">
        <f>VLOOKUP(Table1[[#This Row],[Customer ID]],Customers!$A$2:$F$201,5,0)</f>
        <v>West</v>
      </c>
      <c r="U244" t="str">
        <f>VLOOKUP(Table1[[#This Row],[Customer ID]],Customers!$A$2:$F$201,6,0)</f>
        <v>Consumer</v>
      </c>
      <c r="V244" t="str">
        <f>TEXT(Table1[[#This Row],[Order Date]],"MMM")</f>
        <v>May</v>
      </c>
      <c r="W244" t="str">
        <f>TEXT(Table1[[#This Row],[Order Date]],"yyyy")</f>
        <v>2024</v>
      </c>
    </row>
    <row r="245" spans="1:23" x14ac:dyDescent="0.25">
      <c r="A245" s="2" t="s">
        <v>434</v>
      </c>
      <c r="B245" s="4">
        <v>45438</v>
      </c>
      <c r="C245" s="2" t="s">
        <v>56</v>
      </c>
      <c r="D245" s="2" t="str">
        <f>TEXT(Table1[[#This Row],[Order Date]],"mmmm")</f>
        <v>May</v>
      </c>
      <c r="E245" s="2" t="s">
        <v>29</v>
      </c>
      <c r="F245" s="2">
        <v>5</v>
      </c>
      <c r="G245" s="5">
        <v>0</v>
      </c>
      <c r="H245" s="2" t="s">
        <v>25</v>
      </c>
      <c r="I245" s="2" t="s">
        <v>46</v>
      </c>
      <c r="J245" s="2" t="s">
        <v>21</v>
      </c>
      <c r="K245">
        <f>VLOOKUP(E245,Products!$A$2:$E$23,5,0)</f>
        <v>599</v>
      </c>
      <c r="L245">
        <f>VLOOKUP(E245,Products!$A$2:$E$23,4,0)</f>
        <v>350</v>
      </c>
      <c r="M245" s="2">
        <f>K245*F245-Table1[[#This Row],[discount_amount]]</f>
        <v>2995</v>
      </c>
      <c r="N245">
        <f t="shared" si="7"/>
        <v>1750</v>
      </c>
      <c r="O245">
        <f t="shared" si="6"/>
        <v>1245</v>
      </c>
      <c r="P245">
        <f>Table1[[#This Row],[Quantity]]*Table1[[#This Row],[unit_price]]*Table1[[#This Row],[Discount]]</f>
        <v>0</v>
      </c>
      <c r="Q245" t="str">
        <f>VLOOKUP(E245,Products!$A$2:$E$23,2,0)</f>
        <v>USB Flash Drive 64GB</v>
      </c>
      <c r="R245" t="str">
        <f>VLOOKUP(Table1[[#This Row],[Product ID]],Products!$A$2:$E$23,3,0)</f>
        <v>Electronics</v>
      </c>
      <c r="S245" t="str">
        <f>VLOOKUP(C245,Customers!$A$2:$F$201,4,0)</f>
        <v>Maharashtra</v>
      </c>
      <c r="T245" t="str">
        <f>VLOOKUP(Table1[[#This Row],[Customer ID]],Customers!$A$2:$F$201,5,0)</f>
        <v>West</v>
      </c>
      <c r="U245" t="str">
        <f>VLOOKUP(Table1[[#This Row],[Customer ID]],Customers!$A$2:$F$201,6,0)</f>
        <v>Consumer</v>
      </c>
      <c r="V245" t="str">
        <f>TEXT(Table1[[#This Row],[Order Date]],"MMM")</f>
        <v>May</v>
      </c>
      <c r="W245" t="str">
        <f>TEXT(Table1[[#This Row],[Order Date]],"yyyy")</f>
        <v>2024</v>
      </c>
    </row>
    <row r="246" spans="1:23" x14ac:dyDescent="0.25">
      <c r="A246" s="2" t="s">
        <v>435</v>
      </c>
      <c r="B246" s="4">
        <v>45438</v>
      </c>
      <c r="C246" s="2" t="s">
        <v>383</v>
      </c>
      <c r="D246" s="2" t="str">
        <f>TEXT(Table1[[#This Row],[Order Date]],"mmmm")</f>
        <v>May</v>
      </c>
      <c r="E246" s="2" t="s">
        <v>57</v>
      </c>
      <c r="F246" s="2">
        <v>1</v>
      </c>
      <c r="G246" s="5">
        <v>0.2</v>
      </c>
      <c r="H246" s="2" t="s">
        <v>19</v>
      </c>
      <c r="I246" s="2" t="s">
        <v>20</v>
      </c>
      <c r="J246" s="2" t="s">
        <v>21</v>
      </c>
      <c r="K246">
        <f>VLOOKUP(E246,Products!$A$2:$E$23,5,0)</f>
        <v>1599</v>
      </c>
      <c r="L246">
        <f>VLOOKUP(E246,Products!$A$2:$E$23,4,0)</f>
        <v>800</v>
      </c>
      <c r="M246" s="2">
        <f>K246*F246-Table1[[#This Row],[discount_amount]]</f>
        <v>1279.2</v>
      </c>
      <c r="N246">
        <f t="shared" si="7"/>
        <v>800</v>
      </c>
      <c r="O246">
        <f t="shared" si="6"/>
        <v>479.20000000000005</v>
      </c>
      <c r="P246">
        <f>Table1[[#This Row],[Quantity]]*Table1[[#This Row],[unit_price]]*Table1[[#This Row],[Discount]]</f>
        <v>319.8</v>
      </c>
      <c r="Q246" t="str">
        <f>VLOOKUP(E246,Products!$A$2:$E$23,2,0)</f>
        <v>Hoodie</v>
      </c>
      <c r="R246" t="str">
        <f>VLOOKUP(Table1[[#This Row],[Product ID]],Products!$A$2:$E$23,3,0)</f>
        <v>Clothing</v>
      </c>
      <c r="S246" t="str">
        <f>VLOOKUP(C246,Customers!$A$2:$F$201,4,0)</f>
        <v>Bihar</v>
      </c>
      <c r="T246" t="str">
        <f>VLOOKUP(Table1[[#This Row],[Customer ID]],Customers!$A$2:$F$201,5,0)</f>
        <v>East</v>
      </c>
      <c r="U246" t="str">
        <f>VLOOKUP(Table1[[#This Row],[Customer ID]],Customers!$A$2:$F$201,6,0)</f>
        <v>Home Office</v>
      </c>
      <c r="V246" t="str">
        <f>TEXT(Table1[[#This Row],[Order Date]],"MMM")</f>
        <v>May</v>
      </c>
      <c r="W246" t="str">
        <f>TEXT(Table1[[#This Row],[Order Date]],"yyyy")</f>
        <v>2024</v>
      </c>
    </row>
    <row r="247" spans="1:23" x14ac:dyDescent="0.25">
      <c r="A247" s="2" t="s">
        <v>436</v>
      </c>
      <c r="B247" s="4">
        <v>45439</v>
      </c>
      <c r="C247" s="2" t="s">
        <v>437</v>
      </c>
      <c r="D247" s="2" t="str">
        <f>TEXT(Table1[[#This Row],[Order Date]],"mmmm")</f>
        <v>May</v>
      </c>
      <c r="E247" s="2" t="s">
        <v>121</v>
      </c>
      <c r="F247" s="2">
        <v>4</v>
      </c>
      <c r="G247" s="5">
        <v>0.15</v>
      </c>
      <c r="H247" s="2" t="s">
        <v>19</v>
      </c>
      <c r="I247" s="2" t="s">
        <v>26</v>
      </c>
      <c r="J247" s="2" t="s">
        <v>21</v>
      </c>
      <c r="K247">
        <f>VLOOKUP(E247,Products!$A$2:$E$23,5,0)</f>
        <v>499</v>
      </c>
      <c r="L247">
        <f>VLOOKUP(E247,Products!$A$2:$E$23,4,0)</f>
        <v>250</v>
      </c>
      <c r="M247" s="2">
        <f>K247*F247-Table1[[#This Row],[discount_amount]]</f>
        <v>1696.6</v>
      </c>
      <c r="N247">
        <f t="shared" si="7"/>
        <v>1000</v>
      </c>
      <c r="O247">
        <f t="shared" si="6"/>
        <v>696.59999999999991</v>
      </c>
      <c r="P247">
        <f>Table1[[#This Row],[Quantity]]*Table1[[#This Row],[unit_price]]*Table1[[#This Row],[Discount]]</f>
        <v>299.39999999999998</v>
      </c>
      <c r="Q247" t="str">
        <f>VLOOKUP(E247,Products!$A$2:$E$23,2,0)</f>
        <v>Cotton T-Shirt</v>
      </c>
      <c r="R247" t="str">
        <f>VLOOKUP(Table1[[#This Row],[Product ID]],Products!$A$2:$E$23,3,0)</f>
        <v>Clothing</v>
      </c>
      <c r="S247" t="str">
        <f>VLOOKUP(C247,Customers!$A$2:$F$201,4,0)</f>
        <v>Maharashtra</v>
      </c>
      <c r="T247" t="str">
        <f>VLOOKUP(Table1[[#This Row],[Customer ID]],Customers!$A$2:$F$201,5,0)</f>
        <v>Central</v>
      </c>
      <c r="U247" t="str">
        <f>VLOOKUP(Table1[[#This Row],[Customer ID]],Customers!$A$2:$F$201,6,0)</f>
        <v>Consumer</v>
      </c>
      <c r="V247" t="str">
        <f>TEXT(Table1[[#This Row],[Order Date]],"MMM")</f>
        <v>May</v>
      </c>
      <c r="W247" t="str">
        <f>TEXT(Table1[[#This Row],[Order Date]],"yyyy")</f>
        <v>2024</v>
      </c>
    </row>
    <row r="248" spans="1:23" x14ac:dyDescent="0.25">
      <c r="A248" s="2" t="s">
        <v>438</v>
      </c>
      <c r="B248" s="4">
        <v>45439</v>
      </c>
      <c r="C248" s="2" t="s">
        <v>439</v>
      </c>
      <c r="D248" s="2" t="str">
        <f>TEXT(Table1[[#This Row],[Order Date]],"mmmm")</f>
        <v>May</v>
      </c>
      <c r="E248" s="2" t="s">
        <v>82</v>
      </c>
      <c r="F248" s="2">
        <v>4</v>
      </c>
      <c r="G248" s="5">
        <v>0.05</v>
      </c>
      <c r="H248" s="2" t="s">
        <v>19</v>
      </c>
      <c r="I248" s="2" t="s">
        <v>38</v>
      </c>
      <c r="J248" s="2" t="s">
        <v>21</v>
      </c>
      <c r="K248">
        <f>VLOOKUP(E248,Products!$A$2:$E$23,5,0)</f>
        <v>1799</v>
      </c>
      <c r="L248">
        <f>VLOOKUP(E248,Products!$A$2:$E$23,4,0)</f>
        <v>1100</v>
      </c>
      <c r="M248" s="2">
        <f>K248*F248-Table1[[#This Row],[discount_amount]]</f>
        <v>6836.2</v>
      </c>
      <c r="N248">
        <f t="shared" si="7"/>
        <v>4400</v>
      </c>
      <c r="O248">
        <f t="shared" si="6"/>
        <v>2436.1999999999998</v>
      </c>
      <c r="P248">
        <f>Table1[[#This Row],[Quantity]]*Table1[[#This Row],[unit_price]]*Table1[[#This Row],[Discount]]</f>
        <v>359.8</v>
      </c>
      <c r="Q248" t="str">
        <f>VLOOKUP(E248,Products!$A$2:$E$23,2,0)</f>
        <v>Webcam HD</v>
      </c>
      <c r="R248" t="str">
        <f>VLOOKUP(Table1[[#This Row],[Product ID]],Products!$A$2:$E$23,3,0)</f>
        <v>Electronics</v>
      </c>
      <c r="S248" t="str">
        <f>VLOOKUP(C248,Customers!$A$2:$F$201,4,0)</f>
        <v>Chandigarh</v>
      </c>
      <c r="T248" t="str">
        <f>VLOOKUP(Table1[[#This Row],[Customer ID]],Customers!$A$2:$F$201,5,0)</f>
        <v>North</v>
      </c>
      <c r="U248" t="str">
        <f>VLOOKUP(Table1[[#This Row],[Customer ID]],Customers!$A$2:$F$201,6,0)</f>
        <v>Corporate</v>
      </c>
      <c r="V248" t="str">
        <f>TEXT(Table1[[#This Row],[Order Date]],"MMM")</f>
        <v>May</v>
      </c>
      <c r="W248" t="str">
        <f>TEXT(Table1[[#This Row],[Order Date]],"yyyy")</f>
        <v>2024</v>
      </c>
    </row>
    <row r="249" spans="1:23" x14ac:dyDescent="0.25">
      <c r="A249" s="2" t="s">
        <v>440</v>
      </c>
      <c r="B249" s="4">
        <v>45440</v>
      </c>
      <c r="C249" s="2" t="s">
        <v>188</v>
      </c>
      <c r="D249" s="2" t="str">
        <f>TEXT(Table1[[#This Row],[Order Date]],"mmmm")</f>
        <v>May</v>
      </c>
      <c r="E249" s="2" t="s">
        <v>111</v>
      </c>
      <c r="F249" s="2">
        <v>4</v>
      </c>
      <c r="G249" s="5">
        <v>0.1</v>
      </c>
      <c r="H249" s="2" t="s">
        <v>30</v>
      </c>
      <c r="I249" s="2" t="s">
        <v>38</v>
      </c>
      <c r="J249" s="2" t="s">
        <v>42</v>
      </c>
      <c r="K249">
        <f>VLOOKUP(E249,Products!$A$2:$E$23,5,0)</f>
        <v>240</v>
      </c>
      <c r="L249">
        <f>VLOOKUP(E249,Products!$A$2:$E$23,4,0)</f>
        <v>140</v>
      </c>
      <c r="M249" s="2">
        <f>K249*F249-Table1[[#This Row],[discount_amount]]</f>
        <v>864</v>
      </c>
      <c r="N249">
        <f t="shared" si="7"/>
        <v>560</v>
      </c>
      <c r="O249">
        <f t="shared" si="6"/>
        <v>304</v>
      </c>
      <c r="P249">
        <f>Table1[[#This Row],[Quantity]]*Table1[[#This Row],[unit_price]]*Table1[[#This Row],[Discount]]</f>
        <v>96</v>
      </c>
      <c r="Q249" t="str">
        <f>VLOOKUP(E249,Products!$A$2:$E$23,2,0)</f>
        <v>Whiteboard Marker Set</v>
      </c>
      <c r="R249" t="str">
        <f>VLOOKUP(Table1[[#This Row],[Product ID]],Products!$A$2:$E$23,3,0)</f>
        <v>Office Supplies</v>
      </c>
      <c r="S249" t="str">
        <f>VLOOKUP(C249,Customers!$A$2:$F$201,4,0)</f>
        <v>Bihar</v>
      </c>
      <c r="T249" t="str">
        <f>VLOOKUP(Table1[[#This Row],[Customer ID]],Customers!$A$2:$F$201,5,0)</f>
        <v>East</v>
      </c>
      <c r="U249" t="str">
        <f>VLOOKUP(Table1[[#This Row],[Customer ID]],Customers!$A$2:$F$201,6,0)</f>
        <v>Corporate</v>
      </c>
      <c r="V249" t="str">
        <f>TEXT(Table1[[#This Row],[Order Date]],"MMM")</f>
        <v>May</v>
      </c>
      <c r="W249" t="str">
        <f>TEXT(Table1[[#This Row],[Order Date]],"yyyy")</f>
        <v>2024</v>
      </c>
    </row>
    <row r="250" spans="1:23" x14ac:dyDescent="0.25">
      <c r="A250" s="2" t="s">
        <v>441</v>
      </c>
      <c r="B250" s="4">
        <v>45440</v>
      </c>
      <c r="C250" s="2" t="s">
        <v>248</v>
      </c>
      <c r="D250" s="2" t="str">
        <f>TEXT(Table1[[#This Row],[Order Date]],"mmmm")</f>
        <v>May</v>
      </c>
      <c r="E250" s="2" t="s">
        <v>73</v>
      </c>
      <c r="F250" s="2">
        <v>2</v>
      </c>
      <c r="G250" s="5">
        <v>0</v>
      </c>
      <c r="H250" s="2" t="s">
        <v>25</v>
      </c>
      <c r="I250" s="2" t="s">
        <v>38</v>
      </c>
      <c r="J250" s="2" t="s">
        <v>21</v>
      </c>
      <c r="K250">
        <f>VLOOKUP(E250,Products!$A$2:$E$23,5,0)</f>
        <v>6499</v>
      </c>
      <c r="L250">
        <f>VLOOKUP(E250,Products!$A$2:$E$23,4,0)</f>
        <v>4200</v>
      </c>
      <c r="M250" s="2">
        <f>K250*F250-Table1[[#This Row],[discount_amount]]</f>
        <v>12998</v>
      </c>
      <c r="N250">
        <f t="shared" si="7"/>
        <v>8400</v>
      </c>
      <c r="O250">
        <f t="shared" si="6"/>
        <v>4598</v>
      </c>
      <c r="P250">
        <f>Table1[[#This Row],[Quantity]]*Table1[[#This Row],[unit_price]]*Table1[[#This Row],[Discount]]</f>
        <v>0</v>
      </c>
      <c r="Q250" t="str">
        <f>VLOOKUP(E250,Products!$A$2:$E$23,2,0)</f>
        <v>Study Table</v>
      </c>
      <c r="R250" t="str">
        <f>VLOOKUP(Table1[[#This Row],[Product ID]],Products!$A$2:$E$23,3,0)</f>
        <v>Furniture</v>
      </c>
      <c r="S250" t="str">
        <f>VLOOKUP(C250,Customers!$A$2:$F$201,4,0)</f>
        <v>West Bengal</v>
      </c>
      <c r="T250" t="str">
        <f>VLOOKUP(Table1[[#This Row],[Customer ID]],Customers!$A$2:$F$201,5,0)</f>
        <v>East</v>
      </c>
      <c r="U250" t="str">
        <f>VLOOKUP(Table1[[#This Row],[Customer ID]],Customers!$A$2:$F$201,6,0)</f>
        <v>Consumer</v>
      </c>
      <c r="V250" t="str">
        <f>TEXT(Table1[[#This Row],[Order Date]],"MMM")</f>
        <v>May</v>
      </c>
      <c r="W250" t="str">
        <f>TEXT(Table1[[#This Row],[Order Date]],"yyyy")</f>
        <v>2024</v>
      </c>
    </row>
    <row r="251" spans="1:23" x14ac:dyDescent="0.25">
      <c r="A251" s="2" t="s">
        <v>442</v>
      </c>
      <c r="B251" s="4">
        <v>45441</v>
      </c>
      <c r="C251" s="2" t="s">
        <v>443</v>
      </c>
      <c r="D251" s="2" t="str">
        <f>TEXT(Table1[[#This Row],[Order Date]],"mmmm")</f>
        <v>May</v>
      </c>
      <c r="E251" s="2" t="s">
        <v>73</v>
      </c>
      <c r="F251" s="2">
        <v>5</v>
      </c>
      <c r="G251" s="5">
        <v>0</v>
      </c>
      <c r="H251" s="2" t="s">
        <v>30</v>
      </c>
      <c r="I251" s="2" t="s">
        <v>46</v>
      </c>
      <c r="J251" s="2" t="s">
        <v>21</v>
      </c>
      <c r="K251">
        <f>VLOOKUP(E251,Products!$A$2:$E$23,5,0)</f>
        <v>6499</v>
      </c>
      <c r="L251">
        <f>VLOOKUP(E251,Products!$A$2:$E$23,4,0)</f>
        <v>4200</v>
      </c>
      <c r="M251" s="2">
        <f>K251*F251-Table1[[#This Row],[discount_amount]]</f>
        <v>32495</v>
      </c>
      <c r="N251">
        <f t="shared" si="7"/>
        <v>21000</v>
      </c>
      <c r="O251">
        <f t="shared" si="6"/>
        <v>11495</v>
      </c>
      <c r="P251">
        <f>Table1[[#This Row],[Quantity]]*Table1[[#This Row],[unit_price]]*Table1[[#This Row],[Discount]]</f>
        <v>0</v>
      </c>
      <c r="Q251" t="str">
        <f>VLOOKUP(E251,Products!$A$2:$E$23,2,0)</f>
        <v>Study Table</v>
      </c>
      <c r="R251" t="str">
        <f>VLOOKUP(Table1[[#This Row],[Product ID]],Products!$A$2:$E$23,3,0)</f>
        <v>Furniture</v>
      </c>
      <c r="S251" t="str">
        <f>VLOOKUP(C251,Customers!$A$2:$F$201,4,0)</f>
        <v>Kerala</v>
      </c>
      <c r="T251" t="str">
        <f>VLOOKUP(Table1[[#This Row],[Customer ID]],Customers!$A$2:$F$201,5,0)</f>
        <v>South</v>
      </c>
      <c r="U251" t="str">
        <f>VLOOKUP(Table1[[#This Row],[Customer ID]],Customers!$A$2:$F$201,6,0)</f>
        <v>Consumer</v>
      </c>
      <c r="V251" t="str">
        <f>TEXT(Table1[[#This Row],[Order Date]],"MMM")</f>
        <v>May</v>
      </c>
      <c r="W251" t="str">
        <f>TEXT(Table1[[#This Row],[Order Date]],"yyyy")</f>
        <v>2024</v>
      </c>
    </row>
    <row r="252" spans="1:23" x14ac:dyDescent="0.25">
      <c r="A252" s="2" t="s">
        <v>444</v>
      </c>
      <c r="B252" s="4">
        <v>45441</v>
      </c>
      <c r="C252" s="2" t="s">
        <v>415</v>
      </c>
      <c r="D252" s="2" t="str">
        <f>TEXT(Table1[[#This Row],[Order Date]],"mmmm")</f>
        <v>May</v>
      </c>
      <c r="E252" s="2" t="s">
        <v>73</v>
      </c>
      <c r="F252" s="2">
        <v>4</v>
      </c>
      <c r="G252" s="5">
        <v>0.1</v>
      </c>
      <c r="H252" s="2" t="s">
        <v>25</v>
      </c>
      <c r="I252" s="2" t="s">
        <v>38</v>
      </c>
      <c r="J252" s="2" t="s">
        <v>21</v>
      </c>
      <c r="K252">
        <f>VLOOKUP(E252,Products!$A$2:$E$23,5,0)</f>
        <v>6499</v>
      </c>
      <c r="L252">
        <f>VLOOKUP(E252,Products!$A$2:$E$23,4,0)</f>
        <v>4200</v>
      </c>
      <c r="M252" s="2">
        <f>K252*F252-Table1[[#This Row],[discount_amount]]</f>
        <v>23396.400000000001</v>
      </c>
      <c r="N252">
        <f t="shared" si="7"/>
        <v>16800</v>
      </c>
      <c r="O252">
        <f t="shared" si="6"/>
        <v>6596.4000000000015</v>
      </c>
      <c r="P252">
        <f>Table1[[#This Row],[Quantity]]*Table1[[#This Row],[unit_price]]*Table1[[#This Row],[Discount]]</f>
        <v>2599.6000000000004</v>
      </c>
      <c r="Q252" t="str">
        <f>VLOOKUP(E252,Products!$A$2:$E$23,2,0)</f>
        <v>Study Table</v>
      </c>
      <c r="R252" t="str">
        <f>VLOOKUP(Table1[[#This Row],[Product ID]],Products!$A$2:$E$23,3,0)</f>
        <v>Furniture</v>
      </c>
      <c r="S252" t="str">
        <f>VLOOKUP(C252,Customers!$A$2:$F$201,4,0)</f>
        <v>Tamil Nadu</v>
      </c>
      <c r="T252" t="str">
        <f>VLOOKUP(Table1[[#This Row],[Customer ID]],Customers!$A$2:$F$201,5,0)</f>
        <v>South</v>
      </c>
      <c r="U252" t="str">
        <f>VLOOKUP(Table1[[#This Row],[Customer ID]],Customers!$A$2:$F$201,6,0)</f>
        <v>Consumer</v>
      </c>
      <c r="V252" t="str">
        <f>TEXT(Table1[[#This Row],[Order Date]],"MMM")</f>
        <v>May</v>
      </c>
      <c r="W252" t="str">
        <f>TEXT(Table1[[#This Row],[Order Date]],"yyyy")</f>
        <v>2024</v>
      </c>
    </row>
    <row r="253" spans="1:23" x14ac:dyDescent="0.25">
      <c r="A253" s="2" t="s">
        <v>445</v>
      </c>
      <c r="B253" s="4">
        <v>45441</v>
      </c>
      <c r="C253" s="2" t="s">
        <v>176</v>
      </c>
      <c r="D253" s="2" t="str">
        <f>TEXT(Table1[[#This Row],[Order Date]],"mmmm")</f>
        <v>May</v>
      </c>
      <c r="E253" s="2" t="s">
        <v>41</v>
      </c>
      <c r="F253" s="2">
        <v>2</v>
      </c>
      <c r="G253" s="5">
        <v>0.05</v>
      </c>
      <c r="H253" s="2" t="s">
        <v>19</v>
      </c>
      <c r="I253" s="2" t="s">
        <v>31</v>
      </c>
      <c r="J253" s="2" t="s">
        <v>21</v>
      </c>
      <c r="K253">
        <f>VLOOKUP(E253,Products!$A$2:$E$23,5,0)</f>
        <v>320</v>
      </c>
      <c r="L253">
        <f>VLOOKUP(E253,Products!$A$2:$E$23,4,0)</f>
        <v>220</v>
      </c>
      <c r="M253" s="2">
        <f>K253*F253-Table1[[#This Row],[discount_amount]]</f>
        <v>608</v>
      </c>
      <c r="N253">
        <f t="shared" si="7"/>
        <v>440</v>
      </c>
      <c r="O253">
        <f t="shared" si="6"/>
        <v>168</v>
      </c>
      <c r="P253">
        <f>Table1[[#This Row],[Quantity]]*Table1[[#This Row],[unit_price]]*Table1[[#This Row],[Discount]]</f>
        <v>32</v>
      </c>
      <c r="Q253" t="str">
        <f>VLOOKUP(E253,Products!$A$2:$E$23,2,0)</f>
        <v>A4 Paper Ream</v>
      </c>
      <c r="R253" t="str">
        <f>VLOOKUP(Table1[[#This Row],[Product ID]],Products!$A$2:$E$23,3,0)</f>
        <v>Office Supplies</v>
      </c>
      <c r="S253" t="str">
        <f>VLOOKUP(C253,Customers!$A$2:$F$201,4,0)</f>
        <v>Madhya Pradesh</v>
      </c>
      <c r="T253" t="str">
        <f>VLOOKUP(Table1[[#This Row],[Customer ID]],Customers!$A$2:$F$201,5,0)</f>
        <v>Central</v>
      </c>
      <c r="U253" t="str">
        <f>VLOOKUP(Table1[[#This Row],[Customer ID]],Customers!$A$2:$F$201,6,0)</f>
        <v>Consumer</v>
      </c>
      <c r="V253" t="str">
        <f>TEXT(Table1[[#This Row],[Order Date]],"MMM")</f>
        <v>May</v>
      </c>
      <c r="W253" t="str">
        <f>TEXT(Table1[[#This Row],[Order Date]],"yyyy")</f>
        <v>2024</v>
      </c>
    </row>
    <row r="254" spans="1:23" x14ac:dyDescent="0.25">
      <c r="A254" s="2" t="s">
        <v>446</v>
      </c>
      <c r="B254" s="4">
        <v>45442</v>
      </c>
      <c r="C254" s="2" t="s">
        <v>70</v>
      </c>
      <c r="D254" s="2" t="str">
        <f>TEXT(Table1[[#This Row],[Order Date]],"mmmm")</f>
        <v>May</v>
      </c>
      <c r="E254" s="2" t="s">
        <v>34</v>
      </c>
      <c r="F254" s="2">
        <v>6</v>
      </c>
      <c r="G254" s="5">
        <v>0</v>
      </c>
      <c r="H254" s="2" t="s">
        <v>25</v>
      </c>
      <c r="I254" s="2" t="s">
        <v>46</v>
      </c>
      <c r="J254" s="2" t="s">
        <v>21</v>
      </c>
      <c r="K254">
        <f>VLOOKUP(E254,Products!$A$2:$E$23,5,0)</f>
        <v>4599</v>
      </c>
      <c r="L254">
        <f>VLOOKUP(E254,Products!$A$2:$E$23,4,0)</f>
        <v>3000</v>
      </c>
      <c r="M254" s="2">
        <f>K254*F254-Table1[[#This Row],[discount_amount]]</f>
        <v>27594</v>
      </c>
      <c r="N254">
        <f t="shared" si="7"/>
        <v>18000</v>
      </c>
      <c r="O254">
        <f t="shared" si="6"/>
        <v>9594</v>
      </c>
      <c r="P254">
        <f>Table1[[#This Row],[Quantity]]*Table1[[#This Row],[unit_price]]*Table1[[#This Row],[Discount]]</f>
        <v>0</v>
      </c>
      <c r="Q254" t="str">
        <f>VLOOKUP(E254,Products!$A$2:$E$23,2,0)</f>
        <v>Filing Cabinet</v>
      </c>
      <c r="R254" t="str">
        <f>VLOOKUP(Table1[[#This Row],[Product ID]],Products!$A$2:$E$23,3,0)</f>
        <v>Furniture</v>
      </c>
      <c r="S254" t="str">
        <f>VLOOKUP(C254,Customers!$A$2:$F$201,4,0)</f>
        <v>Delhi</v>
      </c>
      <c r="T254" t="str">
        <f>VLOOKUP(Table1[[#This Row],[Customer ID]],Customers!$A$2:$F$201,5,0)</f>
        <v>North</v>
      </c>
      <c r="U254" t="str">
        <f>VLOOKUP(Table1[[#This Row],[Customer ID]],Customers!$A$2:$F$201,6,0)</f>
        <v>Home Office</v>
      </c>
      <c r="V254" t="str">
        <f>TEXT(Table1[[#This Row],[Order Date]],"MMM")</f>
        <v>May</v>
      </c>
      <c r="W254" t="str">
        <f>TEXT(Table1[[#This Row],[Order Date]],"yyyy")</f>
        <v>2024</v>
      </c>
    </row>
    <row r="255" spans="1:23" x14ac:dyDescent="0.25">
      <c r="A255" s="2" t="s">
        <v>447</v>
      </c>
      <c r="B255" s="4">
        <v>45443</v>
      </c>
      <c r="C255" s="2" t="s">
        <v>448</v>
      </c>
      <c r="D255" s="2" t="str">
        <f>TEXT(Table1[[#This Row],[Order Date]],"mmmm")</f>
        <v>May</v>
      </c>
      <c r="E255" s="2" t="s">
        <v>49</v>
      </c>
      <c r="F255" s="2">
        <v>6</v>
      </c>
      <c r="G255" s="5">
        <v>0</v>
      </c>
      <c r="H255" s="2" t="s">
        <v>30</v>
      </c>
      <c r="I255" s="2" t="s">
        <v>46</v>
      </c>
      <c r="J255" s="2" t="s">
        <v>79</v>
      </c>
      <c r="K255">
        <f>VLOOKUP(E255,Products!$A$2:$E$23,5,0)</f>
        <v>700</v>
      </c>
      <c r="L255">
        <f>VLOOKUP(E255,Products!$A$2:$E$23,4,0)</f>
        <v>450</v>
      </c>
      <c r="M255" s="2">
        <f>K255*F255-Table1[[#This Row],[discount_amount]]</f>
        <v>4200</v>
      </c>
      <c r="N255">
        <f t="shared" si="7"/>
        <v>2700</v>
      </c>
      <c r="O255">
        <f t="shared" si="6"/>
        <v>1500</v>
      </c>
      <c r="P255">
        <f>Table1[[#This Row],[Quantity]]*Table1[[#This Row],[unit_price]]*Table1[[#This Row],[Discount]]</f>
        <v>0</v>
      </c>
      <c r="Q255" t="str">
        <f>VLOOKUP(E255,Products!$A$2:$E$23,2,0)</f>
        <v>Wireless Mouse</v>
      </c>
      <c r="R255" t="str">
        <f>VLOOKUP(Table1[[#This Row],[Product ID]],Products!$A$2:$E$23,3,0)</f>
        <v>Electronics</v>
      </c>
      <c r="S255" t="str">
        <f>VLOOKUP(C255,Customers!$A$2:$F$201,4,0)</f>
        <v>Gujarat</v>
      </c>
      <c r="T255" t="str">
        <f>VLOOKUP(Table1[[#This Row],[Customer ID]],Customers!$A$2:$F$201,5,0)</f>
        <v>West</v>
      </c>
      <c r="U255" t="str">
        <f>VLOOKUP(Table1[[#This Row],[Customer ID]],Customers!$A$2:$F$201,6,0)</f>
        <v>Consumer</v>
      </c>
      <c r="V255" t="str">
        <f>TEXT(Table1[[#This Row],[Order Date]],"MMM")</f>
        <v>May</v>
      </c>
      <c r="W255" t="str">
        <f>TEXT(Table1[[#This Row],[Order Date]],"yyyy")</f>
        <v>2024</v>
      </c>
    </row>
    <row r="256" spans="1:23" x14ac:dyDescent="0.25">
      <c r="A256" s="2" t="s">
        <v>449</v>
      </c>
      <c r="B256" s="4">
        <v>45443</v>
      </c>
      <c r="C256" s="2" t="s">
        <v>36</v>
      </c>
      <c r="D256" s="2" t="str">
        <f>TEXT(Table1[[#This Row],[Order Date]],"mmmm")</f>
        <v>May</v>
      </c>
      <c r="E256" s="2" t="s">
        <v>24</v>
      </c>
      <c r="F256" s="2">
        <v>2</v>
      </c>
      <c r="G256" s="5">
        <v>0.15</v>
      </c>
      <c r="H256" s="2" t="s">
        <v>19</v>
      </c>
      <c r="I256" s="2" t="s">
        <v>38</v>
      </c>
      <c r="J256" s="2" t="s">
        <v>21</v>
      </c>
      <c r="K256">
        <f>VLOOKUP(E256,Products!$A$2:$E$23,5,0)</f>
        <v>899</v>
      </c>
      <c r="L256">
        <f>VLOOKUP(E256,Products!$A$2:$E$23,4,0)</f>
        <v>500</v>
      </c>
      <c r="M256" s="2">
        <f>K256*F256-Table1[[#This Row],[discount_amount]]</f>
        <v>1528.3</v>
      </c>
      <c r="N256">
        <f t="shared" si="7"/>
        <v>1000</v>
      </c>
      <c r="O256">
        <f t="shared" si="6"/>
        <v>528.29999999999995</v>
      </c>
      <c r="P256">
        <f>Table1[[#This Row],[Quantity]]*Table1[[#This Row],[unit_price]]*Table1[[#This Row],[Discount]]</f>
        <v>269.7</v>
      </c>
      <c r="Q256" t="str">
        <f>VLOOKUP(E256,Products!$A$2:$E$23,2,0)</f>
        <v>Monitor Stand</v>
      </c>
      <c r="R256" t="str">
        <f>VLOOKUP(Table1[[#This Row],[Product ID]],Products!$A$2:$E$23,3,0)</f>
        <v>Furniture</v>
      </c>
      <c r="S256" t="str">
        <f>VLOOKUP(C256,Customers!$A$2:$F$201,4,0)</f>
        <v>Gujarat</v>
      </c>
      <c r="T256" t="str">
        <f>VLOOKUP(Table1[[#This Row],[Customer ID]],Customers!$A$2:$F$201,5,0)</f>
        <v>West</v>
      </c>
      <c r="U256" t="str">
        <f>VLOOKUP(Table1[[#This Row],[Customer ID]],Customers!$A$2:$F$201,6,0)</f>
        <v>Consumer</v>
      </c>
      <c r="V256" t="str">
        <f>TEXT(Table1[[#This Row],[Order Date]],"MMM")</f>
        <v>May</v>
      </c>
      <c r="W256" t="str">
        <f>TEXT(Table1[[#This Row],[Order Date]],"yyyy")</f>
        <v>2024</v>
      </c>
    </row>
    <row r="257" spans="1:23" x14ac:dyDescent="0.25">
      <c r="A257" s="2" t="s">
        <v>450</v>
      </c>
      <c r="B257" s="4">
        <v>45443</v>
      </c>
      <c r="C257" s="2" t="s">
        <v>140</v>
      </c>
      <c r="D257" s="2" t="str">
        <f>TEXT(Table1[[#This Row],[Order Date]],"mmmm")</f>
        <v>May</v>
      </c>
      <c r="E257" s="2" t="s">
        <v>49</v>
      </c>
      <c r="F257" s="2">
        <v>2</v>
      </c>
      <c r="G257" s="5">
        <v>0.1</v>
      </c>
      <c r="H257" s="2" t="s">
        <v>19</v>
      </c>
      <c r="I257" s="2" t="s">
        <v>38</v>
      </c>
      <c r="J257" s="2" t="s">
        <v>21</v>
      </c>
      <c r="K257">
        <f>VLOOKUP(E257,Products!$A$2:$E$23,5,0)</f>
        <v>700</v>
      </c>
      <c r="L257">
        <f>VLOOKUP(E257,Products!$A$2:$E$23,4,0)</f>
        <v>450</v>
      </c>
      <c r="M257" s="2">
        <f>K257*F257-Table1[[#This Row],[discount_amount]]</f>
        <v>1260</v>
      </c>
      <c r="N257">
        <f t="shared" si="7"/>
        <v>900</v>
      </c>
      <c r="O257">
        <f t="shared" si="6"/>
        <v>360</v>
      </c>
      <c r="P257">
        <f>Table1[[#This Row],[Quantity]]*Table1[[#This Row],[unit_price]]*Table1[[#This Row],[Discount]]</f>
        <v>140</v>
      </c>
      <c r="Q257" t="str">
        <f>VLOOKUP(E257,Products!$A$2:$E$23,2,0)</f>
        <v>Wireless Mouse</v>
      </c>
      <c r="R257" t="str">
        <f>VLOOKUP(Table1[[#This Row],[Product ID]],Products!$A$2:$E$23,3,0)</f>
        <v>Electronics</v>
      </c>
      <c r="S257" t="str">
        <f>VLOOKUP(C257,Customers!$A$2:$F$201,4,0)</f>
        <v>Gujarat</v>
      </c>
      <c r="T257" t="str">
        <f>VLOOKUP(Table1[[#This Row],[Customer ID]],Customers!$A$2:$F$201,5,0)</f>
        <v>West</v>
      </c>
      <c r="U257" t="str">
        <f>VLOOKUP(Table1[[#This Row],[Customer ID]],Customers!$A$2:$F$201,6,0)</f>
        <v>Consumer</v>
      </c>
      <c r="V257" t="str">
        <f>TEXT(Table1[[#This Row],[Order Date]],"MMM")</f>
        <v>May</v>
      </c>
      <c r="W257" t="str">
        <f>TEXT(Table1[[#This Row],[Order Date]],"yyyy")</f>
        <v>2024</v>
      </c>
    </row>
    <row r="258" spans="1:23" x14ac:dyDescent="0.25">
      <c r="A258" s="2" t="s">
        <v>451</v>
      </c>
      <c r="B258" s="4">
        <v>45444</v>
      </c>
      <c r="C258" s="2" t="s">
        <v>231</v>
      </c>
      <c r="D258" s="2" t="str">
        <f>TEXT(Table1[[#This Row],[Order Date]],"mmmm")</f>
        <v>June</v>
      </c>
      <c r="E258" s="2" t="s">
        <v>41</v>
      </c>
      <c r="F258" s="2">
        <v>5</v>
      </c>
      <c r="G258" s="5">
        <v>0.05</v>
      </c>
      <c r="H258" s="2" t="s">
        <v>19</v>
      </c>
      <c r="I258" s="2" t="s">
        <v>46</v>
      </c>
      <c r="J258" s="2" t="s">
        <v>21</v>
      </c>
      <c r="K258">
        <f>VLOOKUP(E258,Products!$A$2:$E$23,5,0)</f>
        <v>320</v>
      </c>
      <c r="L258">
        <f>VLOOKUP(E258,Products!$A$2:$E$23,4,0)</f>
        <v>220</v>
      </c>
      <c r="M258" s="2">
        <f>K258*F258-Table1[[#This Row],[discount_amount]]</f>
        <v>1520</v>
      </c>
      <c r="N258">
        <f t="shared" si="7"/>
        <v>1100</v>
      </c>
      <c r="O258">
        <f t="shared" ref="O258:O321" si="8">M258-N258</f>
        <v>420</v>
      </c>
      <c r="P258">
        <f>Table1[[#This Row],[Quantity]]*Table1[[#This Row],[unit_price]]*Table1[[#This Row],[Discount]]</f>
        <v>80</v>
      </c>
      <c r="Q258" t="str">
        <f>VLOOKUP(E258,Products!$A$2:$E$23,2,0)</f>
        <v>A4 Paper Ream</v>
      </c>
      <c r="R258" t="str">
        <f>VLOOKUP(Table1[[#This Row],[Product ID]],Products!$A$2:$E$23,3,0)</f>
        <v>Office Supplies</v>
      </c>
      <c r="S258" t="str">
        <f>VLOOKUP(C258,Customers!$A$2:$F$201,4,0)</f>
        <v>Bihar</v>
      </c>
      <c r="T258" t="str">
        <f>VLOOKUP(Table1[[#This Row],[Customer ID]],Customers!$A$2:$F$201,5,0)</f>
        <v>East</v>
      </c>
      <c r="U258" t="str">
        <f>VLOOKUP(Table1[[#This Row],[Customer ID]],Customers!$A$2:$F$201,6,0)</f>
        <v>Corporate</v>
      </c>
      <c r="V258" t="str">
        <f>TEXT(Table1[[#This Row],[Order Date]],"MMM")</f>
        <v>Jun</v>
      </c>
      <c r="W258" t="str">
        <f>TEXT(Table1[[#This Row],[Order Date]],"yyyy")</f>
        <v>2024</v>
      </c>
    </row>
    <row r="259" spans="1:23" x14ac:dyDescent="0.25">
      <c r="A259" s="2" t="s">
        <v>452</v>
      </c>
      <c r="B259" s="4">
        <v>45444</v>
      </c>
      <c r="C259" s="2" t="s">
        <v>453</v>
      </c>
      <c r="D259" s="2" t="str">
        <f>TEXT(Table1[[#This Row],[Order Date]],"mmmm")</f>
        <v>June</v>
      </c>
      <c r="E259" s="2" t="s">
        <v>82</v>
      </c>
      <c r="F259" s="2">
        <v>5</v>
      </c>
      <c r="G259" s="5">
        <v>0.1</v>
      </c>
      <c r="H259" s="2" t="s">
        <v>25</v>
      </c>
      <c r="I259" s="2" t="s">
        <v>26</v>
      </c>
      <c r="J259" s="2" t="s">
        <v>94</v>
      </c>
      <c r="K259">
        <f>VLOOKUP(E259,Products!$A$2:$E$23,5,0)</f>
        <v>1799</v>
      </c>
      <c r="L259">
        <f>VLOOKUP(E259,Products!$A$2:$E$23,4,0)</f>
        <v>1100</v>
      </c>
      <c r="M259" s="2">
        <f>K259*F259-Table1[[#This Row],[discount_amount]]</f>
        <v>8095.5</v>
      </c>
      <c r="N259">
        <f t="shared" ref="N259:N322" si="9">F259*L259</f>
        <v>5500</v>
      </c>
      <c r="O259">
        <f t="shared" si="8"/>
        <v>2595.5</v>
      </c>
      <c r="P259">
        <f>Table1[[#This Row],[Quantity]]*Table1[[#This Row],[unit_price]]*Table1[[#This Row],[Discount]]</f>
        <v>899.5</v>
      </c>
      <c r="Q259" t="str">
        <f>VLOOKUP(E259,Products!$A$2:$E$23,2,0)</f>
        <v>Webcam HD</v>
      </c>
      <c r="R259" t="str">
        <f>VLOOKUP(Table1[[#This Row],[Product ID]],Products!$A$2:$E$23,3,0)</f>
        <v>Electronics</v>
      </c>
      <c r="S259" t="str">
        <f>VLOOKUP(C259,Customers!$A$2:$F$201,4,0)</f>
        <v>Chandigarh</v>
      </c>
      <c r="T259" t="str">
        <f>VLOOKUP(Table1[[#This Row],[Customer ID]],Customers!$A$2:$F$201,5,0)</f>
        <v>North</v>
      </c>
      <c r="U259" t="str">
        <f>VLOOKUP(Table1[[#This Row],[Customer ID]],Customers!$A$2:$F$201,6,0)</f>
        <v>Home Office</v>
      </c>
      <c r="V259" t="str">
        <f>TEXT(Table1[[#This Row],[Order Date]],"MMM")</f>
        <v>Jun</v>
      </c>
      <c r="W259" t="str">
        <f>TEXT(Table1[[#This Row],[Order Date]],"yyyy")</f>
        <v>2024</v>
      </c>
    </row>
    <row r="260" spans="1:23" x14ac:dyDescent="0.25">
      <c r="A260" s="2" t="s">
        <v>454</v>
      </c>
      <c r="B260" s="4">
        <v>45444</v>
      </c>
      <c r="C260" s="2" t="s">
        <v>132</v>
      </c>
      <c r="D260" s="2" t="str">
        <f>TEXT(Table1[[#This Row],[Order Date]],"mmmm")</f>
        <v>June</v>
      </c>
      <c r="E260" s="2" t="s">
        <v>82</v>
      </c>
      <c r="F260" s="2">
        <v>10</v>
      </c>
      <c r="G260" s="5">
        <v>0.1</v>
      </c>
      <c r="H260" s="2" t="s">
        <v>19</v>
      </c>
      <c r="I260" s="2" t="s">
        <v>46</v>
      </c>
      <c r="J260" s="2" t="s">
        <v>94</v>
      </c>
      <c r="K260">
        <f>VLOOKUP(E260,Products!$A$2:$E$23,5,0)</f>
        <v>1799</v>
      </c>
      <c r="L260">
        <f>VLOOKUP(E260,Products!$A$2:$E$23,4,0)</f>
        <v>1100</v>
      </c>
      <c r="M260" s="2">
        <f>K260*F260-Table1[[#This Row],[discount_amount]]</f>
        <v>16191</v>
      </c>
      <c r="N260">
        <f t="shared" si="9"/>
        <v>11000</v>
      </c>
      <c r="O260">
        <f t="shared" si="8"/>
        <v>5191</v>
      </c>
      <c r="P260">
        <f>Table1[[#This Row],[Quantity]]*Table1[[#This Row],[unit_price]]*Table1[[#This Row],[Discount]]</f>
        <v>1799</v>
      </c>
      <c r="Q260" t="str">
        <f>VLOOKUP(E260,Products!$A$2:$E$23,2,0)</f>
        <v>Webcam HD</v>
      </c>
      <c r="R260" t="str">
        <f>VLOOKUP(Table1[[#This Row],[Product ID]],Products!$A$2:$E$23,3,0)</f>
        <v>Electronics</v>
      </c>
      <c r="S260" t="str">
        <f>VLOOKUP(C260,Customers!$A$2:$F$201,4,0)</f>
        <v>Madhya Pradesh</v>
      </c>
      <c r="T260" t="str">
        <f>VLOOKUP(Table1[[#This Row],[Customer ID]],Customers!$A$2:$F$201,5,0)</f>
        <v>Central</v>
      </c>
      <c r="U260" t="str">
        <f>VLOOKUP(Table1[[#This Row],[Customer ID]],Customers!$A$2:$F$201,6,0)</f>
        <v>Consumer</v>
      </c>
      <c r="V260" t="str">
        <f>TEXT(Table1[[#This Row],[Order Date]],"MMM")</f>
        <v>Jun</v>
      </c>
      <c r="W260" t="str">
        <f>TEXT(Table1[[#This Row],[Order Date]],"yyyy")</f>
        <v>2024</v>
      </c>
    </row>
    <row r="261" spans="1:23" x14ac:dyDescent="0.25">
      <c r="A261" s="2" t="s">
        <v>455</v>
      </c>
      <c r="B261" s="4">
        <v>45445</v>
      </c>
      <c r="C261" s="2" t="s">
        <v>428</v>
      </c>
      <c r="D261" s="2" t="str">
        <f>TEXT(Table1[[#This Row],[Order Date]],"mmmm")</f>
        <v>June</v>
      </c>
      <c r="E261" s="2" t="s">
        <v>45</v>
      </c>
      <c r="F261" s="2">
        <v>2</v>
      </c>
      <c r="G261" s="5">
        <v>0</v>
      </c>
      <c r="H261" s="2" t="s">
        <v>19</v>
      </c>
      <c r="I261" s="2" t="s">
        <v>46</v>
      </c>
      <c r="J261" s="2" t="s">
        <v>21</v>
      </c>
      <c r="K261">
        <f>VLOOKUP(E261,Products!$A$2:$E$23,5,0)</f>
        <v>899</v>
      </c>
      <c r="L261">
        <f>VLOOKUP(E261,Products!$A$2:$E$23,4,0)</f>
        <v>450</v>
      </c>
      <c r="M261" s="2">
        <f>K261*F261-Table1[[#This Row],[discount_amount]]</f>
        <v>1798</v>
      </c>
      <c r="N261">
        <f t="shared" si="9"/>
        <v>900</v>
      </c>
      <c r="O261">
        <f t="shared" si="8"/>
        <v>898</v>
      </c>
      <c r="P261">
        <f>Table1[[#This Row],[Quantity]]*Table1[[#This Row],[unit_price]]*Table1[[#This Row],[Discount]]</f>
        <v>0</v>
      </c>
      <c r="Q261" t="str">
        <f>VLOOKUP(E261,Products!$A$2:$E$23,2,0)</f>
        <v>Track Pants</v>
      </c>
      <c r="R261" t="str">
        <f>VLOOKUP(Table1[[#This Row],[Product ID]],Products!$A$2:$E$23,3,0)</f>
        <v>Clothing</v>
      </c>
      <c r="S261" t="str">
        <f>VLOOKUP(C261,Customers!$A$2:$F$201,4,0)</f>
        <v>Madhya Pradesh</v>
      </c>
      <c r="T261" t="str">
        <f>VLOOKUP(Table1[[#This Row],[Customer ID]],Customers!$A$2:$F$201,5,0)</f>
        <v>Central</v>
      </c>
      <c r="U261" t="str">
        <f>VLOOKUP(Table1[[#This Row],[Customer ID]],Customers!$A$2:$F$201,6,0)</f>
        <v>Consumer</v>
      </c>
      <c r="V261" t="str">
        <f>TEXT(Table1[[#This Row],[Order Date]],"MMM")</f>
        <v>Jun</v>
      </c>
      <c r="W261" t="str">
        <f>TEXT(Table1[[#This Row],[Order Date]],"yyyy")</f>
        <v>2024</v>
      </c>
    </row>
    <row r="262" spans="1:23" x14ac:dyDescent="0.25">
      <c r="A262" s="2" t="s">
        <v>456</v>
      </c>
      <c r="B262" s="4">
        <v>45445</v>
      </c>
      <c r="C262" s="2" t="s">
        <v>28</v>
      </c>
      <c r="D262" s="2" t="str">
        <f>TEXT(Table1[[#This Row],[Order Date]],"mmmm")</f>
        <v>June</v>
      </c>
      <c r="E262" s="2" t="s">
        <v>82</v>
      </c>
      <c r="F262" s="2">
        <v>1</v>
      </c>
      <c r="G262" s="5">
        <v>0.15</v>
      </c>
      <c r="H262" s="2" t="s">
        <v>19</v>
      </c>
      <c r="I262" s="2" t="s">
        <v>31</v>
      </c>
      <c r="J262" s="2" t="s">
        <v>94</v>
      </c>
      <c r="K262">
        <f>VLOOKUP(E262,Products!$A$2:$E$23,5,0)</f>
        <v>1799</v>
      </c>
      <c r="L262">
        <f>VLOOKUP(E262,Products!$A$2:$E$23,4,0)</f>
        <v>1100</v>
      </c>
      <c r="M262" s="2">
        <f>K262*F262-Table1[[#This Row],[discount_amount]]</f>
        <v>1529.15</v>
      </c>
      <c r="N262">
        <f t="shared" si="9"/>
        <v>1100</v>
      </c>
      <c r="O262">
        <f t="shared" si="8"/>
        <v>429.15000000000009</v>
      </c>
      <c r="P262">
        <f>Table1[[#This Row],[Quantity]]*Table1[[#This Row],[unit_price]]*Table1[[#This Row],[Discount]]</f>
        <v>269.84999999999997</v>
      </c>
      <c r="Q262" t="str">
        <f>VLOOKUP(E262,Products!$A$2:$E$23,2,0)</f>
        <v>Webcam HD</v>
      </c>
      <c r="R262" t="str">
        <f>VLOOKUP(Table1[[#This Row],[Product ID]],Products!$A$2:$E$23,3,0)</f>
        <v>Electronics</v>
      </c>
      <c r="S262" t="str">
        <f>VLOOKUP(C262,Customers!$A$2:$F$201,4,0)</f>
        <v>Maharashtra</v>
      </c>
      <c r="T262" t="str">
        <f>VLOOKUP(Table1[[#This Row],[Customer ID]],Customers!$A$2:$F$201,5,0)</f>
        <v>West</v>
      </c>
      <c r="U262" t="str">
        <f>VLOOKUP(Table1[[#This Row],[Customer ID]],Customers!$A$2:$F$201,6,0)</f>
        <v>Consumer</v>
      </c>
      <c r="V262" t="str">
        <f>TEXT(Table1[[#This Row],[Order Date]],"MMM")</f>
        <v>Jun</v>
      </c>
      <c r="W262" t="str">
        <f>TEXT(Table1[[#This Row],[Order Date]],"yyyy")</f>
        <v>2024</v>
      </c>
    </row>
    <row r="263" spans="1:23" x14ac:dyDescent="0.25">
      <c r="A263" s="2" t="s">
        <v>457</v>
      </c>
      <c r="B263" s="4">
        <v>45446</v>
      </c>
      <c r="C263" s="2" t="s">
        <v>458</v>
      </c>
      <c r="D263" s="2" t="str">
        <f>TEXT(Table1[[#This Row],[Order Date]],"mmmm")</f>
        <v>June</v>
      </c>
      <c r="E263" s="2" t="s">
        <v>127</v>
      </c>
      <c r="F263" s="2">
        <v>4</v>
      </c>
      <c r="G263" s="5">
        <v>0.15</v>
      </c>
      <c r="H263" s="2" t="s">
        <v>30</v>
      </c>
      <c r="I263" s="2" t="s">
        <v>31</v>
      </c>
      <c r="J263" s="2" t="s">
        <v>94</v>
      </c>
      <c r="K263">
        <f>VLOOKUP(E263,Products!$A$2:$E$23,5,0)</f>
        <v>1999</v>
      </c>
      <c r="L263">
        <f>VLOOKUP(E263,Products!$A$2:$E$23,4,0)</f>
        <v>1200</v>
      </c>
      <c r="M263" s="2">
        <f>K263*F263-Table1[[#This Row],[discount_amount]]</f>
        <v>6796.6</v>
      </c>
      <c r="N263">
        <f t="shared" si="9"/>
        <v>4800</v>
      </c>
      <c r="O263">
        <f t="shared" si="8"/>
        <v>1996.6000000000004</v>
      </c>
      <c r="P263">
        <f>Table1[[#This Row],[Quantity]]*Table1[[#This Row],[unit_price]]*Table1[[#This Row],[Discount]]</f>
        <v>1199.3999999999999</v>
      </c>
      <c r="Q263" t="str">
        <f>VLOOKUP(E263,Products!$A$2:$E$23,2,0)</f>
        <v>Bluetooth Speaker</v>
      </c>
      <c r="R263" t="str">
        <f>VLOOKUP(Table1[[#This Row],[Product ID]],Products!$A$2:$E$23,3,0)</f>
        <v>Electronics</v>
      </c>
      <c r="S263" t="str">
        <f>VLOOKUP(C263,Customers!$A$2:$F$201,4,0)</f>
        <v>Gujarat</v>
      </c>
      <c r="T263" t="str">
        <f>VLOOKUP(Table1[[#This Row],[Customer ID]],Customers!$A$2:$F$201,5,0)</f>
        <v>West</v>
      </c>
      <c r="U263" t="str">
        <f>VLOOKUP(Table1[[#This Row],[Customer ID]],Customers!$A$2:$F$201,6,0)</f>
        <v>Consumer</v>
      </c>
      <c r="V263" t="str">
        <f>TEXT(Table1[[#This Row],[Order Date]],"MMM")</f>
        <v>Jun</v>
      </c>
      <c r="W263" t="str">
        <f>TEXT(Table1[[#This Row],[Order Date]],"yyyy")</f>
        <v>2024</v>
      </c>
    </row>
    <row r="264" spans="1:23" x14ac:dyDescent="0.25">
      <c r="A264" s="2" t="s">
        <v>459</v>
      </c>
      <c r="B264" s="4">
        <v>45446</v>
      </c>
      <c r="C264" s="2" t="s">
        <v>460</v>
      </c>
      <c r="D264" s="2" t="str">
        <f>TEXT(Table1[[#This Row],[Order Date]],"mmmm")</f>
        <v>June</v>
      </c>
      <c r="E264" s="2" t="s">
        <v>155</v>
      </c>
      <c r="F264" s="2">
        <v>2</v>
      </c>
      <c r="G264" s="5">
        <v>0</v>
      </c>
      <c r="H264" s="2" t="s">
        <v>19</v>
      </c>
      <c r="I264" s="2" t="s">
        <v>26</v>
      </c>
      <c r="J264" s="2" t="s">
        <v>21</v>
      </c>
      <c r="K264">
        <f>VLOOKUP(E264,Products!$A$2:$E$23,5,0)</f>
        <v>1599</v>
      </c>
      <c r="L264">
        <f>VLOOKUP(E264,Products!$A$2:$E$23,4,0)</f>
        <v>900</v>
      </c>
      <c r="M264" s="2">
        <f>K264*F264-Table1[[#This Row],[discount_amount]]</f>
        <v>3198</v>
      </c>
      <c r="N264">
        <f t="shared" si="9"/>
        <v>1800</v>
      </c>
      <c r="O264">
        <f t="shared" si="8"/>
        <v>1398</v>
      </c>
      <c r="P264">
        <f>Table1[[#This Row],[Quantity]]*Table1[[#This Row],[unit_price]]*Table1[[#This Row],[Discount]]</f>
        <v>0</v>
      </c>
      <c r="Q264" t="str">
        <f>VLOOKUP(E264,Products!$A$2:$E$23,2,0)</f>
        <v>Headphones</v>
      </c>
      <c r="R264" t="str">
        <f>VLOOKUP(Table1[[#This Row],[Product ID]],Products!$A$2:$E$23,3,0)</f>
        <v>Electronics</v>
      </c>
      <c r="S264" t="str">
        <f>VLOOKUP(C264,Customers!$A$2:$F$201,4,0)</f>
        <v>Maharashtra</v>
      </c>
      <c r="T264" t="str">
        <f>VLOOKUP(Table1[[#This Row],[Customer ID]],Customers!$A$2:$F$201,5,0)</f>
        <v>Central</v>
      </c>
      <c r="U264" t="str">
        <f>VLOOKUP(Table1[[#This Row],[Customer ID]],Customers!$A$2:$F$201,6,0)</f>
        <v>Corporate</v>
      </c>
      <c r="V264" t="str">
        <f>TEXT(Table1[[#This Row],[Order Date]],"MMM")</f>
        <v>Jun</v>
      </c>
      <c r="W264" t="str">
        <f>TEXT(Table1[[#This Row],[Order Date]],"yyyy")</f>
        <v>2024</v>
      </c>
    </row>
    <row r="265" spans="1:23" x14ac:dyDescent="0.25">
      <c r="A265" s="2" t="s">
        <v>461</v>
      </c>
      <c r="B265" s="4">
        <v>45447</v>
      </c>
      <c r="C265" s="2" t="s">
        <v>462</v>
      </c>
      <c r="D265" s="2" t="str">
        <f>TEXT(Table1[[#This Row],[Order Date]],"mmmm")</f>
        <v>June</v>
      </c>
      <c r="E265" s="2" t="s">
        <v>82</v>
      </c>
      <c r="F265" s="2">
        <v>1</v>
      </c>
      <c r="G265" s="5">
        <v>0.1</v>
      </c>
      <c r="H265" s="2" t="s">
        <v>25</v>
      </c>
      <c r="I265" s="2" t="s">
        <v>26</v>
      </c>
      <c r="J265" s="2" t="s">
        <v>21</v>
      </c>
      <c r="K265">
        <f>VLOOKUP(E265,Products!$A$2:$E$23,5,0)</f>
        <v>1799</v>
      </c>
      <c r="L265">
        <f>VLOOKUP(E265,Products!$A$2:$E$23,4,0)</f>
        <v>1100</v>
      </c>
      <c r="M265" s="2">
        <f>K265*F265-Table1[[#This Row],[discount_amount]]</f>
        <v>1619.1</v>
      </c>
      <c r="N265">
        <f t="shared" si="9"/>
        <v>1100</v>
      </c>
      <c r="O265">
        <f t="shared" si="8"/>
        <v>519.09999999999991</v>
      </c>
      <c r="P265">
        <f>Table1[[#This Row],[Quantity]]*Table1[[#This Row],[unit_price]]*Table1[[#This Row],[Discount]]</f>
        <v>179.9</v>
      </c>
      <c r="Q265" t="str">
        <f>VLOOKUP(E265,Products!$A$2:$E$23,2,0)</f>
        <v>Webcam HD</v>
      </c>
      <c r="R265" t="str">
        <f>VLOOKUP(Table1[[#This Row],[Product ID]],Products!$A$2:$E$23,3,0)</f>
        <v>Electronics</v>
      </c>
      <c r="S265" t="str">
        <f>VLOOKUP(C265,Customers!$A$2:$F$201,4,0)</f>
        <v>Kerala</v>
      </c>
      <c r="T265" t="str">
        <f>VLOOKUP(Table1[[#This Row],[Customer ID]],Customers!$A$2:$F$201,5,0)</f>
        <v>South</v>
      </c>
      <c r="U265" t="str">
        <f>VLOOKUP(Table1[[#This Row],[Customer ID]],Customers!$A$2:$F$201,6,0)</f>
        <v>Consumer</v>
      </c>
      <c r="V265" t="str">
        <f>TEXT(Table1[[#This Row],[Order Date]],"MMM")</f>
        <v>Jun</v>
      </c>
      <c r="W265" t="str">
        <f>TEXT(Table1[[#This Row],[Order Date]],"yyyy")</f>
        <v>2024</v>
      </c>
    </row>
    <row r="266" spans="1:23" x14ac:dyDescent="0.25">
      <c r="A266" s="2" t="s">
        <v>463</v>
      </c>
      <c r="B266" s="4">
        <v>45447</v>
      </c>
      <c r="C266" s="2" t="s">
        <v>464</v>
      </c>
      <c r="D266" s="2" t="str">
        <f>TEXT(Table1[[#This Row],[Order Date]],"mmmm")</f>
        <v>June</v>
      </c>
      <c r="E266" s="2" t="s">
        <v>54</v>
      </c>
      <c r="F266" s="2">
        <v>3</v>
      </c>
      <c r="G266" s="5">
        <v>0</v>
      </c>
      <c r="H266" s="2" t="s">
        <v>19</v>
      </c>
      <c r="I266" s="2" t="s">
        <v>26</v>
      </c>
      <c r="J266" s="2" t="s">
        <v>21</v>
      </c>
      <c r="K266">
        <f>VLOOKUP(E266,Products!$A$2:$E$23,5,0)</f>
        <v>299</v>
      </c>
      <c r="L266">
        <f>VLOOKUP(E266,Products!$A$2:$E$23,4,0)</f>
        <v>180</v>
      </c>
      <c r="M266" s="2">
        <f>K266*F266-Table1[[#This Row],[discount_amount]]</f>
        <v>897</v>
      </c>
      <c r="N266">
        <f t="shared" si="9"/>
        <v>540</v>
      </c>
      <c r="O266">
        <f t="shared" si="8"/>
        <v>357</v>
      </c>
      <c r="P266">
        <f>Table1[[#This Row],[Quantity]]*Table1[[#This Row],[unit_price]]*Table1[[#This Row],[Discount]]</f>
        <v>0</v>
      </c>
      <c r="Q266" t="str">
        <f>VLOOKUP(E266,Products!$A$2:$E$23,2,0)</f>
        <v>Notebook Pack of 5</v>
      </c>
      <c r="R266" t="str">
        <f>VLOOKUP(Table1[[#This Row],[Product ID]],Products!$A$2:$E$23,3,0)</f>
        <v>Office Supplies</v>
      </c>
      <c r="S266" t="str">
        <f>VLOOKUP(C266,Customers!$A$2:$F$201,4,0)</f>
        <v>Madhya Pradesh</v>
      </c>
      <c r="T266" t="str">
        <f>VLOOKUP(Table1[[#This Row],[Customer ID]],Customers!$A$2:$F$201,5,0)</f>
        <v>Central</v>
      </c>
      <c r="U266" t="str">
        <f>VLOOKUP(Table1[[#This Row],[Customer ID]],Customers!$A$2:$F$201,6,0)</f>
        <v>Consumer</v>
      </c>
      <c r="V266" t="str">
        <f>TEXT(Table1[[#This Row],[Order Date]],"MMM")</f>
        <v>Jun</v>
      </c>
      <c r="W266" t="str">
        <f>TEXT(Table1[[#This Row],[Order Date]],"yyyy")</f>
        <v>2024</v>
      </c>
    </row>
    <row r="267" spans="1:23" x14ac:dyDescent="0.25">
      <c r="A267" s="2" t="s">
        <v>465</v>
      </c>
      <c r="B267" s="4">
        <v>45448</v>
      </c>
      <c r="C267" s="2" t="s">
        <v>108</v>
      </c>
      <c r="D267" s="2" t="str">
        <f>TEXT(Table1[[#This Row],[Order Date]],"mmmm")</f>
        <v>June</v>
      </c>
      <c r="E267" s="2" t="s">
        <v>155</v>
      </c>
      <c r="F267" s="2">
        <v>1</v>
      </c>
      <c r="G267" s="5">
        <v>0</v>
      </c>
      <c r="H267" s="2" t="s">
        <v>19</v>
      </c>
      <c r="I267" s="2" t="s">
        <v>46</v>
      </c>
      <c r="J267" s="2" t="s">
        <v>21</v>
      </c>
      <c r="K267">
        <f>VLOOKUP(E267,Products!$A$2:$E$23,5,0)</f>
        <v>1599</v>
      </c>
      <c r="L267">
        <f>VLOOKUP(E267,Products!$A$2:$E$23,4,0)</f>
        <v>900</v>
      </c>
      <c r="M267" s="2">
        <f>K267*F267-Table1[[#This Row],[discount_amount]]</f>
        <v>1599</v>
      </c>
      <c r="N267">
        <f t="shared" si="9"/>
        <v>900</v>
      </c>
      <c r="O267">
        <f t="shared" si="8"/>
        <v>699</v>
      </c>
      <c r="P267">
        <f>Table1[[#This Row],[Quantity]]*Table1[[#This Row],[unit_price]]*Table1[[#This Row],[Discount]]</f>
        <v>0</v>
      </c>
      <c r="Q267" t="str">
        <f>VLOOKUP(E267,Products!$A$2:$E$23,2,0)</f>
        <v>Headphones</v>
      </c>
      <c r="R267" t="str">
        <f>VLOOKUP(Table1[[#This Row],[Product ID]],Products!$A$2:$E$23,3,0)</f>
        <v>Electronics</v>
      </c>
      <c r="S267" t="str">
        <f>VLOOKUP(C267,Customers!$A$2:$F$201,4,0)</f>
        <v>West Bengal</v>
      </c>
      <c r="T267" t="str">
        <f>VLOOKUP(Table1[[#This Row],[Customer ID]],Customers!$A$2:$F$201,5,0)</f>
        <v>East</v>
      </c>
      <c r="U267" t="str">
        <f>VLOOKUP(Table1[[#This Row],[Customer ID]],Customers!$A$2:$F$201,6,0)</f>
        <v>Corporate</v>
      </c>
      <c r="V267" t="str">
        <f>TEXT(Table1[[#This Row],[Order Date]],"MMM")</f>
        <v>Jun</v>
      </c>
      <c r="W267" t="str">
        <f>TEXT(Table1[[#This Row],[Order Date]],"yyyy")</f>
        <v>2024</v>
      </c>
    </row>
    <row r="268" spans="1:23" x14ac:dyDescent="0.25">
      <c r="A268" s="2" t="s">
        <v>466</v>
      </c>
      <c r="B268" s="4">
        <v>45448</v>
      </c>
      <c r="C268" s="2" t="s">
        <v>72</v>
      </c>
      <c r="D268" s="2" t="str">
        <f>TEXT(Table1[[#This Row],[Order Date]],"mmmm")</f>
        <v>June</v>
      </c>
      <c r="E268" s="2" t="s">
        <v>135</v>
      </c>
      <c r="F268" s="2">
        <v>5</v>
      </c>
      <c r="G268" s="5">
        <v>0</v>
      </c>
      <c r="H268" s="2" t="s">
        <v>19</v>
      </c>
      <c r="I268" s="2" t="s">
        <v>31</v>
      </c>
      <c r="J268" s="2" t="s">
        <v>21</v>
      </c>
      <c r="K268">
        <f>VLOOKUP(E268,Products!$A$2:$E$23,5,0)</f>
        <v>220</v>
      </c>
      <c r="L268">
        <f>VLOOKUP(E268,Products!$A$2:$E$23,4,0)</f>
        <v>120</v>
      </c>
      <c r="M268" s="2">
        <f>K268*F268-Table1[[#This Row],[discount_amount]]</f>
        <v>1100</v>
      </c>
      <c r="N268">
        <f t="shared" si="9"/>
        <v>600</v>
      </c>
      <c r="O268">
        <f t="shared" si="8"/>
        <v>500</v>
      </c>
      <c r="P268">
        <f>Table1[[#This Row],[Quantity]]*Table1[[#This Row],[unit_price]]*Table1[[#This Row],[Discount]]</f>
        <v>0</v>
      </c>
      <c r="Q268" t="str">
        <f>VLOOKUP(E268,Products!$A$2:$E$23,2,0)</f>
        <v>Stapler</v>
      </c>
      <c r="R268" t="str">
        <f>VLOOKUP(Table1[[#This Row],[Product ID]],Products!$A$2:$E$23,3,0)</f>
        <v>Office Supplies</v>
      </c>
      <c r="S268" t="str">
        <f>VLOOKUP(C268,Customers!$A$2:$F$201,4,0)</f>
        <v>Maharashtra</v>
      </c>
      <c r="T268" t="str">
        <f>VLOOKUP(Table1[[#This Row],[Customer ID]],Customers!$A$2:$F$201,5,0)</f>
        <v>West</v>
      </c>
      <c r="U268" t="str">
        <f>VLOOKUP(Table1[[#This Row],[Customer ID]],Customers!$A$2:$F$201,6,0)</f>
        <v>Consumer</v>
      </c>
      <c r="V268" t="str">
        <f>TEXT(Table1[[#This Row],[Order Date]],"MMM")</f>
        <v>Jun</v>
      </c>
      <c r="W268" t="str">
        <f>TEXT(Table1[[#This Row],[Order Date]],"yyyy")</f>
        <v>2024</v>
      </c>
    </row>
    <row r="269" spans="1:23" x14ac:dyDescent="0.25">
      <c r="A269" s="2" t="s">
        <v>467</v>
      </c>
      <c r="B269" s="4">
        <v>45449</v>
      </c>
      <c r="C269" s="2" t="s">
        <v>228</v>
      </c>
      <c r="D269" s="2" t="str">
        <f>TEXT(Table1[[#This Row],[Order Date]],"mmmm")</f>
        <v>June</v>
      </c>
      <c r="E269" s="2" t="s">
        <v>57</v>
      </c>
      <c r="F269" s="2">
        <v>2</v>
      </c>
      <c r="G269" s="5">
        <v>0</v>
      </c>
      <c r="H269" s="2" t="s">
        <v>30</v>
      </c>
      <c r="I269" s="2" t="s">
        <v>26</v>
      </c>
      <c r="J269" s="2" t="s">
        <v>21</v>
      </c>
      <c r="K269">
        <f>VLOOKUP(E269,Products!$A$2:$E$23,5,0)</f>
        <v>1599</v>
      </c>
      <c r="L269">
        <f>VLOOKUP(E269,Products!$A$2:$E$23,4,0)</f>
        <v>800</v>
      </c>
      <c r="M269" s="2">
        <f>K269*F269-Table1[[#This Row],[discount_amount]]</f>
        <v>3198</v>
      </c>
      <c r="N269">
        <f t="shared" si="9"/>
        <v>1600</v>
      </c>
      <c r="O269">
        <f t="shared" si="8"/>
        <v>1598</v>
      </c>
      <c r="P269">
        <f>Table1[[#This Row],[Quantity]]*Table1[[#This Row],[unit_price]]*Table1[[#This Row],[Discount]]</f>
        <v>0</v>
      </c>
      <c r="Q269" t="str">
        <f>VLOOKUP(E269,Products!$A$2:$E$23,2,0)</f>
        <v>Hoodie</v>
      </c>
      <c r="R269" t="str">
        <f>VLOOKUP(Table1[[#This Row],[Product ID]],Products!$A$2:$E$23,3,0)</f>
        <v>Clothing</v>
      </c>
      <c r="S269" t="str">
        <f>VLOOKUP(C269,Customers!$A$2:$F$201,4,0)</f>
        <v>Odisha</v>
      </c>
      <c r="T269" t="str">
        <f>VLOOKUP(Table1[[#This Row],[Customer ID]],Customers!$A$2:$F$201,5,0)</f>
        <v>East</v>
      </c>
      <c r="U269" t="str">
        <f>VLOOKUP(Table1[[#This Row],[Customer ID]],Customers!$A$2:$F$201,6,0)</f>
        <v>Consumer</v>
      </c>
      <c r="V269" t="str">
        <f>TEXT(Table1[[#This Row],[Order Date]],"MMM")</f>
        <v>Jun</v>
      </c>
      <c r="W269" t="str">
        <f>TEXT(Table1[[#This Row],[Order Date]],"yyyy")</f>
        <v>2024</v>
      </c>
    </row>
    <row r="270" spans="1:23" x14ac:dyDescent="0.25">
      <c r="A270" s="2" t="s">
        <v>468</v>
      </c>
      <c r="B270" s="4">
        <v>45449</v>
      </c>
      <c r="C270" s="2" t="s">
        <v>219</v>
      </c>
      <c r="D270" s="2" t="str">
        <f>TEXT(Table1[[#This Row],[Order Date]],"mmmm")</f>
        <v>June</v>
      </c>
      <c r="E270" s="2" t="s">
        <v>49</v>
      </c>
      <c r="F270" s="2">
        <v>3</v>
      </c>
      <c r="G270" s="5">
        <v>0.2</v>
      </c>
      <c r="H270" s="2" t="s">
        <v>30</v>
      </c>
      <c r="I270" s="2" t="s">
        <v>20</v>
      </c>
      <c r="J270" s="2" t="s">
        <v>21</v>
      </c>
      <c r="K270">
        <f>VLOOKUP(E270,Products!$A$2:$E$23,5,0)</f>
        <v>700</v>
      </c>
      <c r="L270">
        <f>VLOOKUP(E270,Products!$A$2:$E$23,4,0)</f>
        <v>450</v>
      </c>
      <c r="M270" s="2">
        <f>K270*F270-Table1[[#This Row],[discount_amount]]</f>
        <v>1680</v>
      </c>
      <c r="N270">
        <f t="shared" si="9"/>
        <v>1350</v>
      </c>
      <c r="O270">
        <f t="shared" si="8"/>
        <v>330</v>
      </c>
      <c r="P270">
        <f>Table1[[#This Row],[Quantity]]*Table1[[#This Row],[unit_price]]*Table1[[#This Row],[Discount]]</f>
        <v>420</v>
      </c>
      <c r="Q270" t="str">
        <f>VLOOKUP(E270,Products!$A$2:$E$23,2,0)</f>
        <v>Wireless Mouse</v>
      </c>
      <c r="R270" t="str">
        <f>VLOOKUP(Table1[[#This Row],[Product ID]],Products!$A$2:$E$23,3,0)</f>
        <v>Electronics</v>
      </c>
      <c r="S270" t="str">
        <f>VLOOKUP(C270,Customers!$A$2:$F$201,4,0)</f>
        <v>Gujarat</v>
      </c>
      <c r="T270" t="str">
        <f>VLOOKUP(Table1[[#This Row],[Customer ID]],Customers!$A$2:$F$201,5,0)</f>
        <v>West</v>
      </c>
      <c r="U270" t="str">
        <f>VLOOKUP(Table1[[#This Row],[Customer ID]],Customers!$A$2:$F$201,6,0)</f>
        <v>Consumer</v>
      </c>
      <c r="V270" t="str">
        <f>TEXT(Table1[[#This Row],[Order Date]],"MMM")</f>
        <v>Jun</v>
      </c>
      <c r="W270" t="str">
        <f>TEXT(Table1[[#This Row],[Order Date]],"yyyy")</f>
        <v>2024</v>
      </c>
    </row>
    <row r="271" spans="1:23" x14ac:dyDescent="0.25">
      <c r="A271" s="2" t="s">
        <v>469</v>
      </c>
      <c r="B271" s="4">
        <v>45450</v>
      </c>
      <c r="C271" s="2" t="s">
        <v>453</v>
      </c>
      <c r="D271" s="2" t="str">
        <f>TEXT(Table1[[#This Row],[Order Date]],"mmmm")</f>
        <v>June</v>
      </c>
      <c r="E271" s="2" t="s">
        <v>82</v>
      </c>
      <c r="F271" s="2">
        <v>1</v>
      </c>
      <c r="G271" s="5">
        <v>0.05</v>
      </c>
      <c r="H271" s="2" t="s">
        <v>30</v>
      </c>
      <c r="I271" s="2" t="s">
        <v>26</v>
      </c>
      <c r="J271" s="2" t="s">
        <v>79</v>
      </c>
      <c r="K271">
        <f>VLOOKUP(E271,Products!$A$2:$E$23,5,0)</f>
        <v>1799</v>
      </c>
      <c r="L271">
        <f>VLOOKUP(E271,Products!$A$2:$E$23,4,0)</f>
        <v>1100</v>
      </c>
      <c r="M271" s="2">
        <f>K271*F271-Table1[[#This Row],[discount_amount]]</f>
        <v>1709.05</v>
      </c>
      <c r="N271">
        <f t="shared" si="9"/>
        <v>1100</v>
      </c>
      <c r="O271">
        <f t="shared" si="8"/>
        <v>609.04999999999995</v>
      </c>
      <c r="P271">
        <f>Table1[[#This Row],[Quantity]]*Table1[[#This Row],[unit_price]]*Table1[[#This Row],[Discount]]</f>
        <v>89.95</v>
      </c>
      <c r="Q271" t="str">
        <f>VLOOKUP(E271,Products!$A$2:$E$23,2,0)</f>
        <v>Webcam HD</v>
      </c>
      <c r="R271" t="str">
        <f>VLOOKUP(Table1[[#This Row],[Product ID]],Products!$A$2:$E$23,3,0)</f>
        <v>Electronics</v>
      </c>
      <c r="S271" t="str">
        <f>VLOOKUP(C271,Customers!$A$2:$F$201,4,0)</f>
        <v>Chandigarh</v>
      </c>
      <c r="T271" t="str">
        <f>VLOOKUP(Table1[[#This Row],[Customer ID]],Customers!$A$2:$F$201,5,0)</f>
        <v>North</v>
      </c>
      <c r="U271" t="str">
        <f>VLOOKUP(Table1[[#This Row],[Customer ID]],Customers!$A$2:$F$201,6,0)</f>
        <v>Home Office</v>
      </c>
      <c r="V271" t="str">
        <f>TEXT(Table1[[#This Row],[Order Date]],"MMM")</f>
        <v>Jun</v>
      </c>
      <c r="W271" t="str">
        <f>TEXT(Table1[[#This Row],[Order Date]],"yyyy")</f>
        <v>2024</v>
      </c>
    </row>
    <row r="272" spans="1:23" x14ac:dyDescent="0.25">
      <c r="A272" s="2" t="s">
        <v>470</v>
      </c>
      <c r="B272" s="4">
        <v>45450</v>
      </c>
      <c r="C272" s="2" t="s">
        <v>40</v>
      </c>
      <c r="D272" s="2" t="str">
        <f>TEXT(Table1[[#This Row],[Order Date]],"mmmm")</f>
        <v>June</v>
      </c>
      <c r="E272" s="2" t="s">
        <v>37</v>
      </c>
      <c r="F272" s="2">
        <v>6</v>
      </c>
      <c r="G272" s="5">
        <v>0.1</v>
      </c>
      <c r="H272" s="2" t="s">
        <v>25</v>
      </c>
      <c r="I272" s="2" t="s">
        <v>46</v>
      </c>
      <c r="J272" s="2" t="s">
        <v>21</v>
      </c>
      <c r="K272">
        <f>VLOOKUP(E272,Products!$A$2:$E$23,5,0)</f>
        <v>1799</v>
      </c>
      <c r="L272">
        <f>VLOOKUP(E272,Products!$A$2:$E$23,4,0)</f>
        <v>900</v>
      </c>
      <c r="M272" s="2">
        <f>K272*F272-Table1[[#This Row],[discount_amount]]</f>
        <v>9714.6</v>
      </c>
      <c r="N272">
        <f t="shared" si="9"/>
        <v>5400</v>
      </c>
      <c r="O272">
        <f t="shared" si="8"/>
        <v>4314.6000000000004</v>
      </c>
      <c r="P272">
        <f>Table1[[#This Row],[Quantity]]*Table1[[#This Row],[unit_price]]*Table1[[#This Row],[Discount]]</f>
        <v>1079.4000000000001</v>
      </c>
      <c r="Q272" t="str">
        <f>VLOOKUP(E272,Products!$A$2:$E$23,2,0)</f>
        <v>Denim Jeans</v>
      </c>
      <c r="R272" t="str">
        <f>VLOOKUP(Table1[[#This Row],[Product ID]],Products!$A$2:$E$23,3,0)</f>
        <v>Clothing</v>
      </c>
      <c r="S272" t="str">
        <f>VLOOKUP(C272,Customers!$A$2:$F$201,4,0)</f>
        <v>Telangana</v>
      </c>
      <c r="T272" t="str">
        <f>VLOOKUP(Table1[[#This Row],[Customer ID]],Customers!$A$2:$F$201,5,0)</f>
        <v>South</v>
      </c>
      <c r="U272" t="str">
        <f>VLOOKUP(Table1[[#This Row],[Customer ID]],Customers!$A$2:$F$201,6,0)</f>
        <v>Corporate</v>
      </c>
      <c r="V272" t="str">
        <f>TEXT(Table1[[#This Row],[Order Date]],"MMM")</f>
        <v>Jun</v>
      </c>
      <c r="W272" t="str">
        <f>TEXT(Table1[[#This Row],[Order Date]],"yyyy")</f>
        <v>2024</v>
      </c>
    </row>
    <row r="273" spans="1:23" x14ac:dyDescent="0.25">
      <c r="A273" s="2" t="s">
        <v>471</v>
      </c>
      <c r="B273" s="4">
        <v>45450</v>
      </c>
      <c r="C273" s="2" t="s">
        <v>391</v>
      </c>
      <c r="D273" s="2" t="str">
        <f>TEXT(Table1[[#This Row],[Order Date]],"mmmm")</f>
        <v>June</v>
      </c>
      <c r="E273" s="2" t="s">
        <v>37</v>
      </c>
      <c r="F273" s="2">
        <v>2</v>
      </c>
      <c r="G273" s="5">
        <v>0</v>
      </c>
      <c r="H273" s="2" t="s">
        <v>30</v>
      </c>
      <c r="I273" s="2" t="s">
        <v>20</v>
      </c>
      <c r="J273" s="2" t="s">
        <v>21</v>
      </c>
      <c r="K273">
        <f>VLOOKUP(E273,Products!$A$2:$E$23,5,0)</f>
        <v>1799</v>
      </c>
      <c r="L273">
        <f>VLOOKUP(E273,Products!$A$2:$E$23,4,0)</f>
        <v>900</v>
      </c>
      <c r="M273" s="2">
        <f>K273*F273-Table1[[#This Row],[discount_amount]]</f>
        <v>3598</v>
      </c>
      <c r="N273">
        <f t="shared" si="9"/>
        <v>1800</v>
      </c>
      <c r="O273">
        <f t="shared" si="8"/>
        <v>1798</v>
      </c>
      <c r="P273">
        <f>Table1[[#This Row],[Quantity]]*Table1[[#This Row],[unit_price]]*Table1[[#This Row],[Discount]]</f>
        <v>0</v>
      </c>
      <c r="Q273" t="str">
        <f>VLOOKUP(E273,Products!$A$2:$E$23,2,0)</f>
        <v>Denim Jeans</v>
      </c>
      <c r="R273" t="str">
        <f>VLOOKUP(Table1[[#This Row],[Product ID]],Products!$A$2:$E$23,3,0)</f>
        <v>Clothing</v>
      </c>
      <c r="S273" t="str">
        <f>VLOOKUP(C273,Customers!$A$2:$F$201,4,0)</f>
        <v>Chandigarh</v>
      </c>
      <c r="T273" t="str">
        <f>VLOOKUP(Table1[[#This Row],[Customer ID]],Customers!$A$2:$F$201,5,0)</f>
        <v>North</v>
      </c>
      <c r="U273" t="str">
        <f>VLOOKUP(Table1[[#This Row],[Customer ID]],Customers!$A$2:$F$201,6,0)</f>
        <v>Corporate</v>
      </c>
      <c r="V273" t="str">
        <f>TEXT(Table1[[#This Row],[Order Date]],"MMM")</f>
        <v>Jun</v>
      </c>
      <c r="W273" t="str">
        <f>TEXT(Table1[[#This Row],[Order Date]],"yyyy")</f>
        <v>2024</v>
      </c>
    </row>
    <row r="274" spans="1:23" x14ac:dyDescent="0.25">
      <c r="A274" s="2" t="s">
        <v>472</v>
      </c>
      <c r="B274" s="4">
        <v>45450</v>
      </c>
      <c r="C274" s="2" t="s">
        <v>108</v>
      </c>
      <c r="D274" s="2" t="str">
        <f>TEXT(Table1[[#This Row],[Order Date]],"mmmm")</f>
        <v>June</v>
      </c>
      <c r="E274" s="2" t="s">
        <v>121</v>
      </c>
      <c r="F274" s="2">
        <v>10</v>
      </c>
      <c r="G274" s="5">
        <v>0</v>
      </c>
      <c r="H274" s="2" t="s">
        <v>30</v>
      </c>
      <c r="I274" s="2" t="s">
        <v>38</v>
      </c>
      <c r="J274" s="2" t="s">
        <v>21</v>
      </c>
      <c r="K274">
        <f>VLOOKUP(E274,Products!$A$2:$E$23,5,0)</f>
        <v>499</v>
      </c>
      <c r="L274">
        <f>VLOOKUP(E274,Products!$A$2:$E$23,4,0)</f>
        <v>250</v>
      </c>
      <c r="M274" s="2">
        <f>K274*F274-Table1[[#This Row],[discount_amount]]</f>
        <v>4990</v>
      </c>
      <c r="N274">
        <f t="shared" si="9"/>
        <v>2500</v>
      </c>
      <c r="O274">
        <f t="shared" si="8"/>
        <v>2490</v>
      </c>
      <c r="P274">
        <f>Table1[[#This Row],[Quantity]]*Table1[[#This Row],[unit_price]]*Table1[[#This Row],[Discount]]</f>
        <v>0</v>
      </c>
      <c r="Q274" t="str">
        <f>VLOOKUP(E274,Products!$A$2:$E$23,2,0)</f>
        <v>Cotton T-Shirt</v>
      </c>
      <c r="R274" t="str">
        <f>VLOOKUP(Table1[[#This Row],[Product ID]],Products!$A$2:$E$23,3,0)</f>
        <v>Clothing</v>
      </c>
      <c r="S274" t="str">
        <f>VLOOKUP(C274,Customers!$A$2:$F$201,4,0)</f>
        <v>West Bengal</v>
      </c>
      <c r="T274" t="str">
        <f>VLOOKUP(Table1[[#This Row],[Customer ID]],Customers!$A$2:$F$201,5,0)</f>
        <v>East</v>
      </c>
      <c r="U274" t="str">
        <f>VLOOKUP(Table1[[#This Row],[Customer ID]],Customers!$A$2:$F$201,6,0)</f>
        <v>Corporate</v>
      </c>
      <c r="V274" t="str">
        <f>TEXT(Table1[[#This Row],[Order Date]],"MMM")</f>
        <v>Jun</v>
      </c>
      <c r="W274" t="str">
        <f>TEXT(Table1[[#This Row],[Order Date]],"yyyy")</f>
        <v>2024</v>
      </c>
    </row>
    <row r="275" spans="1:23" x14ac:dyDescent="0.25">
      <c r="A275" s="2" t="s">
        <v>473</v>
      </c>
      <c r="B275" s="4">
        <v>45451</v>
      </c>
      <c r="C275" s="2" t="s">
        <v>203</v>
      </c>
      <c r="D275" s="2" t="str">
        <f>TEXT(Table1[[#This Row],[Order Date]],"mmmm")</f>
        <v>June</v>
      </c>
      <c r="E275" s="2" t="s">
        <v>127</v>
      </c>
      <c r="F275" s="2">
        <v>10</v>
      </c>
      <c r="G275" s="5">
        <v>0.1</v>
      </c>
      <c r="H275" s="2" t="s">
        <v>19</v>
      </c>
      <c r="I275" s="2" t="s">
        <v>38</v>
      </c>
      <c r="J275" s="2" t="s">
        <v>21</v>
      </c>
      <c r="K275">
        <f>VLOOKUP(E275,Products!$A$2:$E$23,5,0)</f>
        <v>1999</v>
      </c>
      <c r="L275">
        <f>VLOOKUP(E275,Products!$A$2:$E$23,4,0)</f>
        <v>1200</v>
      </c>
      <c r="M275" s="2">
        <f>K275*F275-Table1[[#This Row],[discount_amount]]</f>
        <v>17991</v>
      </c>
      <c r="N275">
        <f t="shared" si="9"/>
        <v>12000</v>
      </c>
      <c r="O275">
        <f t="shared" si="8"/>
        <v>5991</v>
      </c>
      <c r="P275">
        <f>Table1[[#This Row],[Quantity]]*Table1[[#This Row],[unit_price]]*Table1[[#This Row],[Discount]]</f>
        <v>1999</v>
      </c>
      <c r="Q275" t="str">
        <f>VLOOKUP(E275,Products!$A$2:$E$23,2,0)</f>
        <v>Bluetooth Speaker</v>
      </c>
      <c r="R275" t="str">
        <f>VLOOKUP(Table1[[#This Row],[Product ID]],Products!$A$2:$E$23,3,0)</f>
        <v>Electronics</v>
      </c>
      <c r="S275" t="str">
        <f>VLOOKUP(C275,Customers!$A$2:$F$201,4,0)</f>
        <v>Kerala</v>
      </c>
      <c r="T275" t="str">
        <f>VLOOKUP(Table1[[#This Row],[Customer ID]],Customers!$A$2:$F$201,5,0)</f>
        <v>South</v>
      </c>
      <c r="U275" t="str">
        <f>VLOOKUP(Table1[[#This Row],[Customer ID]],Customers!$A$2:$F$201,6,0)</f>
        <v>Corporate</v>
      </c>
      <c r="V275" t="str">
        <f>TEXT(Table1[[#This Row],[Order Date]],"MMM")</f>
        <v>Jun</v>
      </c>
      <c r="W275" t="str">
        <f>TEXT(Table1[[#This Row],[Order Date]],"yyyy")</f>
        <v>2024</v>
      </c>
    </row>
    <row r="276" spans="1:23" x14ac:dyDescent="0.25">
      <c r="A276" s="2" t="s">
        <v>474</v>
      </c>
      <c r="B276" s="4">
        <v>45452</v>
      </c>
      <c r="C276" s="2" t="s">
        <v>337</v>
      </c>
      <c r="D276" s="2" t="str">
        <f>TEXT(Table1[[#This Row],[Order Date]],"mmmm")</f>
        <v>June</v>
      </c>
      <c r="E276" s="2" t="s">
        <v>135</v>
      </c>
      <c r="F276" s="2">
        <v>3</v>
      </c>
      <c r="G276" s="5">
        <v>0.1</v>
      </c>
      <c r="H276" s="2" t="s">
        <v>19</v>
      </c>
      <c r="I276" s="2" t="s">
        <v>46</v>
      </c>
      <c r="J276" s="2" t="s">
        <v>21</v>
      </c>
      <c r="K276">
        <f>VLOOKUP(E276,Products!$A$2:$E$23,5,0)</f>
        <v>220</v>
      </c>
      <c r="L276">
        <f>VLOOKUP(E276,Products!$A$2:$E$23,4,0)</f>
        <v>120</v>
      </c>
      <c r="M276" s="2">
        <f>K276*F276-Table1[[#This Row],[discount_amount]]</f>
        <v>594</v>
      </c>
      <c r="N276">
        <f t="shared" si="9"/>
        <v>360</v>
      </c>
      <c r="O276">
        <f t="shared" si="8"/>
        <v>234</v>
      </c>
      <c r="P276">
        <f>Table1[[#This Row],[Quantity]]*Table1[[#This Row],[unit_price]]*Table1[[#This Row],[Discount]]</f>
        <v>66</v>
      </c>
      <c r="Q276" t="str">
        <f>VLOOKUP(E276,Products!$A$2:$E$23,2,0)</f>
        <v>Stapler</v>
      </c>
      <c r="R276" t="str">
        <f>VLOOKUP(Table1[[#This Row],[Product ID]],Products!$A$2:$E$23,3,0)</f>
        <v>Office Supplies</v>
      </c>
      <c r="S276" t="str">
        <f>VLOOKUP(C276,Customers!$A$2:$F$201,4,0)</f>
        <v>Madhya Pradesh</v>
      </c>
      <c r="T276" t="str">
        <f>VLOOKUP(Table1[[#This Row],[Customer ID]],Customers!$A$2:$F$201,5,0)</f>
        <v>Central</v>
      </c>
      <c r="U276" t="str">
        <f>VLOOKUP(Table1[[#This Row],[Customer ID]],Customers!$A$2:$F$201,6,0)</f>
        <v>Corporate</v>
      </c>
      <c r="V276" t="str">
        <f>TEXT(Table1[[#This Row],[Order Date]],"MMM")</f>
        <v>Jun</v>
      </c>
      <c r="W276" t="str">
        <f>TEXT(Table1[[#This Row],[Order Date]],"yyyy")</f>
        <v>2024</v>
      </c>
    </row>
    <row r="277" spans="1:23" x14ac:dyDescent="0.25">
      <c r="A277" s="2" t="s">
        <v>475</v>
      </c>
      <c r="B277" s="4">
        <v>45452</v>
      </c>
      <c r="C277" s="2" t="s">
        <v>439</v>
      </c>
      <c r="D277" s="2" t="str">
        <f>TEXT(Table1[[#This Row],[Order Date]],"mmmm")</f>
        <v>June</v>
      </c>
      <c r="E277" s="2" t="s">
        <v>155</v>
      </c>
      <c r="F277" s="2">
        <v>2</v>
      </c>
      <c r="G277" s="5">
        <v>0</v>
      </c>
      <c r="H277" s="2" t="s">
        <v>30</v>
      </c>
      <c r="I277" s="2" t="s">
        <v>20</v>
      </c>
      <c r="J277" s="2" t="s">
        <v>21</v>
      </c>
      <c r="K277">
        <f>VLOOKUP(E277,Products!$A$2:$E$23,5,0)</f>
        <v>1599</v>
      </c>
      <c r="L277">
        <f>VLOOKUP(E277,Products!$A$2:$E$23,4,0)</f>
        <v>900</v>
      </c>
      <c r="M277" s="2">
        <f>K277*F277-Table1[[#This Row],[discount_amount]]</f>
        <v>3198</v>
      </c>
      <c r="N277">
        <f t="shared" si="9"/>
        <v>1800</v>
      </c>
      <c r="O277">
        <f t="shared" si="8"/>
        <v>1398</v>
      </c>
      <c r="P277">
        <f>Table1[[#This Row],[Quantity]]*Table1[[#This Row],[unit_price]]*Table1[[#This Row],[Discount]]</f>
        <v>0</v>
      </c>
      <c r="Q277" t="str">
        <f>VLOOKUP(E277,Products!$A$2:$E$23,2,0)</f>
        <v>Headphones</v>
      </c>
      <c r="R277" t="str">
        <f>VLOOKUP(Table1[[#This Row],[Product ID]],Products!$A$2:$E$23,3,0)</f>
        <v>Electronics</v>
      </c>
      <c r="S277" t="str">
        <f>VLOOKUP(C277,Customers!$A$2:$F$201,4,0)</f>
        <v>Chandigarh</v>
      </c>
      <c r="T277" t="str">
        <f>VLOOKUP(Table1[[#This Row],[Customer ID]],Customers!$A$2:$F$201,5,0)</f>
        <v>North</v>
      </c>
      <c r="U277" t="str">
        <f>VLOOKUP(Table1[[#This Row],[Customer ID]],Customers!$A$2:$F$201,6,0)</f>
        <v>Corporate</v>
      </c>
      <c r="V277" t="str">
        <f>TEXT(Table1[[#This Row],[Order Date]],"MMM")</f>
        <v>Jun</v>
      </c>
      <c r="W277" t="str">
        <f>TEXT(Table1[[#This Row],[Order Date]],"yyyy")</f>
        <v>2024</v>
      </c>
    </row>
    <row r="278" spans="1:23" x14ac:dyDescent="0.25">
      <c r="A278" s="2" t="s">
        <v>476</v>
      </c>
      <c r="B278" s="4">
        <v>45453</v>
      </c>
      <c r="C278" s="2" t="s">
        <v>110</v>
      </c>
      <c r="D278" s="2" t="str">
        <f>TEXT(Table1[[#This Row],[Order Date]],"mmmm")</f>
        <v>June</v>
      </c>
      <c r="E278" s="2" t="s">
        <v>155</v>
      </c>
      <c r="F278" s="2">
        <v>5</v>
      </c>
      <c r="G278" s="5">
        <v>0.05</v>
      </c>
      <c r="H278" s="2" t="s">
        <v>19</v>
      </c>
      <c r="I278" s="2" t="s">
        <v>38</v>
      </c>
      <c r="J278" s="2" t="s">
        <v>79</v>
      </c>
      <c r="K278">
        <f>VLOOKUP(E278,Products!$A$2:$E$23,5,0)</f>
        <v>1599</v>
      </c>
      <c r="L278">
        <f>VLOOKUP(E278,Products!$A$2:$E$23,4,0)</f>
        <v>900</v>
      </c>
      <c r="M278" s="2">
        <f>K278*F278-Table1[[#This Row],[discount_amount]]</f>
        <v>7595.25</v>
      </c>
      <c r="N278">
        <f t="shared" si="9"/>
        <v>4500</v>
      </c>
      <c r="O278">
        <f t="shared" si="8"/>
        <v>3095.25</v>
      </c>
      <c r="P278">
        <f>Table1[[#This Row],[Quantity]]*Table1[[#This Row],[unit_price]]*Table1[[#This Row],[Discount]]</f>
        <v>399.75</v>
      </c>
      <c r="Q278" t="str">
        <f>VLOOKUP(E278,Products!$A$2:$E$23,2,0)</f>
        <v>Headphones</v>
      </c>
      <c r="R278" t="str">
        <f>VLOOKUP(Table1[[#This Row],[Product ID]],Products!$A$2:$E$23,3,0)</f>
        <v>Electronics</v>
      </c>
      <c r="S278" t="str">
        <f>VLOOKUP(C278,Customers!$A$2:$F$201,4,0)</f>
        <v>Gujarat</v>
      </c>
      <c r="T278" t="str">
        <f>VLOOKUP(Table1[[#This Row],[Customer ID]],Customers!$A$2:$F$201,5,0)</f>
        <v>West</v>
      </c>
      <c r="U278" t="str">
        <f>VLOOKUP(Table1[[#This Row],[Customer ID]],Customers!$A$2:$F$201,6,0)</f>
        <v>Corporate</v>
      </c>
      <c r="V278" t="str">
        <f>TEXT(Table1[[#This Row],[Order Date]],"MMM")</f>
        <v>Jun</v>
      </c>
      <c r="W278" t="str">
        <f>TEXT(Table1[[#This Row],[Order Date]],"yyyy")</f>
        <v>2024</v>
      </c>
    </row>
    <row r="279" spans="1:23" x14ac:dyDescent="0.25">
      <c r="A279" s="2" t="s">
        <v>477</v>
      </c>
      <c r="B279" s="4">
        <v>45453</v>
      </c>
      <c r="C279" s="2" t="s">
        <v>383</v>
      </c>
      <c r="D279" s="2" t="str">
        <f>TEXT(Table1[[#This Row],[Order Date]],"mmmm")</f>
        <v>June</v>
      </c>
      <c r="E279" s="2" t="s">
        <v>57</v>
      </c>
      <c r="F279" s="2">
        <v>5</v>
      </c>
      <c r="G279" s="5">
        <v>0</v>
      </c>
      <c r="H279" s="2" t="s">
        <v>19</v>
      </c>
      <c r="I279" s="2" t="s">
        <v>46</v>
      </c>
      <c r="J279" s="2" t="s">
        <v>79</v>
      </c>
      <c r="K279">
        <f>VLOOKUP(E279,Products!$A$2:$E$23,5,0)</f>
        <v>1599</v>
      </c>
      <c r="L279">
        <f>VLOOKUP(E279,Products!$A$2:$E$23,4,0)</f>
        <v>800</v>
      </c>
      <c r="M279" s="2">
        <f>K279*F279-Table1[[#This Row],[discount_amount]]</f>
        <v>7995</v>
      </c>
      <c r="N279">
        <f t="shared" si="9"/>
        <v>4000</v>
      </c>
      <c r="O279">
        <f t="shared" si="8"/>
        <v>3995</v>
      </c>
      <c r="P279">
        <f>Table1[[#This Row],[Quantity]]*Table1[[#This Row],[unit_price]]*Table1[[#This Row],[Discount]]</f>
        <v>0</v>
      </c>
      <c r="Q279" t="str">
        <f>VLOOKUP(E279,Products!$A$2:$E$23,2,0)</f>
        <v>Hoodie</v>
      </c>
      <c r="R279" t="str">
        <f>VLOOKUP(Table1[[#This Row],[Product ID]],Products!$A$2:$E$23,3,0)</f>
        <v>Clothing</v>
      </c>
      <c r="S279" t="str">
        <f>VLOOKUP(C279,Customers!$A$2:$F$201,4,0)</f>
        <v>Bihar</v>
      </c>
      <c r="T279" t="str">
        <f>VLOOKUP(Table1[[#This Row],[Customer ID]],Customers!$A$2:$F$201,5,0)</f>
        <v>East</v>
      </c>
      <c r="U279" t="str">
        <f>VLOOKUP(Table1[[#This Row],[Customer ID]],Customers!$A$2:$F$201,6,0)</f>
        <v>Home Office</v>
      </c>
      <c r="V279" t="str">
        <f>TEXT(Table1[[#This Row],[Order Date]],"MMM")</f>
        <v>Jun</v>
      </c>
      <c r="W279" t="str">
        <f>TEXT(Table1[[#This Row],[Order Date]],"yyyy")</f>
        <v>2024</v>
      </c>
    </row>
    <row r="280" spans="1:23" x14ac:dyDescent="0.25">
      <c r="A280" s="2" t="s">
        <v>478</v>
      </c>
      <c r="B280" s="4">
        <v>45453</v>
      </c>
      <c r="C280" s="2" t="s">
        <v>479</v>
      </c>
      <c r="D280" s="2" t="str">
        <f>TEXT(Table1[[#This Row],[Order Date]],"mmmm")</f>
        <v>June</v>
      </c>
      <c r="E280" s="2" t="s">
        <v>54</v>
      </c>
      <c r="F280" s="2">
        <v>3</v>
      </c>
      <c r="G280" s="5">
        <v>0.05</v>
      </c>
      <c r="H280" s="2" t="s">
        <v>19</v>
      </c>
      <c r="I280" s="2" t="s">
        <v>31</v>
      </c>
      <c r="J280" s="2" t="s">
        <v>21</v>
      </c>
      <c r="K280">
        <f>VLOOKUP(E280,Products!$A$2:$E$23,5,0)</f>
        <v>299</v>
      </c>
      <c r="L280">
        <f>VLOOKUP(E280,Products!$A$2:$E$23,4,0)</f>
        <v>180</v>
      </c>
      <c r="M280" s="2">
        <f>K280*F280-Table1[[#This Row],[discount_amount]]</f>
        <v>852.15</v>
      </c>
      <c r="N280">
        <f t="shared" si="9"/>
        <v>540</v>
      </c>
      <c r="O280">
        <f t="shared" si="8"/>
        <v>312.14999999999998</v>
      </c>
      <c r="P280">
        <f>Table1[[#This Row],[Quantity]]*Table1[[#This Row],[unit_price]]*Table1[[#This Row],[Discount]]</f>
        <v>44.85</v>
      </c>
      <c r="Q280" t="str">
        <f>VLOOKUP(E280,Products!$A$2:$E$23,2,0)</f>
        <v>Notebook Pack of 5</v>
      </c>
      <c r="R280" t="str">
        <f>VLOOKUP(Table1[[#This Row],[Product ID]],Products!$A$2:$E$23,3,0)</f>
        <v>Office Supplies</v>
      </c>
      <c r="S280" t="str">
        <f>VLOOKUP(C280,Customers!$A$2:$F$201,4,0)</f>
        <v>Telangana</v>
      </c>
      <c r="T280" t="str">
        <f>VLOOKUP(Table1[[#This Row],[Customer ID]],Customers!$A$2:$F$201,5,0)</f>
        <v>South</v>
      </c>
      <c r="U280" t="str">
        <f>VLOOKUP(Table1[[#This Row],[Customer ID]],Customers!$A$2:$F$201,6,0)</f>
        <v>Consumer</v>
      </c>
      <c r="V280" t="str">
        <f>TEXT(Table1[[#This Row],[Order Date]],"MMM")</f>
        <v>Jun</v>
      </c>
      <c r="W280" t="str">
        <f>TEXT(Table1[[#This Row],[Order Date]],"yyyy")</f>
        <v>2024</v>
      </c>
    </row>
    <row r="281" spans="1:23" x14ac:dyDescent="0.25">
      <c r="A281" s="2" t="s">
        <v>480</v>
      </c>
      <c r="B281" s="4">
        <v>45454</v>
      </c>
      <c r="C281" s="2" t="s">
        <v>304</v>
      </c>
      <c r="D281" s="2" t="str">
        <f>TEXT(Table1[[#This Row],[Order Date]],"mmmm")</f>
        <v>June</v>
      </c>
      <c r="E281" s="2" t="s">
        <v>127</v>
      </c>
      <c r="F281" s="2">
        <v>1</v>
      </c>
      <c r="G281" s="5">
        <v>0</v>
      </c>
      <c r="H281" s="2" t="s">
        <v>25</v>
      </c>
      <c r="I281" s="2" t="s">
        <v>20</v>
      </c>
      <c r="J281" s="2" t="s">
        <v>21</v>
      </c>
      <c r="K281">
        <f>VLOOKUP(E281,Products!$A$2:$E$23,5,0)</f>
        <v>1999</v>
      </c>
      <c r="L281">
        <f>VLOOKUP(E281,Products!$A$2:$E$23,4,0)</f>
        <v>1200</v>
      </c>
      <c r="M281" s="2">
        <f>K281*F281-Table1[[#This Row],[discount_amount]]</f>
        <v>1999</v>
      </c>
      <c r="N281">
        <f t="shared" si="9"/>
        <v>1200</v>
      </c>
      <c r="O281">
        <f t="shared" si="8"/>
        <v>799</v>
      </c>
      <c r="P281">
        <f>Table1[[#This Row],[Quantity]]*Table1[[#This Row],[unit_price]]*Table1[[#This Row],[Discount]]</f>
        <v>0</v>
      </c>
      <c r="Q281" t="str">
        <f>VLOOKUP(E281,Products!$A$2:$E$23,2,0)</f>
        <v>Bluetooth Speaker</v>
      </c>
      <c r="R281" t="str">
        <f>VLOOKUP(Table1[[#This Row],[Product ID]],Products!$A$2:$E$23,3,0)</f>
        <v>Electronics</v>
      </c>
      <c r="S281" t="str">
        <f>VLOOKUP(C281,Customers!$A$2:$F$201,4,0)</f>
        <v>Gujarat</v>
      </c>
      <c r="T281" t="str">
        <f>VLOOKUP(Table1[[#This Row],[Customer ID]],Customers!$A$2:$F$201,5,0)</f>
        <v>West</v>
      </c>
      <c r="U281" t="str">
        <f>VLOOKUP(Table1[[#This Row],[Customer ID]],Customers!$A$2:$F$201,6,0)</f>
        <v>Home Office</v>
      </c>
      <c r="V281" t="str">
        <f>TEXT(Table1[[#This Row],[Order Date]],"MMM")</f>
        <v>Jun</v>
      </c>
      <c r="W281" t="str">
        <f>TEXT(Table1[[#This Row],[Order Date]],"yyyy")</f>
        <v>2024</v>
      </c>
    </row>
    <row r="282" spans="1:23" x14ac:dyDescent="0.25">
      <c r="A282" s="2" t="s">
        <v>481</v>
      </c>
      <c r="B282" s="4">
        <v>45454</v>
      </c>
      <c r="C282" s="2" t="s">
        <v>482</v>
      </c>
      <c r="D282" s="2" t="str">
        <f>TEXT(Table1[[#This Row],[Order Date]],"mmmm")</f>
        <v>June</v>
      </c>
      <c r="E282" s="2" t="s">
        <v>91</v>
      </c>
      <c r="F282" s="2">
        <v>10</v>
      </c>
      <c r="G282" s="5">
        <v>0</v>
      </c>
      <c r="H282" s="2" t="s">
        <v>25</v>
      </c>
      <c r="I282" s="2" t="s">
        <v>20</v>
      </c>
      <c r="J282" s="2" t="s">
        <v>21</v>
      </c>
      <c r="K282">
        <f>VLOOKUP(E282,Products!$A$2:$E$23,5,0)</f>
        <v>1199</v>
      </c>
      <c r="L282">
        <f>VLOOKUP(E282,Products!$A$2:$E$23,4,0)</f>
        <v>600</v>
      </c>
      <c r="M282" s="2">
        <f>K282*F282-Table1[[#This Row],[discount_amount]]</f>
        <v>11990</v>
      </c>
      <c r="N282">
        <f t="shared" si="9"/>
        <v>6000</v>
      </c>
      <c r="O282">
        <f t="shared" si="8"/>
        <v>5990</v>
      </c>
      <c r="P282">
        <f>Table1[[#This Row],[Quantity]]*Table1[[#This Row],[unit_price]]*Table1[[#This Row],[Discount]]</f>
        <v>0</v>
      </c>
      <c r="Q282" t="str">
        <f>VLOOKUP(E282,Products!$A$2:$E$23,2,0)</f>
        <v>Formal Shirt</v>
      </c>
      <c r="R282" t="str">
        <f>VLOOKUP(Table1[[#This Row],[Product ID]],Products!$A$2:$E$23,3,0)</f>
        <v>Clothing</v>
      </c>
      <c r="S282" t="str">
        <f>VLOOKUP(C282,Customers!$A$2:$F$201,4,0)</f>
        <v>Chandigarh</v>
      </c>
      <c r="T282" t="str">
        <f>VLOOKUP(Table1[[#This Row],[Customer ID]],Customers!$A$2:$F$201,5,0)</f>
        <v>North</v>
      </c>
      <c r="U282" t="str">
        <f>VLOOKUP(Table1[[#This Row],[Customer ID]],Customers!$A$2:$F$201,6,0)</f>
        <v>Home Office</v>
      </c>
      <c r="V282" t="str">
        <f>TEXT(Table1[[#This Row],[Order Date]],"MMM")</f>
        <v>Jun</v>
      </c>
      <c r="W282" t="str">
        <f>TEXT(Table1[[#This Row],[Order Date]],"yyyy")</f>
        <v>2024</v>
      </c>
    </row>
    <row r="283" spans="1:23" x14ac:dyDescent="0.25">
      <c r="A283" s="2" t="s">
        <v>483</v>
      </c>
      <c r="B283" s="4">
        <v>45456</v>
      </c>
      <c r="C283" s="2" t="s">
        <v>421</v>
      </c>
      <c r="D283" s="2" t="str">
        <f>TEXT(Table1[[#This Row],[Order Date]],"mmmm")</f>
        <v>June</v>
      </c>
      <c r="E283" s="2" t="s">
        <v>121</v>
      </c>
      <c r="F283" s="2">
        <v>6</v>
      </c>
      <c r="G283" s="5">
        <v>0.05</v>
      </c>
      <c r="H283" s="2" t="s">
        <v>19</v>
      </c>
      <c r="I283" s="2" t="s">
        <v>38</v>
      </c>
      <c r="J283" s="2" t="s">
        <v>21</v>
      </c>
      <c r="K283">
        <f>VLOOKUP(E283,Products!$A$2:$E$23,5,0)</f>
        <v>499</v>
      </c>
      <c r="L283">
        <f>VLOOKUP(E283,Products!$A$2:$E$23,4,0)</f>
        <v>250</v>
      </c>
      <c r="M283" s="2">
        <f>K283*F283-Table1[[#This Row],[discount_amount]]</f>
        <v>2844.3</v>
      </c>
      <c r="N283">
        <f t="shared" si="9"/>
        <v>1500</v>
      </c>
      <c r="O283">
        <f t="shared" si="8"/>
        <v>1344.3000000000002</v>
      </c>
      <c r="P283">
        <f>Table1[[#This Row],[Quantity]]*Table1[[#This Row],[unit_price]]*Table1[[#This Row],[Discount]]</f>
        <v>149.70000000000002</v>
      </c>
      <c r="Q283" t="str">
        <f>VLOOKUP(E283,Products!$A$2:$E$23,2,0)</f>
        <v>Cotton T-Shirt</v>
      </c>
      <c r="R283" t="str">
        <f>VLOOKUP(Table1[[#This Row],[Product ID]],Products!$A$2:$E$23,3,0)</f>
        <v>Clothing</v>
      </c>
      <c r="S283" t="str">
        <f>VLOOKUP(C283,Customers!$A$2:$F$201,4,0)</f>
        <v>Madhya Pradesh</v>
      </c>
      <c r="T283" t="str">
        <f>VLOOKUP(Table1[[#This Row],[Customer ID]],Customers!$A$2:$F$201,5,0)</f>
        <v>Central</v>
      </c>
      <c r="U283" t="str">
        <f>VLOOKUP(Table1[[#This Row],[Customer ID]],Customers!$A$2:$F$201,6,0)</f>
        <v>Consumer</v>
      </c>
      <c r="V283" t="str">
        <f>TEXT(Table1[[#This Row],[Order Date]],"MMM")</f>
        <v>Jun</v>
      </c>
      <c r="W283" t="str">
        <f>TEXT(Table1[[#This Row],[Order Date]],"yyyy")</f>
        <v>2024</v>
      </c>
    </row>
    <row r="284" spans="1:23" x14ac:dyDescent="0.25">
      <c r="A284" s="2" t="s">
        <v>484</v>
      </c>
      <c r="B284" s="4">
        <v>45456</v>
      </c>
      <c r="C284" s="2" t="s">
        <v>347</v>
      </c>
      <c r="D284" s="2" t="str">
        <f>TEXT(Table1[[#This Row],[Order Date]],"mmmm")</f>
        <v>June</v>
      </c>
      <c r="E284" s="2" t="s">
        <v>118</v>
      </c>
      <c r="F284" s="2">
        <v>1</v>
      </c>
      <c r="G284" s="5">
        <v>0.05</v>
      </c>
      <c r="H284" s="2" t="s">
        <v>25</v>
      </c>
      <c r="I284" s="2" t="s">
        <v>31</v>
      </c>
      <c r="J284" s="2" t="s">
        <v>79</v>
      </c>
      <c r="K284">
        <f>VLOOKUP(E284,Products!$A$2:$E$23,5,0)</f>
        <v>150</v>
      </c>
      <c r="L284">
        <f>VLOOKUP(E284,Products!$A$2:$E$23,4,0)</f>
        <v>90</v>
      </c>
      <c r="M284" s="2">
        <f>K284*F284-Table1[[#This Row],[discount_amount]]</f>
        <v>142.5</v>
      </c>
      <c r="N284">
        <f t="shared" si="9"/>
        <v>90</v>
      </c>
      <c r="O284">
        <f t="shared" si="8"/>
        <v>52.5</v>
      </c>
      <c r="P284">
        <f>Table1[[#This Row],[Quantity]]*Table1[[#This Row],[unit_price]]*Table1[[#This Row],[Discount]]</f>
        <v>7.5</v>
      </c>
      <c r="Q284" t="str">
        <f>VLOOKUP(E284,Products!$A$2:$E$23,2,0)</f>
        <v>Gel Pen Box</v>
      </c>
      <c r="R284" t="str">
        <f>VLOOKUP(Table1[[#This Row],[Product ID]],Products!$A$2:$E$23,3,0)</f>
        <v>Office Supplies</v>
      </c>
      <c r="S284" t="str">
        <f>VLOOKUP(C284,Customers!$A$2:$F$201,4,0)</f>
        <v>Madhya Pradesh</v>
      </c>
      <c r="T284" t="str">
        <f>VLOOKUP(Table1[[#This Row],[Customer ID]],Customers!$A$2:$F$201,5,0)</f>
        <v>Central</v>
      </c>
      <c r="U284" t="str">
        <f>VLOOKUP(Table1[[#This Row],[Customer ID]],Customers!$A$2:$F$201,6,0)</f>
        <v>Home Office</v>
      </c>
      <c r="V284" t="str">
        <f>TEXT(Table1[[#This Row],[Order Date]],"MMM")</f>
        <v>Jun</v>
      </c>
      <c r="W284" t="str">
        <f>TEXT(Table1[[#This Row],[Order Date]],"yyyy")</f>
        <v>2024</v>
      </c>
    </row>
    <row r="285" spans="1:23" x14ac:dyDescent="0.25">
      <c r="A285" s="2" t="s">
        <v>485</v>
      </c>
      <c r="B285" s="4">
        <v>45457</v>
      </c>
      <c r="C285" s="2" t="s">
        <v>183</v>
      </c>
      <c r="D285" s="2" t="str">
        <f>TEXT(Table1[[#This Row],[Order Date]],"mmmm")</f>
        <v>June</v>
      </c>
      <c r="E285" s="2" t="s">
        <v>66</v>
      </c>
      <c r="F285" s="2">
        <v>6</v>
      </c>
      <c r="G285" s="5">
        <v>0</v>
      </c>
      <c r="H285" s="2" t="s">
        <v>30</v>
      </c>
      <c r="I285" s="2" t="s">
        <v>46</v>
      </c>
      <c r="J285" s="2" t="s">
        <v>42</v>
      </c>
      <c r="K285">
        <f>VLOOKUP(E285,Products!$A$2:$E$23,5,0)</f>
        <v>1299</v>
      </c>
      <c r="L285">
        <f>VLOOKUP(E285,Products!$A$2:$E$23,4,0)</f>
        <v>800</v>
      </c>
      <c r="M285" s="2">
        <f>K285*F285-Table1[[#This Row],[discount_amount]]</f>
        <v>7794</v>
      </c>
      <c r="N285">
        <f t="shared" si="9"/>
        <v>4800</v>
      </c>
      <c r="O285">
        <f t="shared" si="8"/>
        <v>2994</v>
      </c>
      <c r="P285">
        <f>Table1[[#This Row],[Quantity]]*Table1[[#This Row],[unit_price]]*Table1[[#This Row],[Discount]]</f>
        <v>0</v>
      </c>
      <c r="Q285" t="str">
        <f>VLOOKUP(E285,Products!$A$2:$E$23,2,0)</f>
        <v>Power Bank 10000mAh</v>
      </c>
      <c r="R285" t="str">
        <f>VLOOKUP(Table1[[#This Row],[Product ID]],Products!$A$2:$E$23,3,0)</f>
        <v>Electronics</v>
      </c>
      <c r="S285" t="str">
        <f>VLOOKUP(C285,Customers!$A$2:$F$201,4,0)</f>
        <v>Madhya Pradesh</v>
      </c>
      <c r="T285" t="str">
        <f>VLOOKUP(Table1[[#This Row],[Customer ID]],Customers!$A$2:$F$201,5,0)</f>
        <v>Central</v>
      </c>
      <c r="U285" t="str">
        <f>VLOOKUP(Table1[[#This Row],[Customer ID]],Customers!$A$2:$F$201,6,0)</f>
        <v>Corporate</v>
      </c>
      <c r="V285" t="str">
        <f>TEXT(Table1[[#This Row],[Order Date]],"MMM")</f>
        <v>Jun</v>
      </c>
      <c r="W285" t="str">
        <f>TEXT(Table1[[#This Row],[Order Date]],"yyyy")</f>
        <v>2024</v>
      </c>
    </row>
    <row r="286" spans="1:23" x14ac:dyDescent="0.25">
      <c r="A286" s="2" t="s">
        <v>486</v>
      </c>
      <c r="B286" s="4">
        <v>45458</v>
      </c>
      <c r="C286" s="2" t="s">
        <v>93</v>
      </c>
      <c r="D286" s="2" t="str">
        <f>TEXT(Table1[[#This Row],[Order Date]],"mmmm")</f>
        <v>June</v>
      </c>
      <c r="E286" s="2" t="s">
        <v>66</v>
      </c>
      <c r="F286" s="2">
        <v>5</v>
      </c>
      <c r="G286" s="5">
        <v>0</v>
      </c>
      <c r="H286" s="2" t="s">
        <v>30</v>
      </c>
      <c r="I286" s="2" t="s">
        <v>46</v>
      </c>
      <c r="J286" s="2" t="s">
        <v>21</v>
      </c>
      <c r="K286">
        <f>VLOOKUP(E286,Products!$A$2:$E$23,5,0)</f>
        <v>1299</v>
      </c>
      <c r="L286">
        <f>VLOOKUP(E286,Products!$A$2:$E$23,4,0)</f>
        <v>800</v>
      </c>
      <c r="M286" s="2">
        <f>K286*F286-Table1[[#This Row],[discount_amount]]</f>
        <v>6495</v>
      </c>
      <c r="N286">
        <f t="shared" si="9"/>
        <v>4000</v>
      </c>
      <c r="O286">
        <f t="shared" si="8"/>
        <v>2495</v>
      </c>
      <c r="P286">
        <f>Table1[[#This Row],[Quantity]]*Table1[[#This Row],[unit_price]]*Table1[[#This Row],[Discount]]</f>
        <v>0</v>
      </c>
      <c r="Q286" t="str">
        <f>VLOOKUP(E286,Products!$A$2:$E$23,2,0)</f>
        <v>Power Bank 10000mAh</v>
      </c>
      <c r="R286" t="str">
        <f>VLOOKUP(Table1[[#This Row],[Product ID]],Products!$A$2:$E$23,3,0)</f>
        <v>Electronics</v>
      </c>
      <c r="S286" t="str">
        <f>VLOOKUP(C286,Customers!$A$2:$F$201,4,0)</f>
        <v>Gujarat</v>
      </c>
      <c r="T286" t="str">
        <f>VLOOKUP(Table1[[#This Row],[Customer ID]],Customers!$A$2:$F$201,5,0)</f>
        <v>West</v>
      </c>
      <c r="U286" t="str">
        <f>VLOOKUP(Table1[[#This Row],[Customer ID]],Customers!$A$2:$F$201,6,0)</f>
        <v>Consumer</v>
      </c>
      <c r="V286" t="str">
        <f>TEXT(Table1[[#This Row],[Order Date]],"MMM")</f>
        <v>Jun</v>
      </c>
      <c r="W286" t="str">
        <f>TEXT(Table1[[#This Row],[Order Date]],"yyyy")</f>
        <v>2024</v>
      </c>
    </row>
    <row r="287" spans="1:23" x14ac:dyDescent="0.25">
      <c r="A287" s="2" t="s">
        <v>487</v>
      </c>
      <c r="B287" s="4">
        <v>45460</v>
      </c>
      <c r="C287" s="2" t="s">
        <v>237</v>
      </c>
      <c r="D287" s="2" t="str">
        <f>TEXT(Table1[[#This Row],[Order Date]],"mmmm")</f>
        <v>June</v>
      </c>
      <c r="E287" s="2" t="s">
        <v>37</v>
      </c>
      <c r="F287" s="2">
        <v>4</v>
      </c>
      <c r="G287" s="5">
        <v>0.15</v>
      </c>
      <c r="H287" s="2" t="s">
        <v>30</v>
      </c>
      <c r="I287" s="2" t="s">
        <v>38</v>
      </c>
      <c r="J287" s="2" t="s">
        <v>79</v>
      </c>
      <c r="K287">
        <f>VLOOKUP(E287,Products!$A$2:$E$23,5,0)</f>
        <v>1799</v>
      </c>
      <c r="L287">
        <f>VLOOKUP(E287,Products!$A$2:$E$23,4,0)</f>
        <v>900</v>
      </c>
      <c r="M287" s="2">
        <f>K287*F287-Table1[[#This Row],[discount_amount]]</f>
        <v>6116.6</v>
      </c>
      <c r="N287">
        <f t="shared" si="9"/>
        <v>3600</v>
      </c>
      <c r="O287">
        <f t="shared" si="8"/>
        <v>2516.6000000000004</v>
      </c>
      <c r="P287">
        <f>Table1[[#This Row],[Quantity]]*Table1[[#This Row],[unit_price]]*Table1[[#This Row],[Discount]]</f>
        <v>1079.3999999999999</v>
      </c>
      <c r="Q287" t="str">
        <f>VLOOKUP(E287,Products!$A$2:$E$23,2,0)</f>
        <v>Denim Jeans</v>
      </c>
      <c r="R287" t="str">
        <f>VLOOKUP(Table1[[#This Row],[Product ID]],Products!$A$2:$E$23,3,0)</f>
        <v>Clothing</v>
      </c>
      <c r="S287" t="str">
        <f>VLOOKUP(C287,Customers!$A$2:$F$201,4,0)</f>
        <v>Madhya Pradesh</v>
      </c>
      <c r="T287" t="str">
        <f>VLOOKUP(Table1[[#This Row],[Customer ID]],Customers!$A$2:$F$201,5,0)</f>
        <v>Central</v>
      </c>
      <c r="U287" t="str">
        <f>VLOOKUP(Table1[[#This Row],[Customer ID]],Customers!$A$2:$F$201,6,0)</f>
        <v>Consumer</v>
      </c>
      <c r="V287" t="str">
        <f>TEXT(Table1[[#This Row],[Order Date]],"MMM")</f>
        <v>Jun</v>
      </c>
      <c r="W287" t="str">
        <f>TEXT(Table1[[#This Row],[Order Date]],"yyyy")</f>
        <v>2024</v>
      </c>
    </row>
    <row r="288" spans="1:23" x14ac:dyDescent="0.25">
      <c r="A288" s="2" t="s">
        <v>488</v>
      </c>
      <c r="B288" s="4">
        <v>45461</v>
      </c>
      <c r="C288" s="2" t="s">
        <v>425</v>
      </c>
      <c r="D288" s="2" t="str">
        <f>TEXT(Table1[[#This Row],[Order Date]],"mmmm")</f>
        <v>June</v>
      </c>
      <c r="E288" s="2" t="s">
        <v>118</v>
      </c>
      <c r="F288" s="2">
        <v>5</v>
      </c>
      <c r="G288" s="5">
        <v>0.05</v>
      </c>
      <c r="H288" s="2" t="s">
        <v>25</v>
      </c>
      <c r="I288" s="2" t="s">
        <v>20</v>
      </c>
      <c r="J288" s="2" t="s">
        <v>21</v>
      </c>
      <c r="K288">
        <f>VLOOKUP(E288,Products!$A$2:$E$23,5,0)</f>
        <v>150</v>
      </c>
      <c r="L288">
        <f>VLOOKUP(E288,Products!$A$2:$E$23,4,0)</f>
        <v>90</v>
      </c>
      <c r="M288" s="2">
        <f>K288*F288-Table1[[#This Row],[discount_amount]]</f>
        <v>712.5</v>
      </c>
      <c r="N288">
        <f t="shared" si="9"/>
        <v>450</v>
      </c>
      <c r="O288">
        <f t="shared" si="8"/>
        <v>262.5</v>
      </c>
      <c r="P288">
        <f>Table1[[#This Row],[Quantity]]*Table1[[#This Row],[unit_price]]*Table1[[#This Row],[Discount]]</f>
        <v>37.5</v>
      </c>
      <c r="Q288" t="str">
        <f>VLOOKUP(E288,Products!$A$2:$E$23,2,0)</f>
        <v>Gel Pen Box</v>
      </c>
      <c r="R288" t="str">
        <f>VLOOKUP(Table1[[#This Row],[Product ID]],Products!$A$2:$E$23,3,0)</f>
        <v>Office Supplies</v>
      </c>
      <c r="S288" t="str">
        <f>VLOOKUP(C288,Customers!$A$2:$F$201,4,0)</f>
        <v>Chandigarh</v>
      </c>
      <c r="T288" t="str">
        <f>VLOOKUP(Table1[[#This Row],[Customer ID]],Customers!$A$2:$F$201,5,0)</f>
        <v>North</v>
      </c>
      <c r="U288" t="str">
        <f>VLOOKUP(Table1[[#This Row],[Customer ID]],Customers!$A$2:$F$201,6,0)</f>
        <v>Corporate</v>
      </c>
      <c r="V288" t="str">
        <f>TEXT(Table1[[#This Row],[Order Date]],"MMM")</f>
        <v>Jun</v>
      </c>
      <c r="W288" t="str">
        <f>TEXT(Table1[[#This Row],[Order Date]],"yyyy")</f>
        <v>2024</v>
      </c>
    </row>
    <row r="289" spans="1:23" x14ac:dyDescent="0.25">
      <c r="A289" s="2" t="s">
        <v>489</v>
      </c>
      <c r="B289" s="4">
        <v>45461</v>
      </c>
      <c r="C289" s="2" t="s">
        <v>490</v>
      </c>
      <c r="D289" s="2" t="str">
        <f>TEXT(Table1[[#This Row],[Order Date]],"mmmm")</f>
        <v>June</v>
      </c>
      <c r="E289" s="2" t="s">
        <v>49</v>
      </c>
      <c r="F289" s="2">
        <v>10</v>
      </c>
      <c r="G289" s="5">
        <v>0.1</v>
      </c>
      <c r="H289" s="2" t="s">
        <v>30</v>
      </c>
      <c r="I289" s="2" t="s">
        <v>46</v>
      </c>
      <c r="J289" s="2" t="s">
        <v>21</v>
      </c>
      <c r="K289">
        <f>VLOOKUP(E289,Products!$A$2:$E$23,5,0)</f>
        <v>700</v>
      </c>
      <c r="L289">
        <f>VLOOKUP(E289,Products!$A$2:$E$23,4,0)</f>
        <v>450</v>
      </c>
      <c r="M289" s="2">
        <f>K289*F289-Table1[[#This Row],[discount_amount]]</f>
        <v>6300</v>
      </c>
      <c r="N289">
        <f t="shared" si="9"/>
        <v>4500</v>
      </c>
      <c r="O289">
        <f t="shared" si="8"/>
        <v>1800</v>
      </c>
      <c r="P289">
        <f>Table1[[#This Row],[Quantity]]*Table1[[#This Row],[unit_price]]*Table1[[#This Row],[Discount]]</f>
        <v>700</v>
      </c>
      <c r="Q289" t="str">
        <f>VLOOKUP(E289,Products!$A$2:$E$23,2,0)</f>
        <v>Wireless Mouse</v>
      </c>
      <c r="R289" t="str">
        <f>VLOOKUP(Table1[[#This Row],[Product ID]],Products!$A$2:$E$23,3,0)</f>
        <v>Electronics</v>
      </c>
      <c r="S289" t="str">
        <f>VLOOKUP(C289,Customers!$A$2:$F$201,4,0)</f>
        <v>West Bengal</v>
      </c>
      <c r="T289" t="str">
        <f>VLOOKUP(Table1[[#This Row],[Customer ID]],Customers!$A$2:$F$201,5,0)</f>
        <v>East</v>
      </c>
      <c r="U289" t="str">
        <f>VLOOKUP(Table1[[#This Row],[Customer ID]],Customers!$A$2:$F$201,6,0)</f>
        <v>Consumer</v>
      </c>
      <c r="V289" t="str">
        <f>TEXT(Table1[[#This Row],[Order Date]],"MMM")</f>
        <v>Jun</v>
      </c>
      <c r="W289" t="str">
        <f>TEXT(Table1[[#This Row],[Order Date]],"yyyy")</f>
        <v>2024</v>
      </c>
    </row>
    <row r="290" spans="1:23" x14ac:dyDescent="0.25">
      <c r="A290" s="2" t="s">
        <v>491</v>
      </c>
      <c r="B290" s="4">
        <v>45462</v>
      </c>
      <c r="C290" s="2" t="s">
        <v>428</v>
      </c>
      <c r="D290" s="2" t="str">
        <f>TEXT(Table1[[#This Row],[Order Date]],"mmmm")</f>
        <v>June</v>
      </c>
      <c r="E290" s="2" t="s">
        <v>91</v>
      </c>
      <c r="F290" s="2">
        <v>1</v>
      </c>
      <c r="G290" s="5">
        <v>0.15</v>
      </c>
      <c r="H290" s="2" t="s">
        <v>30</v>
      </c>
      <c r="I290" s="2" t="s">
        <v>26</v>
      </c>
      <c r="J290" s="2" t="s">
        <v>21</v>
      </c>
      <c r="K290">
        <f>VLOOKUP(E290,Products!$A$2:$E$23,5,0)</f>
        <v>1199</v>
      </c>
      <c r="L290">
        <f>VLOOKUP(E290,Products!$A$2:$E$23,4,0)</f>
        <v>600</v>
      </c>
      <c r="M290" s="2">
        <f>K290*F290-Table1[[#This Row],[discount_amount]]</f>
        <v>1019.15</v>
      </c>
      <c r="N290">
        <f t="shared" si="9"/>
        <v>600</v>
      </c>
      <c r="O290">
        <f t="shared" si="8"/>
        <v>419.15</v>
      </c>
      <c r="P290">
        <f>Table1[[#This Row],[Quantity]]*Table1[[#This Row],[unit_price]]*Table1[[#This Row],[Discount]]</f>
        <v>179.85</v>
      </c>
      <c r="Q290" t="str">
        <f>VLOOKUP(E290,Products!$A$2:$E$23,2,0)</f>
        <v>Formal Shirt</v>
      </c>
      <c r="R290" t="str">
        <f>VLOOKUP(Table1[[#This Row],[Product ID]],Products!$A$2:$E$23,3,0)</f>
        <v>Clothing</v>
      </c>
      <c r="S290" t="str">
        <f>VLOOKUP(C290,Customers!$A$2:$F$201,4,0)</f>
        <v>Madhya Pradesh</v>
      </c>
      <c r="T290" t="str">
        <f>VLOOKUP(Table1[[#This Row],[Customer ID]],Customers!$A$2:$F$201,5,0)</f>
        <v>Central</v>
      </c>
      <c r="U290" t="str">
        <f>VLOOKUP(Table1[[#This Row],[Customer ID]],Customers!$A$2:$F$201,6,0)</f>
        <v>Consumer</v>
      </c>
      <c r="V290" t="str">
        <f>TEXT(Table1[[#This Row],[Order Date]],"MMM")</f>
        <v>Jun</v>
      </c>
      <c r="W290" t="str">
        <f>TEXT(Table1[[#This Row],[Order Date]],"yyyy")</f>
        <v>2024</v>
      </c>
    </row>
    <row r="291" spans="1:23" x14ac:dyDescent="0.25">
      <c r="A291" s="2" t="s">
        <v>492</v>
      </c>
      <c r="B291" s="4">
        <v>45464</v>
      </c>
      <c r="C291" s="2" t="s">
        <v>68</v>
      </c>
      <c r="D291" s="2" t="str">
        <f>TEXT(Table1[[#This Row],[Order Date]],"mmmm")</f>
        <v>June</v>
      </c>
      <c r="E291" s="2" t="s">
        <v>121</v>
      </c>
      <c r="F291" s="2">
        <v>5</v>
      </c>
      <c r="G291" s="5">
        <v>0</v>
      </c>
      <c r="H291" s="2" t="s">
        <v>25</v>
      </c>
      <c r="I291" s="2" t="s">
        <v>31</v>
      </c>
      <c r="J291" s="2" t="s">
        <v>21</v>
      </c>
      <c r="K291">
        <f>VLOOKUP(E291,Products!$A$2:$E$23,5,0)</f>
        <v>499</v>
      </c>
      <c r="L291">
        <f>VLOOKUP(E291,Products!$A$2:$E$23,4,0)</f>
        <v>250</v>
      </c>
      <c r="M291" s="2">
        <f>K291*F291-Table1[[#This Row],[discount_amount]]</f>
        <v>2495</v>
      </c>
      <c r="N291">
        <f t="shared" si="9"/>
        <v>1250</v>
      </c>
      <c r="O291">
        <f t="shared" si="8"/>
        <v>1245</v>
      </c>
      <c r="P291">
        <f>Table1[[#This Row],[Quantity]]*Table1[[#This Row],[unit_price]]*Table1[[#This Row],[Discount]]</f>
        <v>0</v>
      </c>
      <c r="Q291" t="str">
        <f>VLOOKUP(E291,Products!$A$2:$E$23,2,0)</f>
        <v>Cotton T-Shirt</v>
      </c>
      <c r="R291" t="str">
        <f>VLOOKUP(Table1[[#This Row],[Product ID]],Products!$A$2:$E$23,3,0)</f>
        <v>Clothing</v>
      </c>
      <c r="S291" t="str">
        <f>VLOOKUP(C291,Customers!$A$2:$F$201,4,0)</f>
        <v>Chandigarh</v>
      </c>
      <c r="T291" t="str">
        <f>VLOOKUP(Table1[[#This Row],[Customer ID]],Customers!$A$2:$F$201,5,0)</f>
        <v>North</v>
      </c>
      <c r="U291" t="str">
        <f>VLOOKUP(Table1[[#This Row],[Customer ID]],Customers!$A$2:$F$201,6,0)</f>
        <v>Consumer</v>
      </c>
      <c r="V291" t="str">
        <f>TEXT(Table1[[#This Row],[Order Date]],"MMM")</f>
        <v>Jun</v>
      </c>
      <c r="W291" t="str">
        <f>TEXT(Table1[[#This Row],[Order Date]],"yyyy")</f>
        <v>2024</v>
      </c>
    </row>
    <row r="292" spans="1:23" x14ac:dyDescent="0.25">
      <c r="A292" s="2" t="s">
        <v>493</v>
      </c>
      <c r="B292" s="4">
        <v>45466</v>
      </c>
      <c r="C292" s="2" t="s">
        <v>126</v>
      </c>
      <c r="D292" s="2" t="str">
        <f>TEXT(Table1[[#This Row],[Order Date]],"mmmm")</f>
        <v>June</v>
      </c>
      <c r="E292" s="2" t="s">
        <v>111</v>
      </c>
      <c r="F292" s="2">
        <v>2</v>
      </c>
      <c r="G292" s="5">
        <v>0</v>
      </c>
      <c r="H292" s="2" t="s">
        <v>25</v>
      </c>
      <c r="I292" s="2" t="s">
        <v>20</v>
      </c>
      <c r="J292" s="2" t="s">
        <v>21</v>
      </c>
      <c r="K292">
        <f>VLOOKUP(E292,Products!$A$2:$E$23,5,0)</f>
        <v>240</v>
      </c>
      <c r="L292">
        <f>VLOOKUP(E292,Products!$A$2:$E$23,4,0)</f>
        <v>140</v>
      </c>
      <c r="M292" s="2">
        <f>K292*F292-Table1[[#This Row],[discount_amount]]</f>
        <v>480</v>
      </c>
      <c r="N292">
        <f t="shared" si="9"/>
        <v>280</v>
      </c>
      <c r="O292">
        <f t="shared" si="8"/>
        <v>200</v>
      </c>
      <c r="P292">
        <f>Table1[[#This Row],[Quantity]]*Table1[[#This Row],[unit_price]]*Table1[[#This Row],[Discount]]</f>
        <v>0</v>
      </c>
      <c r="Q292" t="str">
        <f>VLOOKUP(E292,Products!$A$2:$E$23,2,0)</f>
        <v>Whiteboard Marker Set</v>
      </c>
      <c r="R292" t="str">
        <f>VLOOKUP(Table1[[#This Row],[Product ID]],Products!$A$2:$E$23,3,0)</f>
        <v>Office Supplies</v>
      </c>
      <c r="S292" t="str">
        <f>VLOOKUP(C292,Customers!$A$2:$F$201,4,0)</f>
        <v>Tamil Nadu</v>
      </c>
      <c r="T292" t="str">
        <f>VLOOKUP(Table1[[#This Row],[Customer ID]],Customers!$A$2:$F$201,5,0)</f>
        <v>South</v>
      </c>
      <c r="U292" t="str">
        <f>VLOOKUP(Table1[[#This Row],[Customer ID]],Customers!$A$2:$F$201,6,0)</f>
        <v>Consumer</v>
      </c>
      <c r="V292" t="str">
        <f>TEXT(Table1[[#This Row],[Order Date]],"MMM")</f>
        <v>Jun</v>
      </c>
      <c r="W292" t="str">
        <f>TEXT(Table1[[#This Row],[Order Date]],"yyyy")</f>
        <v>2024</v>
      </c>
    </row>
    <row r="293" spans="1:23" x14ac:dyDescent="0.25">
      <c r="A293" s="2" t="s">
        <v>494</v>
      </c>
      <c r="B293" s="4">
        <v>45467</v>
      </c>
      <c r="C293" s="2" t="s">
        <v>363</v>
      </c>
      <c r="D293" s="2" t="str">
        <f>TEXT(Table1[[#This Row],[Order Date]],"mmmm")</f>
        <v>June</v>
      </c>
      <c r="E293" s="2" t="s">
        <v>127</v>
      </c>
      <c r="F293" s="2">
        <v>4</v>
      </c>
      <c r="G293" s="5">
        <v>0.1</v>
      </c>
      <c r="H293" s="2" t="s">
        <v>19</v>
      </c>
      <c r="I293" s="2" t="s">
        <v>26</v>
      </c>
      <c r="J293" s="2" t="s">
        <v>21</v>
      </c>
      <c r="K293">
        <f>VLOOKUP(E293,Products!$A$2:$E$23,5,0)</f>
        <v>1999</v>
      </c>
      <c r="L293">
        <f>VLOOKUP(E293,Products!$A$2:$E$23,4,0)</f>
        <v>1200</v>
      </c>
      <c r="M293" s="2">
        <f>K293*F293-Table1[[#This Row],[discount_amount]]</f>
        <v>7196.4</v>
      </c>
      <c r="N293">
        <f t="shared" si="9"/>
        <v>4800</v>
      </c>
      <c r="O293">
        <f t="shared" si="8"/>
        <v>2396.3999999999996</v>
      </c>
      <c r="P293">
        <f>Table1[[#This Row],[Quantity]]*Table1[[#This Row],[unit_price]]*Table1[[#This Row],[Discount]]</f>
        <v>799.6</v>
      </c>
      <c r="Q293" t="str">
        <f>VLOOKUP(E293,Products!$A$2:$E$23,2,0)</f>
        <v>Bluetooth Speaker</v>
      </c>
      <c r="R293" t="str">
        <f>VLOOKUP(Table1[[#This Row],[Product ID]],Products!$A$2:$E$23,3,0)</f>
        <v>Electronics</v>
      </c>
      <c r="S293" t="str">
        <f>VLOOKUP(C293,Customers!$A$2:$F$201,4,0)</f>
        <v>Karnataka</v>
      </c>
      <c r="T293" t="str">
        <f>VLOOKUP(Table1[[#This Row],[Customer ID]],Customers!$A$2:$F$201,5,0)</f>
        <v>South</v>
      </c>
      <c r="U293" t="str">
        <f>VLOOKUP(Table1[[#This Row],[Customer ID]],Customers!$A$2:$F$201,6,0)</f>
        <v>Corporate</v>
      </c>
      <c r="V293" t="str">
        <f>TEXT(Table1[[#This Row],[Order Date]],"MMM")</f>
        <v>Jun</v>
      </c>
      <c r="W293" t="str">
        <f>TEXT(Table1[[#This Row],[Order Date]],"yyyy")</f>
        <v>2024</v>
      </c>
    </row>
    <row r="294" spans="1:23" x14ac:dyDescent="0.25">
      <c r="A294" s="2" t="s">
        <v>495</v>
      </c>
      <c r="B294" s="4">
        <v>45468</v>
      </c>
      <c r="C294" s="2" t="s">
        <v>496</v>
      </c>
      <c r="D294" s="2" t="str">
        <f>TEXT(Table1[[#This Row],[Order Date]],"mmmm")</f>
        <v>June</v>
      </c>
      <c r="E294" s="2" t="s">
        <v>41</v>
      </c>
      <c r="F294" s="2">
        <v>4</v>
      </c>
      <c r="G294" s="5">
        <v>0.1</v>
      </c>
      <c r="H294" s="2" t="s">
        <v>19</v>
      </c>
      <c r="I294" s="2" t="s">
        <v>20</v>
      </c>
      <c r="J294" s="2" t="s">
        <v>21</v>
      </c>
      <c r="K294">
        <f>VLOOKUP(E294,Products!$A$2:$E$23,5,0)</f>
        <v>320</v>
      </c>
      <c r="L294">
        <f>VLOOKUP(E294,Products!$A$2:$E$23,4,0)</f>
        <v>220</v>
      </c>
      <c r="M294" s="2">
        <f>K294*F294-Table1[[#This Row],[discount_amount]]</f>
        <v>1152</v>
      </c>
      <c r="N294">
        <f t="shared" si="9"/>
        <v>880</v>
      </c>
      <c r="O294">
        <f t="shared" si="8"/>
        <v>272</v>
      </c>
      <c r="P294">
        <f>Table1[[#This Row],[Quantity]]*Table1[[#This Row],[unit_price]]*Table1[[#This Row],[Discount]]</f>
        <v>128</v>
      </c>
      <c r="Q294" t="str">
        <f>VLOOKUP(E294,Products!$A$2:$E$23,2,0)</f>
        <v>A4 Paper Ream</v>
      </c>
      <c r="R294" t="str">
        <f>VLOOKUP(Table1[[#This Row],[Product ID]],Products!$A$2:$E$23,3,0)</f>
        <v>Office Supplies</v>
      </c>
      <c r="S294" t="str">
        <f>VLOOKUP(C294,Customers!$A$2:$F$201,4,0)</f>
        <v>Madhya Pradesh</v>
      </c>
      <c r="T294" t="str">
        <f>VLOOKUP(Table1[[#This Row],[Customer ID]],Customers!$A$2:$F$201,5,0)</f>
        <v>Central</v>
      </c>
      <c r="U294" t="str">
        <f>VLOOKUP(Table1[[#This Row],[Customer ID]],Customers!$A$2:$F$201,6,0)</f>
        <v>Consumer</v>
      </c>
      <c r="V294" t="str">
        <f>TEXT(Table1[[#This Row],[Order Date]],"MMM")</f>
        <v>Jun</v>
      </c>
      <c r="W294" t="str">
        <f>TEXT(Table1[[#This Row],[Order Date]],"yyyy")</f>
        <v>2024</v>
      </c>
    </row>
    <row r="295" spans="1:23" x14ac:dyDescent="0.25">
      <c r="A295" s="2" t="s">
        <v>497</v>
      </c>
      <c r="B295" s="4">
        <v>45469</v>
      </c>
      <c r="C295" s="2" t="s">
        <v>375</v>
      </c>
      <c r="D295" s="2" t="str">
        <f>TEXT(Table1[[#This Row],[Order Date]],"mmmm")</f>
        <v>June</v>
      </c>
      <c r="E295" s="2" t="s">
        <v>45</v>
      </c>
      <c r="F295" s="2">
        <v>2</v>
      </c>
      <c r="G295" s="5">
        <v>0</v>
      </c>
      <c r="H295" s="2" t="s">
        <v>19</v>
      </c>
      <c r="I295" s="2" t="s">
        <v>26</v>
      </c>
      <c r="J295" s="2" t="s">
        <v>42</v>
      </c>
      <c r="K295">
        <f>VLOOKUP(E295,Products!$A$2:$E$23,5,0)</f>
        <v>899</v>
      </c>
      <c r="L295">
        <f>VLOOKUP(E295,Products!$A$2:$E$23,4,0)</f>
        <v>450</v>
      </c>
      <c r="M295" s="2">
        <f>K295*F295-Table1[[#This Row],[discount_amount]]</f>
        <v>1798</v>
      </c>
      <c r="N295">
        <f t="shared" si="9"/>
        <v>900</v>
      </c>
      <c r="O295">
        <f t="shared" si="8"/>
        <v>898</v>
      </c>
      <c r="P295">
        <f>Table1[[#This Row],[Quantity]]*Table1[[#This Row],[unit_price]]*Table1[[#This Row],[Discount]]</f>
        <v>0</v>
      </c>
      <c r="Q295" t="str">
        <f>VLOOKUP(E295,Products!$A$2:$E$23,2,0)</f>
        <v>Track Pants</v>
      </c>
      <c r="R295" t="str">
        <f>VLOOKUP(Table1[[#This Row],[Product ID]],Products!$A$2:$E$23,3,0)</f>
        <v>Clothing</v>
      </c>
      <c r="S295" t="str">
        <f>VLOOKUP(C295,Customers!$A$2:$F$201,4,0)</f>
        <v>Madhya Pradesh</v>
      </c>
      <c r="T295" t="str">
        <f>VLOOKUP(Table1[[#This Row],[Customer ID]],Customers!$A$2:$F$201,5,0)</f>
        <v>Central</v>
      </c>
      <c r="U295" t="str">
        <f>VLOOKUP(Table1[[#This Row],[Customer ID]],Customers!$A$2:$F$201,6,0)</f>
        <v>Corporate</v>
      </c>
      <c r="V295" t="str">
        <f>TEXT(Table1[[#This Row],[Order Date]],"MMM")</f>
        <v>Jun</v>
      </c>
      <c r="W295" t="str">
        <f>TEXT(Table1[[#This Row],[Order Date]],"yyyy")</f>
        <v>2024</v>
      </c>
    </row>
    <row r="296" spans="1:23" x14ac:dyDescent="0.25">
      <c r="A296" s="2" t="s">
        <v>498</v>
      </c>
      <c r="B296" s="4">
        <v>45469</v>
      </c>
      <c r="C296" s="2" t="s">
        <v>28</v>
      </c>
      <c r="D296" s="2" t="str">
        <f>TEXT(Table1[[#This Row],[Order Date]],"mmmm")</f>
        <v>June</v>
      </c>
      <c r="E296" s="2" t="s">
        <v>18</v>
      </c>
      <c r="F296" s="2">
        <v>5</v>
      </c>
      <c r="G296" s="5">
        <v>0.05</v>
      </c>
      <c r="H296" s="2" t="s">
        <v>19</v>
      </c>
      <c r="I296" s="2" t="s">
        <v>46</v>
      </c>
      <c r="J296" s="2" t="s">
        <v>21</v>
      </c>
      <c r="K296">
        <f>VLOOKUP(E296,Products!$A$2:$E$23,5,0)</f>
        <v>4299</v>
      </c>
      <c r="L296">
        <f>VLOOKUP(E296,Products!$A$2:$E$23,4,0)</f>
        <v>2800</v>
      </c>
      <c r="M296" s="2">
        <f>K296*F296-Table1[[#This Row],[discount_amount]]</f>
        <v>20420.25</v>
      </c>
      <c r="N296">
        <f t="shared" si="9"/>
        <v>14000</v>
      </c>
      <c r="O296">
        <f t="shared" si="8"/>
        <v>6420.25</v>
      </c>
      <c r="P296">
        <f>Table1[[#This Row],[Quantity]]*Table1[[#This Row],[unit_price]]*Table1[[#This Row],[Discount]]</f>
        <v>1074.75</v>
      </c>
      <c r="Q296" t="str">
        <f>VLOOKUP(E296,Products!$A$2:$E$23,2,0)</f>
        <v>Bookshelf</v>
      </c>
      <c r="R296" t="str">
        <f>VLOOKUP(Table1[[#This Row],[Product ID]],Products!$A$2:$E$23,3,0)</f>
        <v>Furniture</v>
      </c>
      <c r="S296" t="str">
        <f>VLOOKUP(C296,Customers!$A$2:$F$201,4,0)</f>
        <v>Maharashtra</v>
      </c>
      <c r="T296" t="str">
        <f>VLOOKUP(Table1[[#This Row],[Customer ID]],Customers!$A$2:$F$201,5,0)</f>
        <v>West</v>
      </c>
      <c r="U296" t="str">
        <f>VLOOKUP(Table1[[#This Row],[Customer ID]],Customers!$A$2:$F$201,6,0)</f>
        <v>Consumer</v>
      </c>
      <c r="V296" t="str">
        <f>TEXT(Table1[[#This Row],[Order Date]],"MMM")</f>
        <v>Jun</v>
      </c>
      <c r="W296" t="str">
        <f>TEXT(Table1[[#This Row],[Order Date]],"yyyy")</f>
        <v>2024</v>
      </c>
    </row>
    <row r="297" spans="1:23" x14ac:dyDescent="0.25">
      <c r="A297" s="2" t="s">
        <v>499</v>
      </c>
      <c r="B297" s="4">
        <v>45470</v>
      </c>
      <c r="C297" s="2" t="s">
        <v>168</v>
      </c>
      <c r="D297" s="2" t="str">
        <f>TEXT(Table1[[#This Row],[Order Date]],"mmmm")</f>
        <v>June</v>
      </c>
      <c r="E297" s="2" t="s">
        <v>135</v>
      </c>
      <c r="F297" s="2">
        <v>6</v>
      </c>
      <c r="G297" s="5">
        <v>0.1</v>
      </c>
      <c r="H297" s="2" t="s">
        <v>30</v>
      </c>
      <c r="I297" s="2" t="s">
        <v>31</v>
      </c>
      <c r="J297" s="2" t="s">
        <v>79</v>
      </c>
      <c r="K297">
        <f>VLOOKUP(E297,Products!$A$2:$E$23,5,0)</f>
        <v>220</v>
      </c>
      <c r="L297">
        <f>VLOOKUP(E297,Products!$A$2:$E$23,4,0)</f>
        <v>120</v>
      </c>
      <c r="M297" s="2">
        <f>K297*F297-Table1[[#This Row],[discount_amount]]</f>
        <v>1188</v>
      </c>
      <c r="N297">
        <f t="shared" si="9"/>
        <v>720</v>
      </c>
      <c r="O297">
        <f t="shared" si="8"/>
        <v>468</v>
      </c>
      <c r="P297">
        <f>Table1[[#This Row],[Quantity]]*Table1[[#This Row],[unit_price]]*Table1[[#This Row],[Discount]]</f>
        <v>132</v>
      </c>
      <c r="Q297" t="str">
        <f>VLOOKUP(E297,Products!$A$2:$E$23,2,0)</f>
        <v>Stapler</v>
      </c>
      <c r="R297" t="str">
        <f>VLOOKUP(Table1[[#This Row],[Product ID]],Products!$A$2:$E$23,3,0)</f>
        <v>Office Supplies</v>
      </c>
      <c r="S297" t="str">
        <f>VLOOKUP(C297,Customers!$A$2:$F$201,4,0)</f>
        <v>Delhi</v>
      </c>
      <c r="T297" t="str">
        <f>VLOOKUP(Table1[[#This Row],[Customer ID]],Customers!$A$2:$F$201,5,0)</f>
        <v>North</v>
      </c>
      <c r="U297" t="str">
        <f>VLOOKUP(Table1[[#This Row],[Customer ID]],Customers!$A$2:$F$201,6,0)</f>
        <v>Corporate</v>
      </c>
      <c r="V297" t="str">
        <f>TEXT(Table1[[#This Row],[Order Date]],"MMM")</f>
        <v>Jun</v>
      </c>
      <c r="W297" t="str">
        <f>TEXT(Table1[[#This Row],[Order Date]],"yyyy")</f>
        <v>2024</v>
      </c>
    </row>
    <row r="298" spans="1:23" x14ac:dyDescent="0.25">
      <c r="A298" s="2" t="s">
        <v>500</v>
      </c>
      <c r="B298" s="4">
        <v>45470</v>
      </c>
      <c r="C298" s="2" t="s">
        <v>501</v>
      </c>
      <c r="D298" s="2" t="str">
        <f>TEXT(Table1[[#This Row],[Order Date]],"mmmm")</f>
        <v>June</v>
      </c>
      <c r="E298" s="2" t="s">
        <v>82</v>
      </c>
      <c r="F298" s="2">
        <v>3</v>
      </c>
      <c r="G298" s="5">
        <v>0.1</v>
      </c>
      <c r="H298" s="2" t="s">
        <v>25</v>
      </c>
      <c r="I298" s="2" t="s">
        <v>31</v>
      </c>
      <c r="J298" s="2" t="s">
        <v>21</v>
      </c>
      <c r="K298">
        <f>VLOOKUP(E298,Products!$A$2:$E$23,5,0)</f>
        <v>1799</v>
      </c>
      <c r="L298">
        <f>VLOOKUP(E298,Products!$A$2:$E$23,4,0)</f>
        <v>1100</v>
      </c>
      <c r="M298" s="2">
        <f>K298*F298-Table1[[#This Row],[discount_amount]]</f>
        <v>4857.3</v>
      </c>
      <c r="N298">
        <f t="shared" si="9"/>
        <v>3300</v>
      </c>
      <c r="O298">
        <f t="shared" si="8"/>
        <v>1557.3000000000002</v>
      </c>
      <c r="P298">
        <f>Table1[[#This Row],[Quantity]]*Table1[[#This Row],[unit_price]]*Table1[[#This Row],[Discount]]</f>
        <v>539.70000000000005</v>
      </c>
      <c r="Q298" t="str">
        <f>VLOOKUP(E298,Products!$A$2:$E$23,2,0)</f>
        <v>Webcam HD</v>
      </c>
      <c r="R298" t="str">
        <f>VLOOKUP(Table1[[#This Row],[Product ID]],Products!$A$2:$E$23,3,0)</f>
        <v>Electronics</v>
      </c>
      <c r="S298" t="str">
        <f>VLOOKUP(C298,Customers!$A$2:$F$201,4,0)</f>
        <v>Tamil Nadu</v>
      </c>
      <c r="T298" t="str">
        <f>VLOOKUP(Table1[[#This Row],[Customer ID]],Customers!$A$2:$F$201,5,0)</f>
        <v>South</v>
      </c>
      <c r="U298" t="str">
        <f>VLOOKUP(Table1[[#This Row],[Customer ID]],Customers!$A$2:$F$201,6,0)</f>
        <v>Consumer</v>
      </c>
      <c r="V298" t="str">
        <f>TEXT(Table1[[#This Row],[Order Date]],"MMM")</f>
        <v>Jun</v>
      </c>
      <c r="W298" t="str">
        <f>TEXT(Table1[[#This Row],[Order Date]],"yyyy")</f>
        <v>2024</v>
      </c>
    </row>
    <row r="299" spans="1:23" x14ac:dyDescent="0.25">
      <c r="A299" s="2" t="s">
        <v>502</v>
      </c>
      <c r="B299" s="4">
        <v>45471</v>
      </c>
      <c r="C299" s="2" t="s">
        <v>70</v>
      </c>
      <c r="D299" s="2" t="str">
        <f>TEXT(Table1[[#This Row],[Order Date]],"mmmm")</f>
        <v>June</v>
      </c>
      <c r="E299" s="2" t="s">
        <v>49</v>
      </c>
      <c r="F299" s="2">
        <v>2</v>
      </c>
      <c r="G299" s="5">
        <v>0.15</v>
      </c>
      <c r="H299" s="2" t="s">
        <v>30</v>
      </c>
      <c r="I299" s="2" t="s">
        <v>46</v>
      </c>
      <c r="J299" s="2" t="s">
        <v>21</v>
      </c>
      <c r="K299">
        <f>VLOOKUP(E299,Products!$A$2:$E$23,5,0)</f>
        <v>700</v>
      </c>
      <c r="L299">
        <f>VLOOKUP(E299,Products!$A$2:$E$23,4,0)</f>
        <v>450</v>
      </c>
      <c r="M299" s="2">
        <f>K299*F299-Table1[[#This Row],[discount_amount]]</f>
        <v>1190</v>
      </c>
      <c r="N299">
        <f t="shared" si="9"/>
        <v>900</v>
      </c>
      <c r="O299">
        <f t="shared" si="8"/>
        <v>290</v>
      </c>
      <c r="P299">
        <f>Table1[[#This Row],[Quantity]]*Table1[[#This Row],[unit_price]]*Table1[[#This Row],[Discount]]</f>
        <v>210</v>
      </c>
      <c r="Q299" t="str">
        <f>VLOOKUP(E299,Products!$A$2:$E$23,2,0)</f>
        <v>Wireless Mouse</v>
      </c>
      <c r="R299" t="str">
        <f>VLOOKUP(Table1[[#This Row],[Product ID]],Products!$A$2:$E$23,3,0)</f>
        <v>Electronics</v>
      </c>
      <c r="S299" t="str">
        <f>VLOOKUP(C299,Customers!$A$2:$F$201,4,0)</f>
        <v>Delhi</v>
      </c>
      <c r="T299" t="str">
        <f>VLOOKUP(Table1[[#This Row],[Customer ID]],Customers!$A$2:$F$201,5,0)</f>
        <v>North</v>
      </c>
      <c r="U299" t="str">
        <f>VLOOKUP(Table1[[#This Row],[Customer ID]],Customers!$A$2:$F$201,6,0)</f>
        <v>Home Office</v>
      </c>
      <c r="V299" t="str">
        <f>TEXT(Table1[[#This Row],[Order Date]],"MMM")</f>
        <v>Jun</v>
      </c>
      <c r="W299" t="str">
        <f>TEXT(Table1[[#This Row],[Order Date]],"yyyy")</f>
        <v>2024</v>
      </c>
    </row>
    <row r="300" spans="1:23" x14ac:dyDescent="0.25">
      <c r="A300" s="2" t="s">
        <v>503</v>
      </c>
      <c r="B300" s="4">
        <v>45471</v>
      </c>
      <c r="C300" s="2" t="s">
        <v>100</v>
      </c>
      <c r="D300" s="2" t="str">
        <f>TEXT(Table1[[#This Row],[Order Date]],"mmmm")</f>
        <v>June</v>
      </c>
      <c r="E300" s="2" t="s">
        <v>127</v>
      </c>
      <c r="F300" s="2">
        <v>1</v>
      </c>
      <c r="G300" s="5">
        <v>0.15</v>
      </c>
      <c r="H300" s="2" t="s">
        <v>19</v>
      </c>
      <c r="I300" s="2" t="s">
        <v>26</v>
      </c>
      <c r="J300" s="2" t="s">
        <v>21</v>
      </c>
      <c r="K300">
        <f>VLOOKUP(E300,Products!$A$2:$E$23,5,0)</f>
        <v>1999</v>
      </c>
      <c r="L300">
        <f>VLOOKUP(E300,Products!$A$2:$E$23,4,0)</f>
        <v>1200</v>
      </c>
      <c r="M300" s="2">
        <f>K300*F300-Table1[[#This Row],[discount_amount]]</f>
        <v>1699.15</v>
      </c>
      <c r="N300">
        <f t="shared" si="9"/>
        <v>1200</v>
      </c>
      <c r="O300">
        <f t="shared" si="8"/>
        <v>499.15000000000009</v>
      </c>
      <c r="P300">
        <f>Table1[[#This Row],[Quantity]]*Table1[[#This Row],[unit_price]]*Table1[[#This Row],[Discount]]</f>
        <v>299.84999999999997</v>
      </c>
      <c r="Q300" t="str">
        <f>VLOOKUP(E300,Products!$A$2:$E$23,2,0)</f>
        <v>Bluetooth Speaker</v>
      </c>
      <c r="R300" t="str">
        <f>VLOOKUP(Table1[[#This Row],[Product ID]],Products!$A$2:$E$23,3,0)</f>
        <v>Electronics</v>
      </c>
      <c r="S300" t="str">
        <f>VLOOKUP(C300,Customers!$A$2:$F$201,4,0)</f>
        <v>Delhi</v>
      </c>
      <c r="T300" t="str">
        <f>VLOOKUP(Table1[[#This Row],[Customer ID]],Customers!$A$2:$F$201,5,0)</f>
        <v>North</v>
      </c>
      <c r="U300" t="str">
        <f>VLOOKUP(Table1[[#This Row],[Customer ID]],Customers!$A$2:$F$201,6,0)</f>
        <v>Consumer</v>
      </c>
      <c r="V300" t="str">
        <f>TEXT(Table1[[#This Row],[Order Date]],"MMM")</f>
        <v>Jun</v>
      </c>
      <c r="W300" t="str">
        <f>TEXT(Table1[[#This Row],[Order Date]],"yyyy")</f>
        <v>2024</v>
      </c>
    </row>
    <row r="301" spans="1:23" x14ac:dyDescent="0.25">
      <c r="A301" s="2" t="s">
        <v>504</v>
      </c>
      <c r="B301" s="4">
        <v>45471</v>
      </c>
      <c r="C301" s="2" t="s">
        <v>297</v>
      </c>
      <c r="D301" s="2" t="str">
        <f>TEXT(Table1[[#This Row],[Order Date]],"mmmm")</f>
        <v>June</v>
      </c>
      <c r="E301" s="2" t="s">
        <v>54</v>
      </c>
      <c r="F301" s="2">
        <v>5</v>
      </c>
      <c r="G301" s="5">
        <v>0.05</v>
      </c>
      <c r="H301" s="2" t="s">
        <v>30</v>
      </c>
      <c r="I301" s="2" t="s">
        <v>46</v>
      </c>
      <c r="J301" s="2" t="s">
        <v>21</v>
      </c>
      <c r="K301">
        <f>VLOOKUP(E301,Products!$A$2:$E$23,5,0)</f>
        <v>299</v>
      </c>
      <c r="L301">
        <f>VLOOKUP(E301,Products!$A$2:$E$23,4,0)</f>
        <v>180</v>
      </c>
      <c r="M301" s="2">
        <f>K301*F301-Table1[[#This Row],[discount_amount]]</f>
        <v>1420.25</v>
      </c>
      <c r="N301">
        <f t="shared" si="9"/>
        <v>900</v>
      </c>
      <c r="O301">
        <f t="shared" si="8"/>
        <v>520.25</v>
      </c>
      <c r="P301">
        <f>Table1[[#This Row],[Quantity]]*Table1[[#This Row],[unit_price]]*Table1[[#This Row],[Discount]]</f>
        <v>74.75</v>
      </c>
      <c r="Q301" t="str">
        <f>VLOOKUP(E301,Products!$A$2:$E$23,2,0)</f>
        <v>Notebook Pack of 5</v>
      </c>
      <c r="R301" t="str">
        <f>VLOOKUP(Table1[[#This Row],[Product ID]],Products!$A$2:$E$23,3,0)</f>
        <v>Office Supplies</v>
      </c>
      <c r="S301" t="str">
        <f>VLOOKUP(C301,Customers!$A$2:$F$201,4,0)</f>
        <v>Maharashtra</v>
      </c>
      <c r="T301" t="str">
        <f>VLOOKUP(Table1[[#This Row],[Customer ID]],Customers!$A$2:$F$201,5,0)</f>
        <v>West</v>
      </c>
      <c r="U301" t="str">
        <f>VLOOKUP(Table1[[#This Row],[Customer ID]],Customers!$A$2:$F$201,6,0)</f>
        <v>Consumer</v>
      </c>
      <c r="V301" t="str">
        <f>TEXT(Table1[[#This Row],[Order Date]],"MMM")</f>
        <v>Jun</v>
      </c>
      <c r="W301" t="str">
        <f>TEXT(Table1[[#This Row],[Order Date]],"yyyy")</f>
        <v>2024</v>
      </c>
    </row>
    <row r="302" spans="1:23" x14ac:dyDescent="0.25">
      <c r="A302" s="2" t="s">
        <v>505</v>
      </c>
      <c r="B302" s="4">
        <v>45471</v>
      </c>
      <c r="C302" s="2" t="s">
        <v>269</v>
      </c>
      <c r="D302" s="2" t="str">
        <f>TEXT(Table1[[#This Row],[Order Date]],"mmmm")</f>
        <v>June</v>
      </c>
      <c r="E302" s="2" t="s">
        <v>41</v>
      </c>
      <c r="F302" s="2">
        <v>6</v>
      </c>
      <c r="G302" s="5">
        <v>0</v>
      </c>
      <c r="H302" s="2" t="s">
        <v>25</v>
      </c>
      <c r="I302" s="2" t="s">
        <v>31</v>
      </c>
      <c r="J302" s="2" t="s">
        <v>79</v>
      </c>
      <c r="K302">
        <f>VLOOKUP(E302,Products!$A$2:$E$23,5,0)</f>
        <v>320</v>
      </c>
      <c r="L302">
        <f>VLOOKUP(E302,Products!$A$2:$E$23,4,0)</f>
        <v>220</v>
      </c>
      <c r="M302" s="2">
        <f>K302*F302-Table1[[#This Row],[discount_amount]]</f>
        <v>1920</v>
      </c>
      <c r="N302">
        <f t="shared" si="9"/>
        <v>1320</v>
      </c>
      <c r="O302">
        <f t="shared" si="8"/>
        <v>600</v>
      </c>
      <c r="P302">
        <f>Table1[[#This Row],[Quantity]]*Table1[[#This Row],[unit_price]]*Table1[[#This Row],[Discount]]</f>
        <v>0</v>
      </c>
      <c r="Q302" t="str">
        <f>VLOOKUP(E302,Products!$A$2:$E$23,2,0)</f>
        <v>A4 Paper Ream</v>
      </c>
      <c r="R302" t="str">
        <f>VLOOKUP(Table1[[#This Row],[Product ID]],Products!$A$2:$E$23,3,0)</f>
        <v>Office Supplies</v>
      </c>
      <c r="S302" t="str">
        <f>VLOOKUP(C302,Customers!$A$2:$F$201,4,0)</f>
        <v>Delhi</v>
      </c>
      <c r="T302" t="str">
        <f>VLOOKUP(Table1[[#This Row],[Customer ID]],Customers!$A$2:$F$201,5,0)</f>
        <v>North</v>
      </c>
      <c r="U302" t="str">
        <f>VLOOKUP(Table1[[#This Row],[Customer ID]],Customers!$A$2:$F$201,6,0)</f>
        <v>Corporate</v>
      </c>
      <c r="V302" t="str">
        <f>TEXT(Table1[[#This Row],[Order Date]],"MMM")</f>
        <v>Jun</v>
      </c>
      <c r="W302" t="str">
        <f>TEXT(Table1[[#This Row],[Order Date]],"yyyy")</f>
        <v>2024</v>
      </c>
    </row>
    <row r="303" spans="1:23" x14ac:dyDescent="0.25">
      <c r="A303" s="2" t="s">
        <v>506</v>
      </c>
      <c r="B303" s="4">
        <v>45471</v>
      </c>
      <c r="C303" s="2" t="s">
        <v>68</v>
      </c>
      <c r="D303" s="2" t="str">
        <f>TEXT(Table1[[#This Row],[Order Date]],"mmmm")</f>
        <v>June</v>
      </c>
      <c r="E303" s="2" t="s">
        <v>41</v>
      </c>
      <c r="F303" s="2">
        <v>2</v>
      </c>
      <c r="G303" s="5">
        <v>0.1</v>
      </c>
      <c r="H303" s="2" t="s">
        <v>25</v>
      </c>
      <c r="I303" s="2" t="s">
        <v>38</v>
      </c>
      <c r="J303" s="2" t="s">
        <v>21</v>
      </c>
      <c r="K303">
        <f>VLOOKUP(E303,Products!$A$2:$E$23,5,0)</f>
        <v>320</v>
      </c>
      <c r="L303">
        <f>VLOOKUP(E303,Products!$A$2:$E$23,4,0)</f>
        <v>220</v>
      </c>
      <c r="M303" s="2">
        <f>K303*F303-Table1[[#This Row],[discount_amount]]</f>
        <v>576</v>
      </c>
      <c r="N303">
        <f t="shared" si="9"/>
        <v>440</v>
      </c>
      <c r="O303">
        <f t="shared" si="8"/>
        <v>136</v>
      </c>
      <c r="P303">
        <f>Table1[[#This Row],[Quantity]]*Table1[[#This Row],[unit_price]]*Table1[[#This Row],[Discount]]</f>
        <v>64</v>
      </c>
      <c r="Q303" t="str">
        <f>VLOOKUP(E303,Products!$A$2:$E$23,2,0)</f>
        <v>A4 Paper Ream</v>
      </c>
      <c r="R303" t="str">
        <f>VLOOKUP(Table1[[#This Row],[Product ID]],Products!$A$2:$E$23,3,0)</f>
        <v>Office Supplies</v>
      </c>
      <c r="S303" t="str">
        <f>VLOOKUP(C303,Customers!$A$2:$F$201,4,0)</f>
        <v>Chandigarh</v>
      </c>
      <c r="T303" t="str">
        <f>VLOOKUP(Table1[[#This Row],[Customer ID]],Customers!$A$2:$F$201,5,0)</f>
        <v>North</v>
      </c>
      <c r="U303" t="str">
        <f>VLOOKUP(Table1[[#This Row],[Customer ID]],Customers!$A$2:$F$201,6,0)</f>
        <v>Consumer</v>
      </c>
      <c r="V303" t="str">
        <f>TEXT(Table1[[#This Row],[Order Date]],"MMM")</f>
        <v>Jun</v>
      </c>
      <c r="W303" t="str">
        <f>TEXT(Table1[[#This Row],[Order Date]],"yyyy")</f>
        <v>2024</v>
      </c>
    </row>
    <row r="304" spans="1:23" x14ac:dyDescent="0.25">
      <c r="A304" s="2" t="s">
        <v>507</v>
      </c>
      <c r="B304" s="4">
        <v>45473</v>
      </c>
      <c r="C304" s="2" t="s">
        <v>313</v>
      </c>
      <c r="D304" s="2" t="str">
        <f>TEXT(Table1[[#This Row],[Order Date]],"mmmm")</f>
        <v>June</v>
      </c>
      <c r="E304" s="2" t="s">
        <v>34</v>
      </c>
      <c r="F304" s="2">
        <v>5</v>
      </c>
      <c r="G304" s="5">
        <v>0</v>
      </c>
      <c r="H304" s="2" t="s">
        <v>30</v>
      </c>
      <c r="I304" s="2" t="s">
        <v>46</v>
      </c>
      <c r="J304" s="2" t="s">
        <v>21</v>
      </c>
      <c r="K304">
        <f>VLOOKUP(E304,Products!$A$2:$E$23,5,0)</f>
        <v>4599</v>
      </c>
      <c r="L304">
        <f>VLOOKUP(E304,Products!$A$2:$E$23,4,0)</f>
        <v>3000</v>
      </c>
      <c r="M304" s="2">
        <f>K304*F304-Table1[[#This Row],[discount_amount]]</f>
        <v>22995</v>
      </c>
      <c r="N304">
        <f t="shared" si="9"/>
        <v>15000</v>
      </c>
      <c r="O304">
        <f t="shared" si="8"/>
        <v>7995</v>
      </c>
      <c r="P304">
        <f>Table1[[#This Row],[Quantity]]*Table1[[#This Row],[unit_price]]*Table1[[#This Row],[Discount]]</f>
        <v>0</v>
      </c>
      <c r="Q304" t="str">
        <f>VLOOKUP(E304,Products!$A$2:$E$23,2,0)</f>
        <v>Filing Cabinet</v>
      </c>
      <c r="R304" t="str">
        <f>VLOOKUP(Table1[[#This Row],[Product ID]],Products!$A$2:$E$23,3,0)</f>
        <v>Furniture</v>
      </c>
      <c r="S304" t="str">
        <f>VLOOKUP(C304,Customers!$A$2:$F$201,4,0)</f>
        <v>Kerala</v>
      </c>
      <c r="T304" t="str">
        <f>VLOOKUP(Table1[[#This Row],[Customer ID]],Customers!$A$2:$F$201,5,0)</f>
        <v>South</v>
      </c>
      <c r="U304" t="str">
        <f>VLOOKUP(Table1[[#This Row],[Customer ID]],Customers!$A$2:$F$201,6,0)</f>
        <v>Consumer</v>
      </c>
      <c r="V304" t="str">
        <f>TEXT(Table1[[#This Row],[Order Date]],"MMM")</f>
        <v>Jun</v>
      </c>
      <c r="W304" t="str">
        <f>TEXT(Table1[[#This Row],[Order Date]],"yyyy")</f>
        <v>2024</v>
      </c>
    </row>
    <row r="305" spans="1:23" x14ac:dyDescent="0.25">
      <c r="A305" s="2" t="s">
        <v>508</v>
      </c>
      <c r="B305" s="4">
        <v>45475</v>
      </c>
      <c r="C305" s="2" t="s">
        <v>509</v>
      </c>
      <c r="D305" s="2" t="str">
        <f>TEXT(Table1[[#This Row],[Order Date]],"mmmm")</f>
        <v>July</v>
      </c>
      <c r="E305" s="2" t="s">
        <v>57</v>
      </c>
      <c r="F305" s="2">
        <v>2</v>
      </c>
      <c r="G305" s="5">
        <v>0</v>
      </c>
      <c r="H305" s="2" t="s">
        <v>30</v>
      </c>
      <c r="I305" s="2" t="s">
        <v>38</v>
      </c>
      <c r="J305" s="2" t="s">
        <v>21</v>
      </c>
      <c r="K305">
        <f>VLOOKUP(E305,Products!$A$2:$E$23,5,0)</f>
        <v>1599</v>
      </c>
      <c r="L305">
        <f>VLOOKUP(E305,Products!$A$2:$E$23,4,0)</f>
        <v>800</v>
      </c>
      <c r="M305" s="2">
        <f>K305*F305-Table1[[#This Row],[discount_amount]]</f>
        <v>3198</v>
      </c>
      <c r="N305">
        <f t="shared" si="9"/>
        <v>1600</v>
      </c>
      <c r="O305">
        <f t="shared" si="8"/>
        <v>1598</v>
      </c>
      <c r="P305">
        <f>Table1[[#This Row],[Quantity]]*Table1[[#This Row],[unit_price]]*Table1[[#This Row],[Discount]]</f>
        <v>0</v>
      </c>
      <c r="Q305" t="str">
        <f>VLOOKUP(E305,Products!$A$2:$E$23,2,0)</f>
        <v>Hoodie</v>
      </c>
      <c r="R305" t="str">
        <f>VLOOKUP(Table1[[#This Row],[Product ID]],Products!$A$2:$E$23,3,0)</f>
        <v>Clothing</v>
      </c>
      <c r="S305" t="str">
        <f>VLOOKUP(C305,Customers!$A$2:$F$201,4,0)</f>
        <v>Madhya Pradesh</v>
      </c>
      <c r="T305" t="str">
        <f>VLOOKUP(Table1[[#This Row],[Customer ID]],Customers!$A$2:$F$201,5,0)</f>
        <v>Central</v>
      </c>
      <c r="U305" t="str">
        <f>VLOOKUP(Table1[[#This Row],[Customer ID]],Customers!$A$2:$F$201,6,0)</f>
        <v>Consumer</v>
      </c>
      <c r="V305" t="str">
        <f>TEXT(Table1[[#This Row],[Order Date]],"MMM")</f>
        <v>Jul</v>
      </c>
      <c r="W305" t="str">
        <f>TEXT(Table1[[#This Row],[Order Date]],"yyyy")</f>
        <v>2024</v>
      </c>
    </row>
    <row r="306" spans="1:23" x14ac:dyDescent="0.25">
      <c r="A306" s="2" t="s">
        <v>510</v>
      </c>
      <c r="B306" s="4">
        <v>45476</v>
      </c>
      <c r="C306" s="2" t="s">
        <v>356</v>
      </c>
      <c r="D306" s="2" t="str">
        <f>TEXT(Table1[[#This Row],[Order Date]],"mmmm")</f>
        <v>July</v>
      </c>
      <c r="E306" s="2" t="s">
        <v>111</v>
      </c>
      <c r="F306" s="2">
        <v>2</v>
      </c>
      <c r="G306" s="5">
        <v>0.05</v>
      </c>
      <c r="H306" s="2" t="s">
        <v>19</v>
      </c>
      <c r="I306" s="2" t="s">
        <v>31</v>
      </c>
      <c r="J306" s="2" t="s">
        <v>21</v>
      </c>
      <c r="K306">
        <f>VLOOKUP(E306,Products!$A$2:$E$23,5,0)</f>
        <v>240</v>
      </c>
      <c r="L306">
        <f>VLOOKUP(E306,Products!$A$2:$E$23,4,0)</f>
        <v>140</v>
      </c>
      <c r="M306" s="2">
        <f>K306*F306-Table1[[#This Row],[discount_amount]]</f>
        <v>456</v>
      </c>
      <c r="N306">
        <f t="shared" si="9"/>
        <v>280</v>
      </c>
      <c r="O306">
        <f t="shared" si="8"/>
        <v>176</v>
      </c>
      <c r="P306">
        <f>Table1[[#This Row],[Quantity]]*Table1[[#This Row],[unit_price]]*Table1[[#This Row],[Discount]]</f>
        <v>24</v>
      </c>
      <c r="Q306" t="str">
        <f>VLOOKUP(E306,Products!$A$2:$E$23,2,0)</f>
        <v>Whiteboard Marker Set</v>
      </c>
      <c r="R306" t="str">
        <f>VLOOKUP(Table1[[#This Row],[Product ID]],Products!$A$2:$E$23,3,0)</f>
        <v>Office Supplies</v>
      </c>
      <c r="S306" t="str">
        <f>VLOOKUP(C306,Customers!$A$2:$F$201,4,0)</f>
        <v>Gujarat</v>
      </c>
      <c r="T306" t="str">
        <f>VLOOKUP(Table1[[#This Row],[Customer ID]],Customers!$A$2:$F$201,5,0)</f>
        <v>West</v>
      </c>
      <c r="U306" t="str">
        <f>VLOOKUP(Table1[[#This Row],[Customer ID]],Customers!$A$2:$F$201,6,0)</f>
        <v>Corporate</v>
      </c>
      <c r="V306" t="str">
        <f>TEXT(Table1[[#This Row],[Order Date]],"MMM")</f>
        <v>Jul</v>
      </c>
      <c r="W306" t="str">
        <f>TEXT(Table1[[#This Row],[Order Date]],"yyyy")</f>
        <v>2024</v>
      </c>
    </row>
    <row r="307" spans="1:23" x14ac:dyDescent="0.25">
      <c r="A307" s="2" t="s">
        <v>511</v>
      </c>
      <c r="B307" s="4">
        <v>45476</v>
      </c>
      <c r="C307" s="2" t="s">
        <v>347</v>
      </c>
      <c r="D307" s="2" t="str">
        <f>TEXT(Table1[[#This Row],[Order Date]],"mmmm")</f>
        <v>July</v>
      </c>
      <c r="E307" s="2" t="s">
        <v>34</v>
      </c>
      <c r="F307" s="2">
        <v>3</v>
      </c>
      <c r="G307" s="5">
        <v>0.05</v>
      </c>
      <c r="H307" s="2" t="s">
        <v>19</v>
      </c>
      <c r="I307" s="2" t="s">
        <v>20</v>
      </c>
      <c r="J307" s="2" t="s">
        <v>21</v>
      </c>
      <c r="K307">
        <f>VLOOKUP(E307,Products!$A$2:$E$23,5,0)</f>
        <v>4599</v>
      </c>
      <c r="L307">
        <f>VLOOKUP(E307,Products!$A$2:$E$23,4,0)</f>
        <v>3000</v>
      </c>
      <c r="M307" s="2">
        <f>K307*F307-Table1[[#This Row],[discount_amount]]</f>
        <v>13107.15</v>
      </c>
      <c r="N307">
        <f t="shared" si="9"/>
        <v>9000</v>
      </c>
      <c r="O307">
        <f t="shared" si="8"/>
        <v>4107.1499999999996</v>
      </c>
      <c r="P307">
        <f>Table1[[#This Row],[Quantity]]*Table1[[#This Row],[unit_price]]*Table1[[#This Row],[Discount]]</f>
        <v>689.85</v>
      </c>
      <c r="Q307" t="str">
        <f>VLOOKUP(E307,Products!$A$2:$E$23,2,0)</f>
        <v>Filing Cabinet</v>
      </c>
      <c r="R307" t="str">
        <f>VLOOKUP(Table1[[#This Row],[Product ID]],Products!$A$2:$E$23,3,0)</f>
        <v>Furniture</v>
      </c>
      <c r="S307" t="str">
        <f>VLOOKUP(C307,Customers!$A$2:$F$201,4,0)</f>
        <v>Madhya Pradesh</v>
      </c>
      <c r="T307" t="str">
        <f>VLOOKUP(Table1[[#This Row],[Customer ID]],Customers!$A$2:$F$201,5,0)</f>
        <v>Central</v>
      </c>
      <c r="U307" t="str">
        <f>VLOOKUP(Table1[[#This Row],[Customer ID]],Customers!$A$2:$F$201,6,0)</f>
        <v>Home Office</v>
      </c>
      <c r="V307" t="str">
        <f>TEXT(Table1[[#This Row],[Order Date]],"MMM")</f>
        <v>Jul</v>
      </c>
      <c r="W307" t="str">
        <f>TEXT(Table1[[#This Row],[Order Date]],"yyyy")</f>
        <v>2024</v>
      </c>
    </row>
    <row r="308" spans="1:23" x14ac:dyDescent="0.25">
      <c r="A308" s="2" t="s">
        <v>512</v>
      </c>
      <c r="B308" s="4">
        <v>45476</v>
      </c>
      <c r="C308" s="2" t="s">
        <v>113</v>
      </c>
      <c r="D308" s="2" t="str">
        <f>TEXT(Table1[[#This Row],[Order Date]],"mmmm")</f>
        <v>July</v>
      </c>
      <c r="E308" s="2" t="s">
        <v>18</v>
      </c>
      <c r="F308" s="2">
        <v>6</v>
      </c>
      <c r="G308" s="5">
        <v>0</v>
      </c>
      <c r="H308" s="2" t="s">
        <v>25</v>
      </c>
      <c r="I308" s="2" t="s">
        <v>20</v>
      </c>
      <c r="J308" s="2" t="s">
        <v>21</v>
      </c>
      <c r="K308">
        <f>VLOOKUP(E308,Products!$A$2:$E$23,5,0)</f>
        <v>4299</v>
      </c>
      <c r="L308">
        <f>VLOOKUP(E308,Products!$A$2:$E$23,4,0)</f>
        <v>2800</v>
      </c>
      <c r="M308" s="2">
        <f>K308*F308-Table1[[#This Row],[discount_amount]]</f>
        <v>25794</v>
      </c>
      <c r="N308">
        <f t="shared" si="9"/>
        <v>16800</v>
      </c>
      <c r="O308">
        <f t="shared" si="8"/>
        <v>8994</v>
      </c>
      <c r="P308">
        <f>Table1[[#This Row],[Quantity]]*Table1[[#This Row],[unit_price]]*Table1[[#This Row],[Discount]]</f>
        <v>0</v>
      </c>
      <c r="Q308" t="str">
        <f>VLOOKUP(E308,Products!$A$2:$E$23,2,0)</f>
        <v>Bookshelf</v>
      </c>
      <c r="R308" t="str">
        <f>VLOOKUP(Table1[[#This Row],[Product ID]],Products!$A$2:$E$23,3,0)</f>
        <v>Furniture</v>
      </c>
      <c r="S308" t="str">
        <f>VLOOKUP(C308,Customers!$A$2:$F$201,4,0)</f>
        <v>Gujarat</v>
      </c>
      <c r="T308" t="str">
        <f>VLOOKUP(Table1[[#This Row],[Customer ID]],Customers!$A$2:$F$201,5,0)</f>
        <v>West</v>
      </c>
      <c r="U308" t="str">
        <f>VLOOKUP(Table1[[#This Row],[Customer ID]],Customers!$A$2:$F$201,6,0)</f>
        <v>Consumer</v>
      </c>
      <c r="V308" t="str">
        <f>TEXT(Table1[[#This Row],[Order Date]],"MMM")</f>
        <v>Jul</v>
      </c>
      <c r="W308" t="str">
        <f>TEXT(Table1[[#This Row],[Order Date]],"yyyy")</f>
        <v>2024</v>
      </c>
    </row>
    <row r="309" spans="1:23" x14ac:dyDescent="0.25">
      <c r="A309" s="2" t="s">
        <v>513</v>
      </c>
      <c r="B309" s="4">
        <v>45477</v>
      </c>
      <c r="C309" s="2" t="s">
        <v>276</v>
      </c>
      <c r="D309" s="2" t="str">
        <f>TEXT(Table1[[#This Row],[Order Date]],"mmmm")</f>
        <v>July</v>
      </c>
      <c r="E309" s="2" t="s">
        <v>91</v>
      </c>
      <c r="F309" s="2">
        <v>1</v>
      </c>
      <c r="G309" s="5">
        <v>0.05</v>
      </c>
      <c r="H309" s="2" t="s">
        <v>19</v>
      </c>
      <c r="I309" s="2" t="s">
        <v>31</v>
      </c>
      <c r="J309" s="2" t="s">
        <v>21</v>
      </c>
      <c r="K309">
        <f>VLOOKUP(E309,Products!$A$2:$E$23,5,0)</f>
        <v>1199</v>
      </c>
      <c r="L309">
        <f>VLOOKUP(E309,Products!$A$2:$E$23,4,0)</f>
        <v>600</v>
      </c>
      <c r="M309" s="2">
        <f>K309*F309-Table1[[#This Row],[discount_amount]]</f>
        <v>1139.05</v>
      </c>
      <c r="N309">
        <f t="shared" si="9"/>
        <v>600</v>
      </c>
      <c r="O309">
        <f t="shared" si="8"/>
        <v>539.04999999999995</v>
      </c>
      <c r="P309">
        <f>Table1[[#This Row],[Quantity]]*Table1[[#This Row],[unit_price]]*Table1[[#This Row],[Discount]]</f>
        <v>59.95</v>
      </c>
      <c r="Q309" t="str">
        <f>VLOOKUP(E309,Products!$A$2:$E$23,2,0)</f>
        <v>Formal Shirt</v>
      </c>
      <c r="R309" t="str">
        <f>VLOOKUP(Table1[[#This Row],[Product ID]],Products!$A$2:$E$23,3,0)</f>
        <v>Clothing</v>
      </c>
      <c r="S309" t="str">
        <f>VLOOKUP(C309,Customers!$A$2:$F$201,4,0)</f>
        <v>Tamil Nadu</v>
      </c>
      <c r="T309" t="str">
        <f>VLOOKUP(Table1[[#This Row],[Customer ID]],Customers!$A$2:$F$201,5,0)</f>
        <v>South</v>
      </c>
      <c r="U309" t="str">
        <f>VLOOKUP(Table1[[#This Row],[Customer ID]],Customers!$A$2:$F$201,6,0)</f>
        <v>Consumer</v>
      </c>
      <c r="V309" t="str">
        <f>TEXT(Table1[[#This Row],[Order Date]],"MMM")</f>
        <v>Jul</v>
      </c>
      <c r="W309" t="str">
        <f>TEXT(Table1[[#This Row],[Order Date]],"yyyy")</f>
        <v>2024</v>
      </c>
    </row>
    <row r="310" spans="1:23" x14ac:dyDescent="0.25">
      <c r="A310" s="2" t="s">
        <v>514</v>
      </c>
      <c r="B310" s="4">
        <v>45477</v>
      </c>
      <c r="C310" s="2" t="s">
        <v>287</v>
      </c>
      <c r="D310" s="2" t="str">
        <f>TEXT(Table1[[#This Row],[Order Date]],"mmmm")</f>
        <v>July</v>
      </c>
      <c r="E310" s="2" t="s">
        <v>57</v>
      </c>
      <c r="F310" s="2">
        <v>3</v>
      </c>
      <c r="G310" s="5">
        <v>0</v>
      </c>
      <c r="H310" s="2" t="s">
        <v>30</v>
      </c>
      <c r="I310" s="2" t="s">
        <v>26</v>
      </c>
      <c r="J310" s="2" t="s">
        <v>21</v>
      </c>
      <c r="K310">
        <f>VLOOKUP(E310,Products!$A$2:$E$23,5,0)</f>
        <v>1599</v>
      </c>
      <c r="L310">
        <f>VLOOKUP(E310,Products!$A$2:$E$23,4,0)</f>
        <v>800</v>
      </c>
      <c r="M310" s="2">
        <f>K310*F310-Table1[[#This Row],[discount_amount]]</f>
        <v>4797</v>
      </c>
      <c r="N310">
        <f t="shared" si="9"/>
        <v>2400</v>
      </c>
      <c r="O310">
        <f t="shared" si="8"/>
        <v>2397</v>
      </c>
      <c r="P310">
        <f>Table1[[#This Row],[Quantity]]*Table1[[#This Row],[unit_price]]*Table1[[#This Row],[Discount]]</f>
        <v>0</v>
      </c>
      <c r="Q310" t="str">
        <f>VLOOKUP(E310,Products!$A$2:$E$23,2,0)</f>
        <v>Hoodie</v>
      </c>
      <c r="R310" t="str">
        <f>VLOOKUP(Table1[[#This Row],[Product ID]],Products!$A$2:$E$23,3,0)</f>
        <v>Clothing</v>
      </c>
      <c r="S310" t="str">
        <f>VLOOKUP(C310,Customers!$A$2:$F$201,4,0)</f>
        <v>Kerala</v>
      </c>
      <c r="T310" t="str">
        <f>VLOOKUP(Table1[[#This Row],[Customer ID]],Customers!$A$2:$F$201,5,0)</f>
        <v>South</v>
      </c>
      <c r="U310" t="str">
        <f>VLOOKUP(Table1[[#This Row],[Customer ID]],Customers!$A$2:$F$201,6,0)</f>
        <v>Corporate</v>
      </c>
      <c r="V310" t="str">
        <f>TEXT(Table1[[#This Row],[Order Date]],"MMM")</f>
        <v>Jul</v>
      </c>
      <c r="W310" t="str">
        <f>TEXT(Table1[[#This Row],[Order Date]],"yyyy")</f>
        <v>2024</v>
      </c>
    </row>
    <row r="311" spans="1:23" x14ac:dyDescent="0.25">
      <c r="A311" s="2" t="s">
        <v>515</v>
      </c>
      <c r="B311" s="4">
        <v>45477</v>
      </c>
      <c r="C311" s="2" t="s">
        <v>44</v>
      </c>
      <c r="D311" s="2" t="str">
        <f>TEXT(Table1[[#This Row],[Order Date]],"mmmm")</f>
        <v>July</v>
      </c>
      <c r="E311" s="2" t="s">
        <v>18</v>
      </c>
      <c r="F311" s="2">
        <v>4</v>
      </c>
      <c r="G311" s="5">
        <v>0.15</v>
      </c>
      <c r="H311" s="2" t="s">
        <v>25</v>
      </c>
      <c r="I311" s="2" t="s">
        <v>26</v>
      </c>
      <c r="J311" s="2" t="s">
        <v>21</v>
      </c>
      <c r="K311">
        <f>VLOOKUP(E311,Products!$A$2:$E$23,5,0)</f>
        <v>4299</v>
      </c>
      <c r="L311">
        <f>VLOOKUP(E311,Products!$A$2:$E$23,4,0)</f>
        <v>2800</v>
      </c>
      <c r="M311" s="2">
        <f>K311*F311-Table1[[#This Row],[discount_amount]]</f>
        <v>14616.6</v>
      </c>
      <c r="N311">
        <f t="shared" si="9"/>
        <v>11200</v>
      </c>
      <c r="O311">
        <f t="shared" si="8"/>
        <v>3416.6000000000004</v>
      </c>
      <c r="P311">
        <f>Table1[[#This Row],[Quantity]]*Table1[[#This Row],[unit_price]]*Table1[[#This Row],[Discount]]</f>
        <v>2579.4</v>
      </c>
      <c r="Q311" t="str">
        <f>VLOOKUP(E311,Products!$A$2:$E$23,2,0)</f>
        <v>Bookshelf</v>
      </c>
      <c r="R311" t="str">
        <f>VLOOKUP(Table1[[#This Row],[Product ID]],Products!$A$2:$E$23,3,0)</f>
        <v>Furniture</v>
      </c>
      <c r="S311" t="str">
        <f>VLOOKUP(C311,Customers!$A$2:$F$201,4,0)</f>
        <v>Gujarat</v>
      </c>
      <c r="T311" t="str">
        <f>VLOOKUP(Table1[[#This Row],[Customer ID]],Customers!$A$2:$F$201,5,0)</f>
        <v>West</v>
      </c>
      <c r="U311" t="str">
        <f>VLOOKUP(Table1[[#This Row],[Customer ID]],Customers!$A$2:$F$201,6,0)</f>
        <v>Home Office</v>
      </c>
      <c r="V311" t="str">
        <f>TEXT(Table1[[#This Row],[Order Date]],"MMM")</f>
        <v>Jul</v>
      </c>
      <c r="W311" t="str">
        <f>TEXT(Table1[[#This Row],[Order Date]],"yyyy")</f>
        <v>2024</v>
      </c>
    </row>
    <row r="312" spans="1:23" x14ac:dyDescent="0.25">
      <c r="A312" s="2" t="s">
        <v>516</v>
      </c>
      <c r="B312" s="4">
        <v>45478</v>
      </c>
      <c r="C312" s="2" t="s">
        <v>304</v>
      </c>
      <c r="D312" s="2" t="str">
        <f>TEXT(Table1[[#This Row],[Order Date]],"mmmm")</f>
        <v>July</v>
      </c>
      <c r="E312" s="2" t="s">
        <v>63</v>
      </c>
      <c r="F312" s="2">
        <v>10</v>
      </c>
      <c r="G312" s="5">
        <v>0.1</v>
      </c>
      <c r="H312" s="2" t="s">
        <v>25</v>
      </c>
      <c r="I312" s="2" t="s">
        <v>20</v>
      </c>
      <c r="J312" s="2" t="s">
        <v>79</v>
      </c>
      <c r="K312">
        <f>VLOOKUP(E312,Products!$A$2:$E$23,5,0)</f>
        <v>5499</v>
      </c>
      <c r="L312">
        <f>VLOOKUP(E312,Products!$A$2:$E$23,4,0)</f>
        <v>3500</v>
      </c>
      <c r="M312" s="2">
        <f>K312*F312-Table1[[#This Row],[discount_amount]]</f>
        <v>49491</v>
      </c>
      <c r="N312">
        <f t="shared" si="9"/>
        <v>35000</v>
      </c>
      <c r="O312">
        <f t="shared" si="8"/>
        <v>14491</v>
      </c>
      <c r="P312">
        <f>Table1[[#This Row],[Quantity]]*Table1[[#This Row],[unit_price]]*Table1[[#This Row],[Discount]]</f>
        <v>5499</v>
      </c>
      <c r="Q312" t="str">
        <f>VLOOKUP(E312,Products!$A$2:$E$23,2,0)</f>
        <v>Office Chair</v>
      </c>
      <c r="R312" t="str">
        <f>VLOOKUP(Table1[[#This Row],[Product ID]],Products!$A$2:$E$23,3,0)</f>
        <v>Furniture</v>
      </c>
      <c r="S312" t="str">
        <f>VLOOKUP(C312,Customers!$A$2:$F$201,4,0)</f>
        <v>Gujarat</v>
      </c>
      <c r="T312" t="str">
        <f>VLOOKUP(Table1[[#This Row],[Customer ID]],Customers!$A$2:$F$201,5,0)</f>
        <v>West</v>
      </c>
      <c r="U312" t="str">
        <f>VLOOKUP(Table1[[#This Row],[Customer ID]],Customers!$A$2:$F$201,6,0)</f>
        <v>Home Office</v>
      </c>
      <c r="V312" t="str">
        <f>TEXT(Table1[[#This Row],[Order Date]],"MMM")</f>
        <v>Jul</v>
      </c>
      <c r="W312" t="str">
        <f>TEXT(Table1[[#This Row],[Order Date]],"yyyy")</f>
        <v>2024</v>
      </c>
    </row>
    <row r="313" spans="1:23" x14ac:dyDescent="0.25">
      <c r="A313" s="2" t="s">
        <v>517</v>
      </c>
      <c r="B313" s="4">
        <v>45480</v>
      </c>
      <c r="C313" s="2" t="s">
        <v>219</v>
      </c>
      <c r="D313" s="2" t="str">
        <f>TEXT(Table1[[#This Row],[Order Date]],"mmmm")</f>
        <v>July</v>
      </c>
      <c r="E313" s="2" t="s">
        <v>45</v>
      </c>
      <c r="F313" s="2">
        <v>2</v>
      </c>
      <c r="G313" s="5">
        <v>0.1</v>
      </c>
      <c r="H313" s="2" t="s">
        <v>19</v>
      </c>
      <c r="I313" s="2" t="s">
        <v>26</v>
      </c>
      <c r="J313" s="2" t="s">
        <v>21</v>
      </c>
      <c r="K313">
        <f>VLOOKUP(E313,Products!$A$2:$E$23,5,0)</f>
        <v>899</v>
      </c>
      <c r="L313">
        <f>VLOOKUP(E313,Products!$A$2:$E$23,4,0)</f>
        <v>450</v>
      </c>
      <c r="M313" s="2">
        <f>K313*F313-Table1[[#This Row],[discount_amount]]</f>
        <v>1618.2</v>
      </c>
      <c r="N313">
        <f t="shared" si="9"/>
        <v>900</v>
      </c>
      <c r="O313">
        <f t="shared" si="8"/>
        <v>718.2</v>
      </c>
      <c r="P313">
        <f>Table1[[#This Row],[Quantity]]*Table1[[#This Row],[unit_price]]*Table1[[#This Row],[Discount]]</f>
        <v>179.8</v>
      </c>
      <c r="Q313" t="str">
        <f>VLOOKUP(E313,Products!$A$2:$E$23,2,0)</f>
        <v>Track Pants</v>
      </c>
      <c r="R313" t="str">
        <f>VLOOKUP(Table1[[#This Row],[Product ID]],Products!$A$2:$E$23,3,0)</f>
        <v>Clothing</v>
      </c>
      <c r="S313" t="str">
        <f>VLOOKUP(C313,Customers!$A$2:$F$201,4,0)</f>
        <v>Gujarat</v>
      </c>
      <c r="T313" t="str">
        <f>VLOOKUP(Table1[[#This Row],[Customer ID]],Customers!$A$2:$F$201,5,0)</f>
        <v>West</v>
      </c>
      <c r="U313" t="str">
        <f>VLOOKUP(Table1[[#This Row],[Customer ID]],Customers!$A$2:$F$201,6,0)</f>
        <v>Consumer</v>
      </c>
      <c r="V313" t="str">
        <f>TEXT(Table1[[#This Row],[Order Date]],"MMM")</f>
        <v>Jul</v>
      </c>
      <c r="W313" t="str">
        <f>TEXT(Table1[[#This Row],[Order Date]],"yyyy")</f>
        <v>2024</v>
      </c>
    </row>
    <row r="314" spans="1:23" x14ac:dyDescent="0.25">
      <c r="A314" s="2" t="s">
        <v>518</v>
      </c>
      <c r="B314" s="4">
        <v>45483</v>
      </c>
      <c r="C314" s="2" t="s">
        <v>256</v>
      </c>
      <c r="D314" s="2" t="str">
        <f>TEXT(Table1[[#This Row],[Order Date]],"mmmm")</f>
        <v>July</v>
      </c>
      <c r="E314" s="2" t="s">
        <v>135</v>
      </c>
      <c r="F314" s="2">
        <v>5</v>
      </c>
      <c r="G314" s="5">
        <v>0.1</v>
      </c>
      <c r="H314" s="2" t="s">
        <v>25</v>
      </c>
      <c r="I314" s="2" t="s">
        <v>46</v>
      </c>
      <c r="J314" s="2" t="s">
        <v>21</v>
      </c>
      <c r="K314">
        <f>VLOOKUP(E314,Products!$A$2:$E$23,5,0)</f>
        <v>220</v>
      </c>
      <c r="L314">
        <f>VLOOKUP(E314,Products!$A$2:$E$23,4,0)</f>
        <v>120</v>
      </c>
      <c r="M314" s="2">
        <f>K314*F314-Table1[[#This Row],[discount_amount]]</f>
        <v>990</v>
      </c>
      <c r="N314">
        <f t="shared" si="9"/>
        <v>600</v>
      </c>
      <c r="O314">
        <f t="shared" si="8"/>
        <v>390</v>
      </c>
      <c r="P314">
        <f>Table1[[#This Row],[Quantity]]*Table1[[#This Row],[unit_price]]*Table1[[#This Row],[Discount]]</f>
        <v>110</v>
      </c>
      <c r="Q314" t="str">
        <f>VLOOKUP(E314,Products!$A$2:$E$23,2,0)</f>
        <v>Stapler</v>
      </c>
      <c r="R314" t="str">
        <f>VLOOKUP(Table1[[#This Row],[Product ID]],Products!$A$2:$E$23,3,0)</f>
        <v>Office Supplies</v>
      </c>
      <c r="S314" t="str">
        <f>VLOOKUP(C314,Customers!$A$2:$F$201,4,0)</f>
        <v>Gujarat</v>
      </c>
      <c r="T314" t="str">
        <f>VLOOKUP(Table1[[#This Row],[Customer ID]],Customers!$A$2:$F$201,5,0)</f>
        <v>West</v>
      </c>
      <c r="U314" t="str">
        <f>VLOOKUP(Table1[[#This Row],[Customer ID]],Customers!$A$2:$F$201,6,0)</f>
        <v>Consumer</v>
      </c>
      <c r="V314" t="str">
        <f>TEXT(Table1[[#This Row],[Order Date]],"MMM")</f>
        <v>Jul</v>
      </c>
      <c r="W314" t="str">
        <f>TEXT(Table1[[#This Row],[Order Date]],"yyyy")</f>
        <v>2024</v>
      </c>
    </row>
    <row r="315" spans="1:23" x14ac:dyDescent="0.25">
      <c r="A315" s="2" t="s">
        <v>519</v>
      </c>
      <c r="B315" s="4">
        <v>45484</v>
      </c>
      <c r="C315" s="2" t="s">
        <v>520</v>
      </c>
      <c r="D315" s="2" t="str">
        <f>TEXT(Table1[[#This Row],[Order Date]],"mmmm")</f>
        <v>July</v>
      </c>
      <c r="E315" s="2" t="s">
        <v>24</v>
      </c>
      <c r="F315" s="2">
        <v>2</v>
      </c>
      <c r="G315" s="5">
        <v>0.1</v>
      </c>
      <c r="H315" s="2" t="s">
        <v>19</v>
      </c>
      <c r="I315" s="2" t="s">
        <v>26</v>
      </c>
      <c r="J315" s="2" t="s">
        <v>21</v>
      </c>
      <c r="K315">
        <f>VLOOKUP(E315,Products!$A$2:$E$23,5,0)</f>
        <v>899</v>
      </c>
      <c r="L315">
        <f>VLOOKUP(E315,Products!$A$2:$E$23,4,0)</f>
        <v>500</v>
      </c>
      <c r="M315" s="2">
        <f>K315*F315-Table1[[#This Row],[discount_amount]]</f>
        <v>1618.2</v>
      </c>
      <c r="N315">
        <f t="shared" si="9"/>
        <v>1000</v>
      </c>
      <c r="O315">
        <f t="shared" si="8"/>
        <v>618.20000000000005</v>
      </c>
      <c r="P315">
        <f>Table1[[#This Row],[Quantity]]*Table1[[#This Row],[unit_price]]*Table1[[#This Row],[Discount]]</f>
        <v>179.8</v>
      </c>
      <c r="Q315" t="str">
        <f>VLOOKUP(E315,Products!$A$2:$E$23,2,0)</f>
        <v>Monitor Stand</v>
      </c>
      <c r="R315" t="str">
        <f>VLOOKUP(Table1[[#This Row],[Product ID]],Products!$A$2:$E$23,3,0)</f>
        <v>Furniture</v>
      </c>
      <c r="S315" t="str">
        <f>VLOOKUP(C315,Customers!$A$2:$F$201,4,0)</f>
        <v>Karnataka</v>
      </c>
      <c r="T315" t="str">
        <f>VLOOKUP(Table1[[#This Row],[Customer ID]],Customers!$A$2:$F$201,5,0)</f>
        <v>South</v>
      </c>
      <c r="U315" t="str">
        <f>VLOOKUP(Table1[[#This Row],[Customer ID]],Customers!$A$2:$F$201,6,0)</f>
        <v>Home Office</v>
      </c>
      <c r="V315" t="str">
        <f>TEXT(Table1[[#This Row],[Order Date]],"MMM")</f>
        <v>Jul</v>
      </c>
      <c r="W315" t="str">
        <f>TEXT(Table1[[#This Row],[Order Date]],"yyyy")</f>
        <v>2024</v>
      </c>
    </row>
    <row r="316" spans="1:23" x14ac:dyDescent="0.25">
      <c r="A316" s="2" t="s">
        <v>521</v>
      </c>
      <c r="B316" s="4">
        <v>45484</v>
      </c>
      <c r="C316" s="2" t="s">
        <v>171</v>
      </c>
      <c r="D316" s="2" t="str">
        <f>TEXT(Table1[[#This Row],[Order Date]],"mmmm")</f>
        <v>July</v>
      </c>
      <c r="E316" s="2" t="s">
        <v>60</v>
      </c>
      <c r="F316" s="2">
        <v>2</v>
      </c>
      <c r="G316" s="5">
        <v>0.1</v>
      </c>
      <c r="H316" s="2" t="s">
        <v>30</v>
      </c>
      <c r="I316" s="2" t="s">
        <v>26</v>
      </c>
      <c r="J316" s="2" t="s">
        <v>79</v>
      </c>
      <c r="K316">
        <f>VLOOKUP(E316,Products!$A$2:$E$23,5,0)</f>
        <v>449</v>
      </c>
      <c r="L316">
        <f>VLOOKUP(E316,Products!$A$2:$E$23,4,0)</f>
        <v>260</v>
      </c>
      <c r="M316" s="2">
        <f>K316*F316-Table1[[#This Row],[discount_amount]]</f>
        <v>808.2</v>
      </c>
      <c r="N316">
        <f t="shared" si="9"/>
        <v>520</v>
      </c>
      <c r="O316">
        <f t="shared" si="8"/>
        <v>288.20000000000005</v>
      </c>
      <c r="P316">
        <f>Table1[[#This Row],[Quantity]]*Table1[[#This Row],[unit_price]]*Table1[[#This Row],[Discount]]</f>
        <v>89.800000000000011</v>
      </c>
      <c r="Q316" t="str">
        <f>VLOOKUP(E316,Products!$A$2:$E$23,2,0)</f>
        <v>Desk Organizer</v>
      </c>
      <c r="R316" t="str">
        <f>VLOOKUP(Table1[[#This Row],[Product ID]],Products!$A$2:$E$23,3,0)</f>
        <v>Office Supplies</v>
      </c>
      <c r="S316" t="str">
        <f>VLOOKUP(C316,Customers!$A$2:$F$201,4,0)</f>
        <v>Delhi</v>
      </c>
      <c r="T316" t="str">
        <f>VLOOKUP(Table1[[#This Row],[Customer ID]],Customers!$A$2:$F$201,5,0)</f>
        <v>North</v>
      </c>
      <c r="U316" t="str">
        <f>VLOOKUP(Table1[[#This Row],[Customer ID]],Customers!$A$2:$F$201,6,0)</f>
        <v>Consumer</v>
      </c>
      <c r="V316" t="str">
        <f>TEXT(Table1[[#This Row],[Order Date]],"MMM")</f>
        <v>Jul</v>
      </c>
      <c r="W316" t="str">
        <f>TEXT(Table1[[#This Row],[Order Date]],"yyyy")</f>
        <v>2024</v>
      </c>
    </row>
    <row r="317" spans="1:23" x14ac:dyDescent="0.25">
      <c r="A317" s="2" t="s">
        <v>522</v>
      </c>
      <c r="B317" s="4">
        <v>45485</v>
      </c>
      <c r="C317" s="2" t="s">
        <v>197</v>
      </c>
      <c r="D317" s="2" t="str">
        <f>TEXT(Table1[[#This Row],[Order Date]],"mmmm")</f>
        <v>July</v>
      </c>
      <c r="E317" s="2" t="s">
        <v>155</v>
      </c>
      <c r="F317" s="2">
        <v>2</v>
      </c>
      <c r="G317" s="5">
        <v>0.1</v>
      </c>
      <c r="H317" s="2" t="s">
        <v>25</v>
      </c>
      <c r="I317" s="2" t="s">
        <v>46</v>
      </c>
      <c r="J317" s="2" t="s">
        <v>21</v>
      </c>
      <c r="K317">
        <f>VLOOKUP(E317,Products!$A$2:$E$23,5,0)</f>
        <v>1599</v>
      </c>
      <c r="L317">
        <f>VLOOKUP(E317,Products!$A$2:$E$23,4,0)</f>
        <v>900</v>
      </c>
      <c r="M317" s="2">
        <f>K317*F317-Table1[[#This Row],[discount_amount]]</f>
        <v>2878.2</v>
      </c>
      <c r="N317">
        <f t="shared" si="9"/>
        <v>1800</v>
      </c>
      <c r="O317">
        <f t="shared" si="8"/>
        <v>1078.1999999999998</v>
      </c>
      <c r="P317">
        <f>Table1[[#This Row],[Quantity]]*Table1[[#This Row],[unit_price]]*Table1[[#This Row],[Discount]]</f>
        <v>319.8</v>
      </c>
      <c r="Q317" t="str">
        <f>VLOOKUP(E317,Products!$A$2:$E$23,2,0)</f>
        <v>Headphones</v>
      </c>
      <c r="R317" t="str">
        <f>VLOOKUP(Table1[[#This Row],[Product ID]],Products!$A$2:$E$23,3,0)</f>
        <v>Electronics</v>
      </c>
      <c r="S317" t="str">
        <f>VLOOKUP(C317,Customers!$A$2:$F$201,4,0)</f>
        <v>Madhya Pradesh</v>
      </c>
      <c r="T317" t="str">
        <f>VLOOKUP(Table1[[#This Row],[Customer ID]],Customers!$A$2:$F$201,5,0)</f>
        <v>Central</v>
      </c>
      <c r="U317" t="str">
        <f>VLOOKUP(Table1[[#This Row],[Customer ID]],Customers!$A$2:$F$201,6,0)</f>
        <v>Consumer</v>
      </c>
      <c r="V317" t="str">
        <f>TEXT(Table1[[#This Row],[Order Date]],"MMM")</f>
        <v>Jul</v>
      </c>
      <c r="W317" t="str">
        <f>TEXT(Table1[[#This Row],[Order Date]],"yyyy")</f>
        <v>2024</v>
      </c>
    </row>
    <row r="318" spans="1:23" x14ac:dyDescent="0.25">
      <c r="A318" s="2" t="s">
        <v>523</v>
      </c>
      <c r="B318" s="4">
        <v>45486</v>
      </c>
      <c r="C318" s="2" t="s">
        <v>395</v>
      </c>
      <c r="D318" s="2" t="str">
        <f>TEXT(Table1[[#This Row],[Order Date]],"mmmm")</f>
        <v>July</v>
      </c>
      <c r="E318" s="2" t="s">
        <v>45</v>
      </c>
      <c r="F318" s="2">
        <v>1</v>
      </c>
      <c r="G318" s="5">
        <v>0</v>
      </c>
      <c r="H318" s="2" t="s">
        <v>19</v>
      </c>
      <c r="I318" s="2" t="s">
        <v>20</v>
      </c>
      <c r="J318" s="2" t="s">
        <v>21</v>
      </c>
      <c r="K318">
        <f>VLOOKUP(E318,Products!$A$2:$E$23,5,0)</f>
        <v>899</v>
      </c>
      <c r="L318">
        <f>VLOOKUP(E318,Products!$A$2:$E$23,4,0)</f>
        <v>450</v>
      </c>
      <c r="M318" s="2">
        <f>K318*F318-Table1[[#This Row],[discount_amount]]</f>
        <v>899</v>
      </c>
      <c r="N318">
        <f t="shared" si="9"/>
        <v>450</v>
      </c>
      <c r="O318">
        <f t="shared" si="8"/>
        <v>449</v>
      </c>
      <c r="P318">
        <f>Table1[[#This Row],[Quantity]]*Table1[[#This Row],[unit_price]]*Table1[[#This Row],[Discount]]</f>
        <v>0</v>
      </c>
      <c r="Q318" t="str">
        <f>VLOOKUP(E318,Products!$A$2:$E$23,2,0)</f>
        <v>Track Pants</v>
      </c>
      <c r="R318" t="str">
        <f>VLOOKUP(Table1[[#This Row],[Product ID]],Products!$A$2:$E$23,3,0)</f>
        <v>Clothing</v>
      </c>
      <c r="S318" t="str">
        <f>VLOOKUP(C318,Customers!$A$2:$F$201,4,0)</f>
        <v>Gujarat</v>
      </c>
      <c r="T318" t="str">
        <f>VLOOKUP(Table1[[#This Row],[Customer ID]],Customers!$A$2:$F$201,5,0)</f>
        <v>West</v>
      </c>
      <c r="U318" t="str">
        <f>VLOOKUP(Table1[[#This Row],[Customer ID]],Customers!$A$2:$F$201,6,0)</f>
        <v>Corporate</v>
      </c>
      <c r="V318" t="str">
        <f>TEXT(Table1[[#This Row],[Order Date]],"MMM")</f>
        <v>Jul</v>
      </c>
      <c r="W318" t="str">
        <f>TEXT(Table1[[#This Row],[Order Date]],"yyyy")</f>
        <v>2024</v>
      </c>
    </row>
    <row r="319" spans="1:23" x14ac:dyDescent="0.25">
      <c r="A319" s="2" t="s">
        <v>524</v>
      </c>
      <c r="B319" s="4">
        <v>45486</v>
      </c>
      <c r="C319" s="2" t="s">
        <v>525</v>
      </c>
      <c r="D319" s="2" t="str">
        <f>TEXT(Table1[[#This Row],[Order Date]],"mmmm")</f>
        <v>July</v>
      </c>
      <c r="E319" s="2" t="s">
        <v>24</v>
      </c>
      <c r="F319" s="2">
        <v>3</v>
      </c>
      <c r="G319" s="5">
        <v>0.05</v>
      </c>
      <c r="H319" s="2" t="s">
        <v>30</v>
      </c>
      <c r="I319" s="2" t="s">
        <v>20</v>
      </c>
      <c r="J319" s="2" t="s">
        <v>21</v>
      </c>
      <c r="K319">
        <f>VLOOKUP(E319,Products!$A$2:$E$23,5,0)</f>
        <v>899</v>
      </c>
      <c r="L319">
        <f>VLOOKUP(E319,Products!$A$2:$E$23,4,0)</f>
        <v>500</v>
      </c>
      <c r="M319" s="2">
        <f>K319*F319-Table1[[#This Row],[discount_amount]]</f>
        <v>2562.15</v>
      </c>
      <c r="N319">
        <f t="shared" si="9"/>
        <v>1500</v>
      </c>
      <c r="O319">
        <f t="shared" si="8"/>
        <v>1062.1500000000001</v>
      </c>
      <c r="P319">
        <f>Table1[[#This Row],[Quantity]]*Table1[[#This Row],[unit_price]]*Table1[[#This Row],[Discount]]</f>
        <v>134.85</v>
      </c>
      <c r="Q319" t="str">
        <f>VLOOKUP(E319,Products!$A$2:$E$23,2,0)</f>
        <v>Monitor Stand</v>
      </c>
      <c r="R319" t="str">
        <f>VLOOKUP(Table1[[#This Row],[Product ID]],Products!$A$2:$E$23,3,0)</f>
        <v>Furniture</v>
      </c>
      <c r="S319" t="str">
        <f>VLOOKUP(C319,Customers!$A$2:$F$201,4,0)</f>
        <v>Maharashtra</v>
      </c>
      <c r="T319" t="str">
        <f>VLOOKUP(Table1[[#This Row],[Customer ID]],Customers!$A$2:$F$201,5,0)</f>
        <v>West</v>
      </c>
      <c r="U319" t="str">
        <f>VLOOKUP(Table1[[#This Row],[Customer ID]],Customers!$A$2:$F$201,6,0)</f>
        <v>Consumer</v>
      </c>
      <c r="V319" t="str">
        <f>TEXT(Table1[[#This Row],[Order Date]],"MMM")</f>
        <v>Jul</v>
      </c>
      <c r="W319" t="str">
        <f>TEXT(Table1[[#This Row],[Order Date]],"yyyy")</f>
        <v>2024</v>
      </c>
    </row>
    <row r="320" spans="1:23" x14ac:dyDescent="0.25">
      <c r="A320" s="2" t="s">
        <v>526</v>
      </c>
      <c r="B320" s="4">
        <v>45487</v>
      </c>
      <c r="C320" s="2" t="s">
        <v>462</v>
      </c>
      <c r="D320" s="2" t="str">
        <f>TEXT(Table1[[#This Row],[Order Date]],"mmmm")</f>
        <v>July</v>
      </c>
      <c r="E320" s="2" t="s">
        <v>127</v>
      </c>
      <c r="F320" s="2">
        <v>1</v>
      </c>
      <c r="G320" s="5">
        <v>0.05</v>
      </c>
      <c r="H320" s="2" t="s">
        <v>30</v>
      </c>
      <c r="I320" s="2" t="s">
        <v>20</v>
      </c>
      <c r="J320" s="2" t="s">
        <v>21</v>
      </c>
      <c r="K320">
        <f>VLOOKUP(E320,Products!$A$2:$E$23,5,0)</f>
        <v>1999</v>
      </c>
      <c r="L320">
        <f>VLOOKUP(E320,Products!$A$2:$E$23,4,0)</f>
        <v>1200</v>
      </c>
      <c r="M320" s="2">
        <f>K320*F320-Table1[[#This Row],[discount_amount]]</f>
        <v>1899.05</v>
      </c>
      <c r="N320">
        <f t="shared" si="9"/>
        <v>1200</v>
      </c>
      <c r="O320">
        <f t="shared" si="8"/>
        <v>699.05</v>
      </c>
      <c r="P320">
        <f>Table1[[#This Row],[Quantity]]*Table1[[#This Row],[unit_price]]*Table1[[#This Row],[Discount]]</f>
        <v>99.95</v>
      </c>
      <c r="Q320" t="str">
        <f>VLOOKUP(E320,Products!$A$2:$E$23,2,0)</f>
        <v>Bluetooth Speaker</v>
      </c>
      <c r="R320" t="str">
        <f>VLOOKUP(Table1[[#This Row],[Product ID]],Products!$A$2:$E$23,3,0)</f>
        <v>Electronics</v>
      </c>
      <c r="S320" t="str">
        <f>VLOOKUP(C320,Customers!$A$2:$F$201,4,0)</f>
        <v>Kerala</v>
      </c>
      <c r="T320" t="str">
        <f>VLOOKUP(Table1[[#This Row],[Customer ID]],Customers!$A$2:$F$201,5,0)</f>
        <v>South</v>
      </c>
      <c r="U320" t="str">
        <f>VLOOKUP(Table1[[#This Row],[Customer ID]],Customers!$A$2:$F$201,6,0)</f>
        <v>Consumer</v>
      </c>
      <c r="V320" t="str">
        <f>TEXT(Table1[[#This Row],[Order Date]],"MMM")</f>
        <v>Jul</v>
      </c>
      <c r="W320" t="str">
        <f>TEXT(Table1[[#This Row],[Order Date]],"yyyy")</f>
        <v>2024</v>
      </c>
    </row>
    <row r="321" spans="1:23" x14ac:dyDescent="0.25">
      <c r="A321" s="2" t="s">
        <v>527</v>
      </c>
      <c r="B321" s="4">
        <v>45487</v>
      </c>
      <c r="C321" s="2" t="s">
        <v>171</v>
      </c>
      <c r="D321" s="2" t="str">
        <f>TEXT(Table1[[#This Row],[Order Date]],"mmmm")</f>
        <v>July</v>
      </c>
      <c r="E321" s="2" t="s">
        <v>60</v>
      </c>
      <c r="F321" s="2">
        <v>5</v>
      </c>
      <c r="G321" s="5">
        <v>0</v>
      </c>
      <c r="H321" s="2" t="s">
        <v>30</v>
      </c>
      <c r="I321" s="2" t="s">
        <v>46</v>
      </c>
      <c r="J321" s="2" t="s">
        <v>21</v>
      </c>
      <c r="K321">
        <f>VLOOKUP(E321,Products!$A$2:$E$23,5,0)</f>
        <v>449</v>
      </c>
      <c r="L321">
        <f>VLOOKUP(E321,Products!$A$2:$E$23,4,0)</f>
        <v>260</v>
      </c>
      <c r="M321" s="2">
        <f>K321*F321-Table1[[#This Row],[discount_amount]]</f>
        <v>2245</v>
      </c>
      <c r="N321">
        <f t="shared" si="9"/>
        <v>1300</v>
      </c>
      <c r="O321">
        <f t="shared" si="8"/>
        <v>945</v>
      </c>
      <c r="P321">
        <f>Table1[[#This Row],[Quantity]]*Table1[[#This Row],[unit_price]]*Table1[[#This Row],[Discount]]</f>
        <v>0</v>
      </c>
      <c r="Q321" t="str">
        <f>VLOOKUP(E321,Products!$A$2:$E$23,2,0)</f>
        <v>Desk Organizer</v>
      </c>
      <c r="R321" t="str">
        <f>VLOOKUP(Table1[[#This Row],[Product ID]],Products!$A$2:$E$23,3,0)</f>
        <v>Office Supplies</v>
      </c>
      <c r="S321" t="str">
        <f>VLOOKUP(C321,Customers!$A$2:$F$201,4,0)</f>
        <v>Delhi</v>
      </c>
      <c r="T321" t="str">
        <f>VLOOKUP(Table1[[#This Row],[Customer ID]],Customers!$A$2:$F$201,5,0)</f>
        <v>North</v>
      </c>
      <c r="U321" t="str">
        <f>VLOOKUP(Table1[[#This Row],[Customer ID]],Customers!$A$2:$F$201,6,0)</f>
        <v>Consumer</v>
      </c>
      <c r="V321" t="str">
        <f>TEXT(Table1[[#This Row],[Order Date]],"MMM")</f>
        <v>Jul</v>
      </c>
      <c r="W321" t="str">
        <f>TEXT(Table1[[#This Row],[Order Date]],"yyyy")</f>
        <v>2024</v>
      </c>
    </row>
    <row r="322" spans="1:23" x14ac:dyDescent="0.25">
      <c r="A322" s="2" t="s">
        <v>528</v>
      </c>
      <c r="B322" s="4">
        <v>45488</v>
      </c>
      <c r="C322" s="2" t="s">
        <v>278</v>
      </c>
      <c r="D322" s="2" t="str">
        <f>TEXT(Table1[[#This Row],[Order Date]],"mmmm")</f>
        <v>July</v>
      </c>
      <c r="E322" s="2" t="s">
        <v>24</v>
      </c>
      <c r="F322" s="2">
        <v>6</v>
      </c>
      <c r="G322" s="5">
        <v>0</v>
      </c>
      <c r="H322" s="2" t="s">
        <v>30</v>
      </c>
      <c r="I322" s="2" t="s">
        <v>38</v>
      </c>
      <c r="J322" s="2" t="s">
        <v>79</v>
      </c>
      <c r="K322">
        <f>VLOOKUP(E322,Products!$A$2:$E$23,5,0)</f>
        <v>899</v>
      </c>
      <c r="L322">
        <f>VLOOKUP(E322,Products!$A$2:$E$23,4,0)</f>
        <v>500</v>
      </c>
      <c r="M322" s="2">
        <f>K322*F322-Table1[[#This Row],[discount_amount]]</f>
        <v>5394</v>
      </c>
      <c r="N322">
        <f t="shared" si="9"/>
        <v>3000</v>
      </c>
      <c r="O322">
        <f t="shared" ref="O322:O385" si="10">M322-N322</f>
        <v>2394</v>
      </c>
      <c r="P322">
        <f>Table1[[#This Row],[Quantity]]*Table1[[#This Row],[unit_price]]*Table1[[#This Row],[Discount]]</f>
        <v>0</v>
      </c>
      <c r="Q322" t="str">
        <f>VLOOKUP(E322,Products!$A$2:$E$23,2,0)</f>
        <v>Monitor Stand</v>
      </c>
      <c r="R322" t="str">
        <f>VLOOKUP(Table1[[#This Row],[Product ID]],Products!$A$2:$E$23,3,0)</f>
        <v>Furniture</v>
      </c>
      <c r="S322" t="str">
        <f>VLOOKUP(C322,Customers!$A$2:$F$201,4,0)</f>
        <v>Odisha</v>
      </c>
      <c r="T322" t="str">
        <f>VLOOKUP(Table1[[#This Row],[Customer ID]],Customers!$A$2:$F$201,5,0)</f>
        <v>East</v>
      </c>
      <c r="U322" t="str">
        <f>VLOOKUP(Table1[[#This Row],[Customer ID]],Customers!$A$2:$F$201,6,0)</f>
        <v>Corporate</v>
      </c>
      <c r="V322" t="str">
        <f>TEXT(Table1[[#This Row],[Order Date]],"MMM")</f>
        <v>Jul</v>
      </c>
      <c r="W322" t="str">
        <f>TEXT(Table1[[#This Row],[Order Date]],"yyyy")</f>
        <v>2024</v>
      </c>
    </row>
    <row r="323" spans="1:23" x14ac:dyDescent="0.25">
      <c r="A323" s="2" t="s">
        <v>529</v>
      </c>
      <c r="B323" s="4">
        <v>45490</v>
      </c>
      <c r="C323" s="2" t="s">
        <v>395</v>
      </c>
      <c r="D323" s="2" t="str">
        <f>TEXT(Table1[[#This Row],[Order Date]],"mmmm")</f>
        <v>July</v>
      </c>
      <c r="E323" s="2" t="s">
        <v>111</v>
      </c>
      <c r="F323" s="2">
        <v>2</v>
      </c>
      <c r="G323" s="5">
        <v>0</v>
      </c>
      <c r="H323" s="2" t="s">
        <v>19</v>
      </c>
      <c r="I323" s="2" t="s">
        <v>26</v>
      </c>
      <c r="J323" s="2" t="s">
        <v>21</v>
      </c>
      <c r="K323">
        <f>VLOOKUP(E323,Products!$A$2:$E$23,5,0)</f>
        <v>240</v>
      </c>
      <c r="L323">
        <f>VLOOKUP(E323,Products!$A$2:$E$23,4,0)</f>
        <v>140</v>
      </c>
      <c r="M323" s="2">
        <f>K323*F323-Table1[[#This Row],[discount_amount]]</f>
        <v>480</v>
      </c>
      <c r="N323">
        <f t="shared" ref="N323:N386" si="11">F323*L323</f>
        <v>280</v>
      </c>
      <c r="O323">
        <f t="shared" si="10"/>
        <v>200</v>
      </c>
      <c r="P323">
        <f>Table1[[#This Row],[Quantity]]*Table1[[#This Row],[unit_price]]*Table1[[#This Row],[Discount]]</f>
        <v>0</v>
      </c>
      <c r="Q323" t="str">
        <f>VLOOKUP(E323,Products!$A$2:$E$23,2,0)</f>
        <v>Whiteboard Marker Set</v>
      </c>
      <c r="R323" t="str">
        <f>VLOOKUP(Table1[[#This Row],[Product ID]],Products!$A$2:$E$23,3,0)</f>
        <v>Office Supplies</v>
      </c>
      <c r="S323" t="str">
        <f>VLOOKUP(C323,Customers!$A$2:$F$201,4,0)</f>
        <v>Gujarat</v>
      </c>
      <c r="T323" t="str">
        <f>VLOOKUP(Table1[[#This Row],[Customer ID]],Customers!$A$2:$F$201,5,0)</f>
        <v>West</v>
      </c>
      <c r="U323" t="str">
        <f>VLOOKUP(Table1[[#This Row],[Customer ID]],Customers!$A$2:$F$201,6,0)</f>
        <v>Corporate</v>
      </c>
      <c r="V323" t="str">
        <f>TEXT(Table1[[#This Row],[Order Date]],"MMM")</f>
        <v>Jul</v>
      </c>
      <c r="W323" t="str">
        <f>TEXT(Table1[[#This Row],[Order Date]],"yyyy")</f>
        <v>2024</v>
      </c>
    </row>
    <row r="324" spans="1:23" x14ac:dyDescent="0.25">
      <c r="A324" s="2" t="s">
        <v>530</v>
      </c>
      <c r="B324" s="4">
        <v>45490</v>
      </c>
      <c r="C324" s="2" t="s">
        <v>228</v>
      </c>
      <c r="D324" s="2" t="str">
        <f>TEXT(Table1[[#This Row],[Order Date]],"mmmm")</f>
        <v>July</v>
      </c>
      <c r="E324" s="2" t="s">
        <v>63</v>
      </c>
      <c r="F324" s="2">
        <v>2</v>
      </c>
      <c r="G324" s="5">
        <v>0.05</v>
      </c>
      <c r="H324" s="2" t="s">
        <v>30</v>
      </c>
      <c r="I324" s="2" t="s">
        <v>46</v>
      </c>
      <c r="J324" s="2" t="s">
        <v>21</v>
      </c>
      <c r="K324">
        <f>VLOOKUP(E324,Products!$A$2:$E$23,5,0)</f>
        <v>5499</v>
      </c>
      <c r="L324">
        <f>VLOOKUP(E324,Products!$A$2:$E$23,4,0)</f>
        <v>3500</v>
      </c>
      <c r="M324" s="2">
        <f>K324*F324-Table1[[#This Row],[discount_amount]]</f>
        <v>10448.1</v>
      </c>
      <c r="N324">
        <f t="shared" si="11"/>
        <v>7000</v>
      </c>
      <c r="O324">
        <f t="shared" si="10"/>
        <v>3448.1000000000004</v>
      </c>
      <c r="P324">
        <f>Table1[[#This Row],[Quantity]]*Table1[[#This Row],[unit_price]]*Table1[[#This Row],[Discount]]</f>
        <v>549.9</v>
      </c>
      <c r="Q324" t="str">
        <f>VLOOKUP(E324,Products!$A$2:$E$23,2,0)</f>
        <v>Office Chair</v>
      </c>
      <c r="R324" t="str">
        <f>VLOOKUP(Table1[[#This Row],[Product ID]],Products!$A$2:$E$23,3,0)</f>
        <v>Furniture</v>
      </c>
      <c r="S324" t="str">
        <f>VLOOKUP(C324,Customers!$A$2:$F$201,4,0)</f>
        <v>Odisha</v>
      </c>
      <c r="T324" t="str">
        <f>VLOOKUP(Table1[[#This Row],[Customer ID]],Customers!$A$2:$F$201,5,0)</f>
        <v>East</v>
      </c>
      <c r="U324" t="str">
        <f>VLOOKUP(Table1[[#This Row],[Customer ID]],Customers!$A$2:$F$201,6,0)</f>
        <v>Consumer</v>
      </c>
      <c r="V324" t="str">
        <f>TEXT(Table1[[#This Row],[Order Date]],"MMM")</f>
        <v>Jul</v>
      </c>
      <c r="W324" t="str">
        <f>TEXT(Table1[[#This Row],[Order Date]],"yyyy")</f>
        <v>2024</v>
      </c>
    </row>
    <row r="325" spans="1:23" x14ac:dyDescent="0.25">
      <c r="A325" s="2" t="s">
        <v>531</v>
      </c>
      <c r="B325" s="4">
        <v>45490</v>
      </c>
      <c r="C325" s="2" t="s">
        <v>391</v>
      </c>
      <c r="D325" s="2" t="str">
        <f>TEXT(Table1[[#This Row],[Order Date]],"mmmm")</f>
        <v>July</v>
      </c>
      <c r="E325" s="2" t="s">
        <v>37</v>
      </c>
      <c r="F325" s="2">
        <v>5</v>
      </c>
      <c r="G325" s="5">
        <v>0.05</v>
      </c>
      <c r="H325" s="2" t="s">
        <v>19</v>
      </c>
      <c r="I325" s="2" t="s">
        <v>38</v>
      </c>
      <c r="J325" s="2" t="s">
        <v>94</v>
      </c>
      <c r="K325">
        <f>VLOOKUP(E325,Products!$A$2:$E$23,5,0)</f>
        <v>1799</v>
      </c>
      <c r="L325">
        <f>VLOOKUP(E325,Products!$A$2:$E$23,4,0)</f>
        <v>900</v>
      </c>
      <c r="M325" s="2">
        <f>K325*F325-Table1[[#This Row],[discount_amount]]</f>
        <v>8545.25</v>
      </c>
      <c r="N325">
        <f t="shared" si="11"/>
        <v>4500</v>
      </c>
      <c r="O325">
        <f t="shared" si="10"/>
        <v>4045.25</v>
      </c>
      <c r="P325">
        <f>Table1[[#This Row],[Quantity]]*Table1[[#This Row],[unit_price]]*Table1[[#This Row],[Discount]]</f>
        <v>449.75</v>
      </c>
      <c r="Q325" t="str">
        <f>VLOOKUP(E325,Products!$A$2:$E$23,2,0)</f>
        <v>Denim Jeans</v>
      </c>
      <c r="R325" t="str">
        <f>VLOOKUP(Table1[[#This Row],[Product ID]],Products!$A$2:$E$23,3,0)</f>
        <v>Clothing</v>
      </c>
      <c r="S325" t="str">
        <f>VLOOKUP(C325,Customers!$A$2:$F$201,4,0)</f>
        <v>Chandigarh</v>
      </c>
      <c r="T325" t="str">
        <f>VLOOKUP(Table1[[#This Row],[Customer ID]],Customers!$A$2:$F$201,5,0)</f>
        <v>North</v>
      </c>
      <c r="U325" t="str">
        <f>VLOOKUP(Table1[[#This Row],[Customer ID]],Customers!$A$2:$F$201,6,0)</f>
        <v>Corporate</v>
      </c>
      <c r="V325" t="str">
        <f>TEXT(Table1[[#This Row],[Order Date]],"MMM")</f>
        <v>Jul</v>
      </c>
      <c r="W325" t="str">
        <f>TEXT(Table1[[#This Row],[Order Date]],"yyyy")</f>
        <v>2024</v>
      </c>
    </row>
    <row r="326" spans="1:23" x14ac:dyDescent="0.25">
      <c r="A326" s="2" t="s">
        <v>532</v>
      </c>
      <c r="B326" s="4">
        <v>45494</v>
      </c>
      <c r="C326" s="2" t="s">
        <v>533</v>
      </c>
      <c r="D326" s="2" t="str">
        <f>TEXT(Table1[[#This Row],[Order Date]],"mmmm")</f>
        <v>July</v>
      </c>
      <c r="E326" s="2" t="s">
        <v>127</v>
      </c>
      <c r="F326" s="2">
        <v>2</v>
      </c>
      <c r="G326" s="5">
        <v>0.1</v>
      </c>
      <c r="H326" s="2" t="s">
        <v>19</v>
      </c>
      <c r="I326" s="2" t="s">
        <v>31</v>
      </c>
      <c r="J326" s="2" t="s">
        <v>94</v>
      </c>
      <c r="K326">
        <f>VLOOKUP(E326,Products!$A$2:$E$23,5,0)</f>
        <v>1999</v>
      </c>
      <c r="L326">
        <f>VLOOKUP(E326,Products!$A$2:$E$23,4,0)</f>
        <v>1200</v>
      </c>
      <c r="M326" s="2">
        <f>K326*F326-Table1[[#This Row],[discount_amount]]</f>
        <v>3598.2</v>
      </c>
      <c r="N326">
        <f t="shared" si="11"/>
        <v>2400</v>
      </c>
      <c r="O326">
        <f t="shared" si="10"/>
        <v>1198.1999999999998</v>
      </c>
      <c r="P326">
        <f>Table1[[#This Row],[Quantity]]*Table1[[#This Row],[unit_price]]*Table1[[#This Row],[Discount]]</f>
        <v>399.8</v>
      </c>
      <c r="Q326" t="str">
        <f>VLOOKUP(E326,Products!$A$2:$E$23,2,0)</f>
        <v>Bluetooth Speaker</v>
      </c>
      <c r="R326" t="str">
        <f>VLOOKUP(Table1[[#This Row],[Product ID]],Products!$A$2:$E$23,3,0)</f>
        <v>Electronics</v>
      </c>
      <c r="S326" t="str">
        <f>VLOOKUP(C326,Customers!$A$2:$F$201,4,0)</f>
        <v>Gujarat</v>
      </c>
      <c r="T326" t="str">
        <f>VLOOKUP(Table1[[#This Row],[Customer ID]],Customers!$A$2:$F$201,5,0)</f>
        <v>West</v>
      </c>
      <c r="U326" t="str">
        <f>VLOOKUP(Table1[[#This Row],[Customer ID]],Customers!$A$2:$F$201,6,0)</f>
        <v>Corporate</v>
      </c>
      <c r="V326" t="str">
        <f>TEXT(Table1[[#This Row],[Order Date]],"MMM")</f>
        <v>Jul</v>
      </c>
      <c r="W326" t="str">
        <f>TEXT(Table1[[#This Row],[Order Date]],"yyyy")</f>
        <v>2024</v>
      </c>
    </row>
    <row r="327" spans="1:23" x14ac:dyDescent="0.25">
      <c r="A327" s="2" t="s">
        <v>534</v>
      </c>
      <c r="B327" s="4">
        <v>45494</v>
      </c>
      <c r="C327" s="2" t="s">
        <v>535</v>
      </c>
      <c r="D327" s="2" t="str">
        <f>TEXT(Table1[[#This Row],[Order Date]],"mmmm")</f>
        <v>July</v>
      </c>
      <c r="E327" s="2" t="s">
        <v>63</v>
      </c>
      <c r="F327" s="2">
        <v>1</v>
      </c>
      <c r="G327" s="5">
        <v>0.05</v>
      </c>
      <c r="H327" s="2" t="s">
        <v>25</v>
      </c>
      <c r="I327" s="2" t="s">
        <v>26</v>
      </c>
      <c r="J327" s="2" t="s">
        <v>21</v>
      </c>
      <c r="K327">
        <f>VLOOKUP(E327,Products!$A$2:$E$23,5,0)</f>
        <v>5499</v>
      </c>
      <c r="L327">
        <f>VLOOKUP(E327,Products!$A$2:$E$23,4,0)</f>
        <v>3500</v>
      </c>
      <c r="M327" s="2">
        <f>K327*F327-Table1[[#This Row],[discount_amount]]</f>
        <v>5224.05</v>
      </c>
      <c r="N327">
        <f t="shared" si="11"/>
        <v>3500</v>
      </c>
      <c r="O327">
        <f t="shared" si="10"/>
        <v>1724.0500000000002</v>
      </c>
      <c r="P327">
        <f>Table1[[#This Row],[Quantity]]*Table1[[#This Row],[unit_price]]*Table1[[#This Row],[Discount]]</f>
        <v>274.95</v>
      </c>
      <c r="Q327" t="str">
        <f>VLOOKUP(E327,Products!$A$2:$E$23,2,0)</f>
        <v>Office Chair</v>
      </c>
      <c r="R327" t="str">
        <f>VLOOKUP(Table1[[#This Row],[Product ID]],Products!$A$2:$E$23,3,0)</f>
        <v>Furniture</v>
      </c>
      <c r="S327" t="str">
        <f>VLOOKUP(C327,Customers!$A$2:$F$201,4,0)</f>
        <v>Maharashtra</v>
      </c>
      <c r="T327" t="str">
        <f>VLOOKUP(Table1[[#This Row],[Customer ID]],Customers!$A$2:$F$201,5,0)</f>
        <v>Central</v>
      </c>
      <c r="U327" t="str">
        <f>VLOOKUP(Table1[[#This Row],[Customer ID]],Customers!$A$2:$F$201,6,0)</f>
        <v>Consumer</v>
      </c>
      <c r="V327" t="str">
        <f>TEXT(Table1[[#This Row],[Order Date]],"MMM")</f>
        <v>Jul</v>
      </c>
      <c r="W327" t="str">
        <f>TEXT(Table1[[#This Row],[Order Date]],"yyyy")</f>
        <v>2024</v>
      </c>
    </row>
    <row r="328" spans="1:23" x14ac:dyDescent="0.25">
      <c r="A328" s="2" t="s">
        <v>536</v>
      </c>
      <c r="B328" s="4">
        <v>45495</v>
      </c>
      <c r="C328" s="2" t="s">
        <v>356</v>
      </c>
      <c r="D328" s="2" t="str">
        <f>TEXT(Table1[[#This Row],[Order Date]],"mmmm")</f>
        <v>July</v>
      </c>
      <c r="E328" s="2" t="s">
        <v>34</v>
      </c>
      <c r="F328" s="2">
        <v>1</v>
      </c>
      <c r="G328" s="5">
        <v>0</v>
      </c>
      <c r="H328" s="2" t="s">
        <v>30</v>
      </c>
      <c r="I328" s="2" t="s">
        <v>38</v>
      </c>
      <c r="J328" s="2" t="s">
        <v>21</v>
      </c>
      <c r="K328">
        <f>VLOOKUP(E328,Products!$A$2:$E$23,5,0)</f>
        <v>4599</v>
      </c>
      <c r="L328">
        <f>VLOOKUP(E328,Products!$A$2:$E$23,4,0)</f>
        <v>3000</v>
      </c>
      <c r="M328" s="2">
        <f>K328*F328-Table1[[#This Row],[discount_amount]]</f>
        <v>4599</v>
      </c>
      <c r="N328">
        <f t="shared" si="11"/>
        <v>3000</v>
      </c>
      <c r="O328">
        <f t="shared" si="10"/>
        <v>1599</v>
      </c>
      <c r="P328">
        <f>Table1[[#This Row],[Quantity]]*Table1[[#This Row],[unit_price]]*Table1[[#This Row],[Discount]]</f>
        <v>0</v>
      </c>
      <c r="Q328" t="str">
        <f>VLOOKUP(E328,Products!$A$2:$E$23,2,0)</f>
        <v>Filing Cabinet</v>
      </c>
      <c r="R328" t="str">
        <f>VLOOKUP(Table1[[#This Row],[Product ID]],Products!$A$2:$E$23,3,0)</f>
        <v>Furniture</v>
      </c>
      <c r="S328" t="str">
        <f>VLOOKUP(C328,Customers!$A$2:$F$201,4,0)</f>
        <v>Gujarat</v>
      </c>
      <c r="T328" t="str">
        <f>VLOOKUP(Table1[[#This Row],[Customer ID]],Customers!$A$2:$F$201,5,0)</f>
        <v>West</v>
      </c>
      <c r="U328" t="str">
        <f>VLOOKUP(Table1[[#This Row],[Customer ID]],Customers!$A$2:$F$201,6,0)</f>
        <v>Corporate</v>
      </c>
      <c r="V328" t="str">
        <f>TEXT(Table1[[#This Row],[Order Date]],"MMM")</f>
        <v>Jul</v>
      </c>
      <c r="W328" t="str">
        <f>TEXT(Table1[[#This Row],[Order Date]],"yyyy")</f>
        <v>2024</v>
      </c>
    </row>
    <row r="329" spans="1:23" x14ac:dyDescent="0.25">
      <c r="A329" s="2" t="s">
        <v>537</v>
      </c>
      <c r="B329" s="4">
        <v>45496</v>
      </c>
      <c r="C329" s="2" t="s">
        <v>171</v>
      </c>
      <c r="D329" s="2" t="str">
        <f>TEXT(Table1[[#This Row],[Order Date]],"mmmm")</f>
        <v>July</v>
      </c>
      <c r="E329" s="2" t="s">
        <v>127</v>
      </c>
      <c r="F329" s="2">
        <v>3</v>
      </c>
      <c r="G329" s="5">
        <v>0.05</v>
      </c>
      <c r="H329" s="2" t="s">
        <v>25</v>
      </c>
      <c r="I329" s="2" t="s">
        <v>26</v>
      </c>
      <c r="J329" s="2" t="s">
        <v>21</v>
      </c>
      <c r="K329">
        <f>VLOOKUP(E329,Products!$A$2:$E$23,5,0)</f>
        <v>1999</v>
      </c>
      <c r="L329">
        <f>VLOOKUP(E329,Products!$A$2:$E$23,4,0)</f>
        <v>1200</v>
      </c>
      <c r="M329" s="2">
        <f>K329*F329-Table1[[#This Row],[discount_amount]]</f>
        <v>5697.15</v>
      </c>
      <c r="N329">
        <f t="shared" si="11"/>
        <v>3600</v>
      </c>
      <c r="O329">
        <f t="shared" si="10"/>
        <v>2097.1499999999996</v>
      </c>
      <c r="P329">
        <f>Table1[[#This Row],[Quantity]]*Table1[[#This Row],[unit_price]]*Table1[[#This Row],[Discount]]</f>
        <v>299.85000000000002</v>
      </c>
      <c r="Q329" t="str">
        <f>VLOOKUP(E329,Products!$A$2:$E$23,2,0)</f>
        <v>Bluetooth Speaker</v>
      </c>
      <c r="R329" t="str">
        <f>VLOOKUP(Table1[[#This Row],[Product ID]],Products!$A$2:$E$23,3,0)</f>
        <v>Electronics</v>
      </c>
      <c r="S329" t="str">
        <f>VLOOKUP(C329,Customers!$A$2:$F$201,4,0)</f>
        <v>Delhi</v>
      </c>
      <c r="T329" t="str">
        <f>VLOOKUP(Table1[[#This Row],[Customer ID]],Customers!$A$2:$F$201,5,0)</f>
        <v>North</v>
      </c>
      <c r="U329" t="str">
        <f>VLOOKUP(Table1[[#This Row],[Customer ID]],Customers!$A$2:$F$201,6,0)</f>
        <v>Consumer</v>
      </c>
      <c r="V329" t="str">
        <f>TEXT(Table1[[#This Row],[Order Date]],"MMM")</f>
        <v>Jul</v>
      </c>
      <c r="W329" t="str">
        <f>TEXT(Table1[[#This Row],[Order Date]],"yyyy")</f>
        <v>2024</v>
      </c>
    </row>
    <row r="330" spans="1:23" x14ac:dyDescent="0.25">
      <c r="A330" s="2" t="s">
        <v>538</v>
      </c>
      <c r="B330" s="4">
        <v>45496</v>
      </c>
      <c r="C330" s="2" t="s">
        <v>421</v>
      </c>
      <c r="D330" s="2" t="str">
        <f>TEXT(Table1[[#This Row],[Order Date]],"mmmm")</f>
        <v>July</v>
      </c>
      <c r="E330" s="2" t="s">
        <v>135</v>
      </c>
      <c r="F330" s="2">
        <v>2</v>
      </c>
      <c r="G330" s="5">
        <v>0</v>
      </c>
      <c r="H330" s="2" t="s">
        <v>19</v>
      </c>
      <c r="I330" s="2" t="s">
        <v>46</v>
      </c>
      <c r="J330" s="2" t="s">
        <v>79</v>
      </c>
      <c r="K330">
        <f>VLOOKUP(E330,Products!$A$2:$E$23,5,0)</f>
        <v>220</v>
      </c>
      <c r="L330">
        <f>VLOOKUP(E330,Products!$A$2:$E$23,4,0)</f>
        <v>120</v>
      </c>
      <c r="M330" s="2">
        <f>K330*F330-Table1[[#This Row],[discount_amount]]</f>
        <v>440</v>
      </c>
      <c r="N330">
        <f t="shared" si="11"/>
        <v>240</v>
      </c>
      <c r="O330">
        <f t="shared" si="10"/>
        <v>200</v>
      </c>
      <c r="P330">
        <f>Table1[[#This Row],[Quantity]]*Table1[[#This Row],[unit_price]]*Table1[[#This Row],[Discount]]</f>
        <v>0</v>
      </c>
      <c r="Q330" t="str">
        <f>VLOOKUP(E330,Products!$A$2:$E$23,2,0)</f>
        <v>Stapler</v>
      </c>
      <c r="R330" t="str">
        <f>VLOOKUP(Table1[[#This Row],[Product ID]],Products!$A$2:$E$23,3,0)</f>
        <v>Office Supplies</v>
      </c>
      <c r="S330" t="str">
        <f>VLOOKUP(C330,Customers!$A$2:$F$201,4,0)</f>
        <v>Madhya Pradesh</v>
      </c>
      <c r="T330" t="str">
        <f>VLOOKUP(Table1[[#This Row],[Customer ID]],Customers!$A$2:$F$201,5,0)</f>
        <v>Central</v>
      </c>
      <c r="U330" t="str">
        <f>VLOOKUP(Table1[[#This Row],[Customer ID]],Customers!$A$2:$F$201,6,0)</f>
        <v>Consumer</v>
      </c>
      <c r="V330" t="str">
        <f>TEXT(Table1[[#This Row],[Order Date]],"MMM")</f>
        <v>Jul</v>
      </c>
      <c r="W330" t="str">
        <f>TEXT(Table1[[#This Row],[Order Date]],"yyyy")</f>
        <v>2024</v>
      </c>
    </row>
    <row r="331" spans="1:23" x14ac:dyDescent="0.25">
      <c r="A331" s="2" t="s">
        <v>539</v>
      </c>
      <c r="B331" s="4">
        <v>45497</v>
      </c>
      <c r="C331" s="2" t="s">
        <v>256</v>
      </c>
      <c r="D331" s="2" t="str">
        <f>TEXT(Table1[[#This Row],[Order Date]],"mmmm")</f>
        <v>July</v>
      </c>
      <c r="E331" s="2" t="s">
        <v>82</v>
      </c>
      <c r="F331" s="2">
        <v>1</v>
      </c>
      <c r="G331" s="5">
        <v>0</v>
      </c>
      <c r="H331" s="2" t="s">
        <v>30</v>
      </c>
      <c r="I331" s="2" t="s">
        <v>46</v>
      </c>
      <c r="J331" s="2" t="s">
        <v>21</v>
      </c>
      <c r="K331">
        <f>VLOOKUP(E331,Products!$A$2:$E$23,5,0)</f>
        <v>1799</v>
      </c>
      <c r="L331">
        <f>VLOOKUP(E331,Products!$A$2:$E$23,4,0)</f>
        <v>1100</v>
      </c>
      <c r="M331" s="2">
        <f>K331*F331-Table1[[#This Row],[discount_amount]]</f>
        <v>1799</v>
      </c>
      <c r="N331">
        <f t="shared" si="11"/>
        <v>1100</v>
      </c>
      <c r="O331">
        <f t="shared" si="10"/>
        <v>699</v>
      </c>
      <c r="P331">
        <f>Table1[[#This Row],[Quantity]]*Table1[[#This Row],[unit_price]]*Table1[[#This Row],[Discount]]</f>
        <v>0</v>
      </c>
      <c r="Q331" t="str">
        <f>VLOOKUP(E331,Products!$A$2:$E$23,2,0)</f>
        <v>Webcam HD</v>
      </c>
      <c r="R331" t="str">
        <f>VLOOKUP(Table1[[#This Row],[Product ID]],Products!$A$2:$E$23,3,0)</f>
        <v>Electronics</v>
      </c>
      <c r="S331" t="str">
        <f>VLOOKUP(C331,Customers!$A$2:$F$201,4,0)</f>
        <v>Gujarat</v>
      </c>
      <c r="T331" t="str">
        <f>VLOOKUP(Table1[[#This Row],[Customer ID]],Customers!$A$2:$F$201,5,0)</f>
        <v>West</v>
      </c>
      <c r="U331" t="str">
        <f>VLOOKUP(Table1[[#This Row],[Customer ID]],Customers!$A$2:$F$201,6,0)</f>
        <v>Consumer</v>
      </c>
      <c r="V331" t="str">
        <f>TEXT(Table1[[#This Row],[Order Date]],"MMM")</f>
        <v>Jul</v>
      </c>
      <c r="W331" t="str">
        <f>TEXT(Table1[[#This Row],[Order Date]],"yyyy")</f>
        <v>2024</v>
      </c>
    </row>
    <row r="332" spans="1:23" x14ac:dyDescent="0.25">
      <c r="A332" s="2" t="s">
        <v>540</v>
      </c>
      <c r="B332" s="4">
        <v>45498</v>
      </c>
      <c r="C332" s="2" t="s">
        <v>428</v>
      </c>
      <c r="D332" s="2" t="str">
        <f>TEXT(Table1[[#This Row],[Order Date]],"mmmm")</f>
        <v>July</v>
      </c>
      <c r="E332" s="2" t="s">
        <v>49</v>
      </c>
      <c r="F332" s="2">
        <v>10</v>
      </c>
      <c r="G332" s="5">
        <v>0</v>
      </c>
      <c r="H332" s="2" t="s">
        <v>25</v>
      </c>
      <c r="I332" s="2" t="s">
        <v>38</v>
      </c>
      <c r="J332" s="2" t="s">
        <v>21</v>
      </c>
      <c r="K332">
        <f>VLOOKUP(E332,Products!$A$2:$E$23,5,0)</f>
        <v>700</v>
      </c>
      <c r="L332">
        <f>VLOOKUP(E332,Products!$A$2:$E$23,4,0)</f>
        <v>450</v>
      </c>
      <c r="M332" s="2">
        <f>K332*F332-Table1[[#This Row],[discount_amount]]</f>
        <v>7000</v>
      </c>
      <c r="N332">
        <f t="shared" si="11"/>
        <v>4500</v>
      </c>
      <c r="O332">
        <f t="shared" si="10"/>
        <v>2500</v>
      </c>
      <c r="P332">
        <f>Table1[[#This Row],[Quantity]]*Table1[[#This Row],[unit_price]]*Table1[[#This Row],[Discount]]</f>
        <v>0</v>
      </c>
      <c r="Q332" t="str">
        <f>VLOOKUP(E332,Products!$A$2:$E$23,2,0)</f>
        <v>Wireless Mouse</v>
      </c>
      <c r="R332" t="str">
        <f>VLOOKUP(Table1[[#This Row],[Product ID]],Products!$A$2:$E$23,3,0)</f>
        <v>Electronics</v>
      </c>
      <c r="S332" t="str">
        <f>VLOOKUP(C332,Customers!$A$2:$F$201,4,0)</f>
        <v>Madhya Pradesh</v>
      </c>
      <c r="T332" t="str">
        <f>VLOOKUP(Table1[[#This Row],[Customer ID]],Customers!$A$2:$F$201,5,0)</f>
        <v>Central</v>
      </c>
      <c r="U332" t="str">
        <f>VLOOKUP(Table1[[#This Row],[Customer ID]],Customers!$A$2:$F$201,6,0)</f>
        <v>Consumer</v>
      </c>
      <c r="V332" t="str">
        <f>TEXT(Table1[[#This Row],[Order Date]],"MMM")</f>
        <v>Jul</v>
      </c>
      <c r="W332" t="str">
        <f>TEXT(Table1[[#This Row],[Order Date]],"yyyy")</f>
        <v>2024</v>
      </c>
    </row>
    <row r="333" spans="1:23" x14ac:dyDescent="0.25">
      <c r="A333" s="2" t="s">
        <v>541</v>
      </c>
      <c r="B333" s="4">
        <v>45500</v>
      </c>
      <c r="C333" s="2" t="s">
        <v>44</v>
      </c>
      <c r="D333" s="2" t="str">
        <f>TEXT(Table1[[#This Row],[Order Date]],"mmmm")</f>
        <v>July</v>
      </c>
      <c r="E333" s="2" t="s">
        <v>118</v>
      </c>
      <c r="F333" s="2">
        <v>3</v>
      </c>
      <c r="G333" s="5">
        <v>0.1</v>
      </c>
      <c r="H333" s="2" t="s">
        <v>25</v>
      </c>
      <c r="I333" s="2" t="s">
        <v>38</v>
      </c>
      <c r="J333" s="2" t="s">
        <v>21</v>
      </c>
      <c r="K333">
        <f>VLOOKUP(E333,Products!$A$2:$E$23,5,0)</f>
        <v>150</v>
      </c>
      <c r="L333">
        <f>VLOOKUP(E333,Products!$A$2:$E$23,4,0)</f>
        <v>90</v>
      </c>
      <c r="M333" s="2">
        <f>K333*F333-Table1[[#This Row],[discount_amount]]</f>
        <v>405</v>
      </c>
      <c r="N333">
        <f t="shared" si="11"/>
        <v>270</v>
      </c>
      <c r="O333">
        <f t="shared" si="10"/>
        <v>135</v>
      </c>
      <c r="P333">
        <f>Table1[[#This Row],[Quantity]]*Table1[[#This Row],[unit_price]]*Table1[[#This Row],[Discount]]</f>
        <v>45</v>
      </c>
      <c r="Q333" t="str">
        <f>VLOOKUP(E333,Products!$A$2:$E$23,2,0)</f>
        <v>Gel Pen Box</v>
      </c>
      <c r="R333" t="str">
        <f>VLOOKUP(Table1[[#This Row],[Product ID]],Products!$A$2:$E$23,3,0)</f>
        <v>Office Supplies</v>
      </c>
      <c r="S333" t="str">
        <f>VLOOKUP(C333,Customers!$A$2:$F$201,4,0)</f>
        <v>Gujarat</v>
      </c>
      <c r="T333" t="str">
        <f>VLOOKUP(Table1[[#This Row],[Customer ID]],Customers!$A$2:$F$201,5,0)</f>
        <v>West</v>
      </c>
      <c r="U333" t="str">
        <f>VLOOKUP(Table1[[#This Row],[Customer ID]],Customers!$A$2:$F$201,6,0)</f>
        <v>Home Office</v>
      </c>
      <c r="V333" t="str">
        <f>TEXT(Table1[[#This Row],[Order Date]],"MMM")</f>
        <v>Jul</v>
      </c>
      <c r="W333" t="str">
        <f>TEXT(Table1[[#This Row],[Order Date]],"yyyy")</f>
        <v>2024</v>
      </c>
    </row>
    <row r="334" spans="1:23" x14ac:dyDescent="0.25">
      <c r="A334" s="2" t="s">
        <v>542</v>
      </c>
      <c r="B334" s="4">
        <v>45501</v>
      </c>
      <c r="C334" s="2" t="s">
        <v>160</v>
      </c>
      <c r="D334" s="2" t="str">
        <f>TEXT(Table1[[#This Row],[Order Date]],"mmmm")</f>
        <v>July</v>
      </c>
      <c r="E334" s="2" t="s">
        <v>45</v>
      </c>
      <c r="F334" s="2">
        <v>1</v>
      </c>
      <c r="G334" s="5">
        <v>0</v>
      </c>
      <c r="H334" s="2" t="s">
        <v>19</v>
      </c>
      <c r="I334" s="2" t="s">
        <v>20</v>
      </c>
      <c r="J334" s="2" t="s">
        <v>21</v>
      </c>
      <c r="K334">
        <f>VLOOKUP(E334,Products!$A$2:$E$23,5,0)</f>
        <v>899</v>
      </c>
      <c r="L334">
        <f>VLOOKUP(E334,Products!$A$2:$E$23,4,0)</f>
        <v>450</v>
      </c>
      <c r="M334" s="2">
        <f>K334*F334-Table1[[#This Row],[discount_amount]]</f>
        <v>899</v>
      </c>
      <c r="N334">
        <f t="shared" si="11"/>
        <v>450</v>
      </c>
      <c r="O334">
        <f t="shared" si="10"/>
        <v>449</v>
      </c>
      <c r="P334">
        <f>Table1[[#This Row],[Quantity]]*Table1[[#This Row],[unit_price]]*Table1[[#This Row],[Discount]]</f>
        <v>0</v>
      </c>
      <c r="Q334" t="str">
        <f>VLOOKUP(E334,Products!$A$2:$E$23,2,0)</f>
        <v>Track Pants</v>
      </c>
      <c r="R334" t="str">
        <f>VLOOKUP(Table1[[#This Row],[Product ID]],Products!$A$2:$E$23,3,0)</f>
        <v>Clothing</v>
      </c>
      <c r="S334" t="str">
        <f>VLOOKUP(C334,Customers!$A$2:$F$201,4,0)</f>
        <v>Gujarat</v>
      </c>
      <c r="T334" t="str">
        <f>VLOOKUP(Table1[[#This Row],[Customer ID]],Customers!$A$2:$F$201,5,0)</f>
        <v>West</v>
      </c>
      <c r="U334" t="str">
        <f>VLOOKUP(Table1[[#This Row],[Customer ID]],Customers!$A$2:$F$201,6,0)</f>
        <v>Consumer</v>
      </c>
      <c r="V334" t="str">
        <f>TEXT(Table1[[#This Row],[Order Date]],"MMM")</f>
        <v>Jul</v>
      </c>
      <c r="W334" t="str">
        <f>TEXT(Table1[[#This Row],[Order Date]],"yyyy")</f>
        <v>2024</v>
      </c>
    </row>
    <row r="335" spans="1:23" x14ac:dyDescent="0.25">
      <c r="A335" s="2" t="s">
        <v>543</v>
      </c>
      <c r="B335" s="4">
        <v>45502</v>
      </c>
      <c r="C335" s="2" t="s">
        <v>331</v>
      </c>
      <c r="D335" s="2" t="str">
        <f>TEXT(Table1[[#This Row],[Order Date]],"mmmm")</f>
        <v>July</v>
      </c>
      <c r="E335" s="2" t="s">
        <v>155</v>
      </c>
      <c r="F335" s="2">
        <v>3</v>
      </c>
      <c r="G335" s="5">
        <v>0.05</v>
      </c>
      <c r="H335" s="2" t="s">
        <v>25</v>
      </c>
      <c r="I335" s="2" t="s">
        <v>38</v>
      </c>
      <c r="J335" s="2" t="s">
        <v>21</v>
      </c>
      <c r="K335">
        <f>VLOOKUP(E335,Products!$A$2:$E$23,5,0)</f>
        <v>1599</v>
      </c>
      <c r="L335">
        <f>VLOOKUP(E335,Products!$A$2:$E$23,4,0)</f>
        <v>900</v>
      </c>
      <c r="M335" s="2">
        <f>K335*F335-Table1[[#This Row],[discount_amount]]</f>
        <v>4557.1499999999996</v>
      </c>
      <c r="N335">
        <f t="shared" si="11"/>
        <v>2700</v>
      </c>
      <c r="O335">
        <f t="shared" si="10"/>
        <v>1857.1499999999996</v>
      </c>
      <c r="P335">
        <f>Table1[[#This Row],[Quantity]]*Table1[[#This Row],[unit_price]]*Table1[[#This Row],[Discount]]</f>
        <v>239.85000000000002</v>
      </c>
      <c r="Q335" t="str">
        <f>VLOOKUP(E335,Products!$A$2:$E$23,2,0)</f>
        <v>Headphones</v>
      </c>
      <c r="R335" t="str">
        <f>VLOOKUP(Table1[[#This Row],[Product ID]],Products!$A$2:$E$23,3,0)</f>
        <v>Electronics</v>
      </c>
      <c r="S335" t="str">
        <f>VLOOKUP(C335,Customers!$A$2:$F$201,4,0)</f>
        <v>West Bengal</v>
      </c>
      <c r="T335" t="str">
        <f>VLOOKUP(Table1[[#This Row],[Customer ID]],Customers!$A$2:$F$201,5,0)</f>
        <v>East</v>
      </c>
      <c r="U335" t="str">
        <f>VLOOKUP(Table1[[#This Row],[Customer ID]],Customers!$A$2:$F$201,6,0)</f>
        <v>Home Office</v>
      </c>
      <c r="V335" t="str">
        <f>TEXT(Table1[[#This Row],[Order Date]],"MMM")</f>
        <v>Jul</v>
      </c>
      <c r="W335" t="str">
        <f>TEXT(Table1[[#This Row],[Order Date]],"yyyy")</f>
        <v>2024</v>
      </c>
    </row>
    <row r="336" spans="1:23" x14ac:dyDescent="0.25">
      <c r="A336" s="2" t="s">
        <v>544</v>
      </c>
      <c r="B336" s="4">
        <v>45504</v>
      </c>
      <c r="C336" s="2" t="s">
        <v>402</v>
      </c>
      <c r="D336" s="2" t="str">
        <f>TEXT(Table1[[#This Row],[Order Date]],"mmmm")</f>
        <v>July</v>
      </c>
      <c r="E336" s="2" t="s">
        <v>34</v>
      </c>
      <c r="F336" s="2">
        <v>1</v>
      </c>
      <c r="G336" s="5">
        <v>0.1</v>
      </c>
      <c r="H336" s="2" t="s">
        <v>25</v>
      </c>
      <c r="I336" s="2" t="s">
        <v>46</v>
      </c>
      <c r="J336" s="2" t="s">
        <v>21</v>
      </c>
      <c r="K336">
        <f>VLOOKUP(E336,Products!$A$2:$E$23,5,0)</f>
        <v>4599</v>
      </c>
      <c r="L336">
        <f>VLOOKUP(E336,Products!$A$2:$E$23,4,0)</f>
        <v>3000</v>
      </c>
      <c r="M336" s="2">
        <f>K336*F336-Table1[[#This Row],[discount_amount]]</f>
        <v>4139.1000000000004</v>
      </c>
      <c r="N336">
        <f t="shared" si="11"/>
        <v>3000</v>
      </c>
      <c r="O336">
        <f t="shared" si="10"/>
        <v>1139.1000000000004</v>
      </c>
      <c r="P336">
        <f>Table1[[#This Row],[Quantity]]*Table1[[#This Row],[unit_price]]*Table1[[#This Row],[Discount]]</f>
        <v>459.90000000000003</v>
      </c>
      <c r="Q336" t="str">
        <f>VLOOKUP(E336,Products!$A$2:$E$23,2,0)</f>
        <v>Filing Cabinet</v>
      </c>
      <c r="R336" t="str">
        <f>VLOOKUP(Table1[[#This Row],[Product ID]],Products!$A$2:$E$23,3,0)</f>
        <v>Furniture</v>
      </c>
      <c r="S336" t="str">
        <f>VLOOKUP(C336,Customers!$A$2:$F$201,4,0)</f>
        <v>Telangana</v>
      </c>
      <c r="T336" t="str">
        <f>VLOOKUP(Table1[[#This Row],[Customer ID]],Customers!$A$2:$F$201,5,0)</f>
        <v>South</v>
      </c>
      <c r="U336" t="str">
        <f>VLOOKUP(Table1[[#This Row],[Customer ID]],Customers!$A$2:$F$201,6,0)</f>
        <v>Home Office</v>
      </c>
      <c r="V336" t="str">
        <f>TEXT(Table1[[#This Row],[Order Date]],"MMM")</f>
        <v>Jul</v>
      </c>
      <c r="W336" t="str">
        <f>TEXT(Table1[[#This Row],[Order Date]],"yyyy")</f>
        <v>2024</v>
      </c>
    </row>
    <row r="337" spans="1:23" x14ac:dyDescent="0.25">
      <c r="A337" s="2" t="s">
        <v>545</v>
      </c>
      <c r="B337" s="4">
        <v>45504</v>
      </c>
      <c r="C337" s="2" t="s">
        <v>276</v>
      </c>
      <c r="D337" s="2" t="str">
        <f>TEXT(Table1[[#This Row],[Order Date]],"mmmm")</f>
        <v>July</v>
      </c>
      <c r="E337" s="2" t="s">
        <v>135</v>
      </c>
      <c r="F337" s="2">
        <v>10</v>
      </c>
      <c r="G337" s="5">
        <v>0.1</v>
      </c>
      <c r="H337" s="2" t="s">
        <v>30</v>
      </c>
      <c r="I337" s="2" t="s">
        <v>38</v>
      </c>
      <c r="J337" s="2" t="s">
        <v>21</v>
      </c>
      <c r="K337">
        <f>VLOOKUP(E337,Products!$A$2:$E$23,5,0)</f>
        <v>220</v>
      </c>
      <c r="L337">
        <f>VLOOKUP(E337,Products!$A$2:$E$23,4,0)</f>
        <v>120</v>
      </c>
      <c r="M337" s="2">
        <f>K337*F337-Table1[[#This Row],[discount_amount]]</f>
        <v>1980</v>
      </c>
      <c r="N337">
        <f t="shared" si="11"/>
        <v>1200</v>
      </c>
      <c r="O337">
        <f t="shared" si="10"/>
        <v>780</v>
      </c>
      <c r="P337">
        <f>Table1[[#This Row],[Quantity]]*Table1[[#This Row],[unit_price]]*Table1[[#This Row],[Discount]]</f>
        <v>220</v>
      </c>
      <c r="Q337" t="str">
        <f>VLOOKUP(E337,Products!$A$2:$E$23,2,0)</f>
        <v>Stapler</v>
      </c>
      <c r="R337" t="str">
        <f>VLOOKUP(Table1[[#This Row],[Product ID]],Products!$A$2:$E$23,3,0)</f>
        <v>Office Supplies</v>
      </c>
      <c r="S337" t="str">
        <f>VLOOKUP(C337,Customers!$A$2:$F$201,4,0)</f>
        <v>Tamil Nadu</v>
      </c>
      <c r="T337" t="str">
        <f>VLOOKUP(Table1[[#This Row],[Customer ID]],Customers!$A$2:$F$201,5,0)</f>
        <v>South</v>
      </c>
      <c r="U337" t="str">
        <f>VLOOKUP(Table1[[#This Row],[Customer ID]],Customers!$A$2:$F$201,6,0)</f>
        <v>Consumer</v>
      </c>
      <c r="V337" t="str">
        <f>TEXT(Table1[[#This Row],[Order Date]],"MMM")</f>
        <v>Jul</v>
      </c>
      <c r="W337" t="str">
        <f>TEXT(Table1[[#This Row],[Order Date]],"yyyy")</f>
        <v>2024</v>
      </c>
    </row>
    <row r="338" spans="1:23" x14ac:dyDescent="0.25">
      <c r="A338" s="2" t="s">
        <v>546</v>
      </c>
      <c r="B338" s="4">
        <v>45508</v>
      </c>
      <c r="C338" s="2" t="s">
        <v>239</v>
      </c>
      <c r="D338" s="2" t="str">
        <f>TEXT(Table1[[#This Row],[Order Date]],"mmmm")</f>
        <v>August</v>
      </c>
      <c r="E338" s="2" t="s">
        <v>111</v>
      </c>
      <c r="F338" s="2">
        <v>2</v>
      </c>
      <c r="G338" s="5">
        <v>0.1</v>
      </c>
      <c r="H338" s="2" t="s">
        <v>30</v>
      </c>
      <c r="I338" s="2" t="s">
        <v>26</v>
      </c>
      <c r="J338" s="2" t="s">
        <v>21</v>
      </c>
      <c r="K338">
        <f>VLOOKUP(E338,Products!$A$2:$E$23,5,0)</f>
        <v>240</v>
      </c>
      <c r="L338">
        <f>VLOOKUP(E338,Products!$A$2:$E$23,4,0)</f>
        <v>140</v>
      </c>
      <c r="M338" s="2">
        <f>K338*F338-Table1[[#This Row],[discount_amount]]</f>
        <v>432</v>
      </c>
      <c r="N338">
        <f t="shared" si="11"/>
        <v>280</v>
      </c>
      <c r="O338">
        <f t="shared" si="10"/>
        <v>152</v>
      </c>
      <c r="P338">
        <f>Table1[[#This Row],[Quantity]]*Table1[[#This Row],[unit_price]]*Table1[[#This Row],[Discount]]</f>
        <v>48</v>
      </c>
      <c r="Q338" t="str">
        <f>VLOOKUP(E338,Products!$A$2:$E$23,2,0)</f>
        <v>Whiteboard Marker Set</v>
      </c>
      <c r="R338" t="str">
        <f>VLOOKUP(Table1[[#This Row],[Product ID]],Products!$A$2:$E$23,3,0)</f>
        <v>Office Supplies</v>
      </c>
      <c r="S338" t="str">
        <f>VLOOKUP(C338,Customers!$A$2:$F$201,4,0)</f>
        <v>Karnataka</v>
      </c>
      <c r="T338" t="str">
        <f>VLOOKUP(Table1[[#This Row],[Customer ID]],Customers!$A$2:$F$201,5,0)</f>
        <v>South</v>
      </c>
      <c r="U338" t="str">
        <f>VLOOKUP(Table1[[#This Row],[Customer ID]],Customers!$A$2:$F$201,6,0)</f>
        <v>Consumer</v>
      </c>
      <c r="V338" t="str">
        <f>TEXT(Table1[[#This Row],[Order Date]],"MMM")</f>
        <v>Aug</v>
      </c>
      <c r="W338" t="str">
        <f>TEXT(Table1[[#This Row],[Order Date]],"yyyy")</f>
        <v>2024</v>
      </c>
    </row>
    <row r="339" spans="1:23" x14ac:dyDescent="0.25">
      <c r="A339" s="2" t="s">
        <v>547</v>
      </c>
      <c r="B339" s="4">
        <v>45508</v>
      </c>
      <c r="C339" s="2" t="s">
        <v>548</v>
      </c>
      <c r="D339" s="2" t="str">
        <f>TEXT(Table1[[#This Row],[Order Date]],"mmmm")</f>
        <v>August</v>
      </c>
      <c r="E339" s="2" t="s">
        <v>135</v>
      </c>
      <c r="F339" s="2">
        <v>2</v>
      </c>
      <c r="G339" s="5">
        <v>0</v>
      </c>
      <c r="H339" s="2" t="s">
        <v>30</v>
      </c>
      <c r="I339" s="2" t="s">
        <v>20</v>
      </c>
      <c r="J339" s="2" t="s">
        <v>21</v>
      </c>
      <c r="K339">
        <f>VLOOKUP(E339,Products!$A$2:$E$23,5,0)</f>
        <v>220</v>
      </c>
      <c r="L339">
        <f>VLOOKUP(E339,Products!$A$2:$E$23,4,0)</f>
        <v>120</v>
      </c>
      <c r="M339" s="2">
        <f>K339*F339-Table1[[#This Row],[discount_amount]]</f>
        <v>440</v>
      </c>
      <c r="N339">
        <f t="shared" si="11"/>
        <v>240</v>
      </c>
      <c r="O339">
        <f t="shared" si="10"/>
        <v>200</v>
      </c>
      <c r="P339">
        <f>Table1[[#This Row],[Quantity]]*Table1[[#This Row],[unit_price]]*Table1[[#This Row],[Discount]]</f>
        <v>0</v>
      </c>
      <c r="Q339" t="str">
        <f>VLOOKUP(E339,Products!$A$2:$E$23,2,0)</f>
        <v>Stapler</v>
      </c>
      <c r="R339" t="str">
        <f>VLOOKUP(Table1[[#This Row],[Product ID]],Products!$A$2:$E$23,3,0)</f>
        <v>Office Supplies</v>
      </c>
      <c r="S339" t="str">
        <f>VLOOKUP(C339,Customers!$A$2:$F$201,4,0)</f>
        <v>Madhya Pradesh</v>
      </c>
      <c r="T339" t="str">
        <f>VLOOKUP(Table1[[#This Row],[Customer ID]],Customers!$A$2:$F$201,5,0)</f>
        <v>Central</v>
      </c>
      <c r="U339" t="str">
        <f>VLOOKUP(Table1[[#This Row],[Customer ID]],Customers!$A$2:$F$201,6,0)</f>
        <v>Home Office</v>
      </c>
      <c r="V339" t="str">
        <f>TEXT(Table1[[#This Row],[Order Date]],"MMM")</f>
        <v>Aug</v>
      </c>
      <c r="W339" t="str">
        <f>TEXT(Table1[[#This Row],[Order Date]],"yyyy")</f>
        <v>2024</v>
      </c>
    </row>
    <row r="340" spans="1:23" x14ac:dyDescent="0.25">
      <c r="A340" s="2" t="s">
        <v>549</v>
      </c>
      <c r="B340" s="4">
        <v>45509</v>
      </c>
      <c r="C340" s="2" t="s">
        <v>550</v>
      </c>
      <c r="D340" s="2" t="str">
        <f>TEXT(Table1[[#This Row],[Order Date]],"mmmm")</f>
        <v>August</v>
      </c>
      <c r="E340" s="2" t="s">
        <v>24</v>
      </c>
      <c r="F340" s="2">
        <v>1</v>
      </c>
      <c r="G340" s="5">
        <v>0</v>
      </c>
      <c r="H340" s="2" t="s">
        <v>30</v>
      </c>
      <c r="I340" s="2" t="s">
        <v>31</v>
      </c>
      <c r="J340" s="2" t="s">
        <v>21</v>
      </c>
      <c r="K340">
        <f>VLOOKUP(E340,Products!$A$2:$E$23,5,0)</f>
        <v>899</v>
      </c>
      <c r="L340">
        <f>VLOOKUP(E340,Products!$A$2:$E$23,4,0)</f>
        <v>500</v>
      </c>
      <c r="M340" s="2">
        <f>K340*F340-Table1[[#This Row],[discount_amount]]</f>
        <v>899</v>
      </c>
      <c r="N340">
        <f t="shared" si="11"/>
        <v>500</v>
      </c>
      <c r="O340">
        <f t="shared" si="10"/>
        <v>399</v>
      </c>
      <c r="P340">
        <f>Table1[[#This Row],[Quantity]]*Table1[[#This Row],[unit_price]]*Table1[[#This Row],[Discount]]</f>
        <v>0</v>
      </c>
      <c r="Q340" t="str">
        <f>VLOOKUP(E340,Products!$A$2:$E$23,2,0)</f>
        <v>Monitor Stand</v>
      </c>
      <c r="R340" t="str">
        <f>VLOOKUP(Table1[[#This Row],[Product ID]],Products!$A$2:$E$23,3,0)</f>
        <v>Furniture</v>
      </c>
      <c r="S340" t="str">
        <f>VLOOKUP(C340,Customers!$A$2:$F$201,4,0)</f>
        <v>Madhya Pradesh</v>
      </c>
      <c r="T340" t="str">
        <f>VLOOKUP(Table1[[#This Row],[Customer ID]],Customers!$A$2:$F$201,5,0)</f>
        <v>Central</v>
      </c>
      <c r="U340" t="str">
        <f>VLOOKUP(Table1[[#This Row],[Customer ID]],Customers!$A$2:$F$201,6,0)</f>
        <v>Corporate</v>
      </c>
      <c r="V340" t="str">
        <f>TEXT(Table1[[#This Row],[Order Date]],"MMM")</f>
        <v>Aug</v>
      </c>
      <c r="W340" t="str">
        <f>TEXT(Table1[[#This Row],[Order Date]],"yyyy")</f>
        <v>2024</v>
      </c>
    </row>
    <row r="341" spans="1:23" x14ac:dyDescent="0.25">
      <c r="A341" s="2" t="s">
        <v>551</v>
      </c>
      <c r="B341" s="4">
        <v>45509</v>
      </c>
      <c r="C341" s="2" t="s">
        <v>72</v>
      </c>
      <c r="D341" s="2" t="str">
        <f>TEXT(Table1[[#This Row],[Order Date]],"mmmm")</f>
        <v>August</v>
      </c>
      <c r="E341" s="2" t="s">
        <v>45</v>
      </c>
      <c r="F341" s="2">
        <v>2</v>
      </c>
      <c r="G341" s="5">
        <v>0.15</v>
      </c>
      <c r="H341" s="2" t="s">
        <v>30</v>
      </c>
      <c r="I341" s="2" t="s">
        <v>38</v>
      </c>
      <c r="J341" s="2" t="s">
        <v>21</v>
      </c>
      <c r="K341">
        <f>VLOOKUP(E341,Products!$A$2:$E$23,5,0)</f>
        <v>899</v>
      </c>
      <c r="L341">
        <f>VLOOKUP(E341,Products!$A$2:$E$23,4,0)</f>
        <v>450</v>
      </c>
      <c r="M341" s="2">
        <f>K341*F341-Table1[[#This Row],[discount_amount]]</f>
        <v>1528.3</v>
      </c>
      <c r="N341">
        <f t="shared" si="11"/>
        <v>900</v>
      </c>
      <c r="O341">
        <f t="shared" si="10"/>
        <v>628.29999999999995</v>
      </c>
      <c r="P341">
        <f>Table1[[#This Row],[Quantity]]*Table1[[#This Row],[unit_price]]*Table1[[#This Row],[Discount]]</f>
        <v>269.7</v>
      </c>
      <c r="Q341" t="str">
        <f>VLOOKUP(E341,Products!$A$2:$E$23,2,0)</f>
        <v>Track Pants</v>
      </c>
      <c r="R341" t="str">
        <f>VLOOKUP(Table1[[#This Row],[Product ID]],Products!$A$2:$E$23,3,0)</f>
        <v>Clothing</v>
      </c>
      <c r="S341" t="str">
        <f>VLOOKUP(C341,Customers!$A$2:$F$201,4,0)</f>
        <v>Maharashtra</v>
      </c>
      <c r="T341" t="str">
        <f>VLOOKUP(Table1[[#This Row],[Customer ID]],Customers!$A$2:$F$201,5,0)</f>
        <v>West</v>
      </c>
      <c r="U341" t="str">
        <f>VLOOKUP(Table1[[#This Row],[Customer ID]],Customers!$A$2:$F$201,6,0)</f>
        <v>Consumer</v>
      </c>
      <c r="V341" t="str">
        <f>TEXT(Table1[[#This Row],[Order Date]],"MMM")</f>
        <v>Aug</v>
      </c>
      <c r="W341" t="str">
        <f>TEXT(Table1[[#This Row],[Order Date]],"yyyy")</f>
        <v>2024</v>
      </c>
    </row>
    <row r="342" spans="1:23" x14ac:dyDescent="0.25">
      <c r="A342" s="2" t="s">
        <v>552</v>
      </c>
      <c r="B342" s="4">
        <v>45511</v>
      </c>
      <c r="C342" s="2" t="s">
        <v>98</v>
      </c>
      <c r="D342" s="2" t="str">
        <f>TEXT(Table1[[#This Row],[Order Date]],"mmmm")</f>
        <v>August</v>
      </c>
      <c r="E342" s="2" t="s">
        <v>18</v>
      </c>
      <c r="F342" s="2">
        <v>2</v>
      </c>
      <c r="G342" s="5">
        <v>0.05</v>
      </c>
      <c r="H342" s="2" t="s">
        <v>19</v>
      </c>
      <c r="I342" s="2" t="s">
        <v>20</v>
      </c>
      <c r="J342" s="2" t="s">
        <v>42</v>
      </c>
      <c r="K342">
        <f>VLOOKUP(E342,Products!$A$2:$E$23,5,0)</f>
        <v>4299</v>
      </c>
      <c r="L342">
        <f>VLOOKUP(E342,Products!$A$2:$E$23,4,0)</f>
        <v>2800</v>
      </c>
      <c r="M342" s="2">
        <f>K342*F342-Table1[[#This Row],[discount_amount]]</f>
        <v>8168.1</v>
      </c>
      <c r="N342">
        <f t="shared" si="11"/>
        <v>5600</v>
      </c>
      <c r="O342">
        <f t="shared" si="10"/>
        <v>2568.1000000000004</v>
      </c>
      <c r="P342">
        <f>Table1[[#This Row],[Quantity]]*Table1[[#This Row],[unit_price]]*Table1[[#This Row],[Discount]]</f>
        <v>429.90000000000003</v>
      </c>
      <c r="Q342" t="str">
        <f>VLOOKUP(E342,Products!$A$2:$E$23,2,0)</f>
        <v>Bookshelf</v>
      </c>
      <c r="R342" t="str">
        <f>VLOOKUP(Table1[[#This Row],[Product ID]],Products!$A$2:$E$23,3,0)</f>
        <v>Furniture</v>
      </c>
      <c r="S342" t="str">
        <f>VLOOKUP(C342,Customers!$A$2:$F$201,4,0)</f>
        <v>Tamil Nadu</v>
      </c>
      <c r="T342" t="str">
        <f>VLOOKUP(Table1[[#This Row],[Customer ID]],Customers!$A$2:$F$201,5,0)</f>
        <v>South</v>
      </c>
      <c r="U342" t="str">
        <f>VLOOKUP(Table1[[#This Row],[Customer ID]],Customers!$A$2:$F$201,6,0)</f>
        <v>Consumer</v>
      </c>
      <c r="V342" t="str">
        <f>TEXT(Table1[[#This Row],[Order Date]],"MMM")</f>
        <v>Aug</v>
      </c>
      <c r="W342" t="str">
        <f>TEXT(Table1[[#This Row],[Order Date]],"yyyy")</f>
        <v>2024</v>
      </c>
    </row>
    <row r="343" spans="1:23" x14ac:dyDescent="0.25">
      <c r="A343" s="2" t="s">
        <v>553</v>
      </c>
      <c r="B343" s="4">
        <v>45512</v>
      </c>
      <c r="C343" s="2" t="s">
        <v>375</v>
      </c>
      <c r="D343" s="2" t="str">
        <f>TEXT(Table1[[#This Row],[Order Date]],"mmmm")</f>
        <v>August</v>
      </c>
      <c r="E343" s="2" t="s">
        <v>127</v>
      </c>
      <c r="F343" s="2">
        <v>2</v>
      </c>
      <c r="G343" s="5">
        <v>0.15</v>
      </c>
      <c r="H343" s="2" t="s">
        <v>19</v>
      </c>
      <c r="I343" s="2" t="s">
        <v>26</v>
      </c>
      <c r="J343" s="2" t="s">
        <v>21</v>
      </c>
      <c r="K343">
        <f>VLOOKUP(E343,Products!$A$2:$E$23,5,0)</f>
        <v>1999</v>
      </c>
      <c r="L343">
        <f>VLOOKUP(E343,Products!$A$2:$E$23,4,0)</f>
        <v>1200</v>
      </c>
      <c r="M343" s="2">
        <f>K343*F343-Table1[[#This Row],[discount_amount]]</f>
        <v>3398.3</v>
      </c>
      <c r="N343">
        <f t="shared" si="11"/>
        <v>2400</v>
      </c>
      <c r="O343">
        <f t="shared" si="10"/>
        <v>998.30000000000018</v>
      </c>
      <c r="P343">
        <f>Table1[[#This Row],[Quantity]]*Table1[[#This Row],[unit_price]]*Table1[[#This Row],[Discount]]</f>
        <v>599.69999999999993</v>
      </c>
      <c r="Q343" t="str">
        <f>VLOOKUP(E343,Products!$A$2:$E$23,2,0)</f>
        <v>Bluetooth Speaker</v>
      </c>
      <c r="R343" t="str">
        <f>VLOOKUP(Table1[[#This Row],[Product ID]],Products!$A$2:$E$23,3,0)</f>
        <v>Electronics</v>
      </c>
      <c r="S343" t="str">
        <f>VLOOKUP(C343,Customers!$A$2:$F$201,4,0)</f>
        <v>Madhya Pradesh</v>
      </c>
      <c r="T343" t="str">
        <f>VLOOKUP(Table1[[#This Row],[Customer ID]],Customers!$A$2:$F$201,5,0)</f>
        <v>Central</v>
      </c>
      <c r="U343" t="str">
        <f>VLOOKUP(Table1[[#This Row],[Customer ID]],Customers!$A$2:$F$201,6,0)</f>
        <v>Corporate</v>
      </c>
      <c r="V343" t="str">
        <f>TEXT(Table1[[#This Row],[Order Date]],"MMM")</f>
        <v>Aug</v>
      </c>
      <c r="W343" t="str">
        <f>TEXT(Table1[[#This Row],[Order Date]],"yyyy")</f>
        <v>2024</v>
      </c>
    </row>
    <row r="344" spans="1:23" x14ac:dyDescent="0.25">
      <c r="A344" s="2" t="s">
        <v>554</v>
      </c>
      <c r="B344" s="4">
        <v>45512</v>
      </c>
      <c r="C344" s="2" t="s">
        <v>168</v>
      </c>
      <c r="D344" s="2" t="str">
        <f>TEXT(Table1[[#This Row],[Order Date]],"mmmm")</f>
        <v>August</v>
      </c>
      <c r="E344" s="2" t="s">
        <v>135</v>
      </c>
      <c r="F344" s="2">
        <v>1</v>
      </c>
      <c r="G344" s="5">
        <v>0</v>
      </c>
      <c r="H344" s="2" t="s">
        <v>30</v>
      </c>
      <c r="I344" s="2" t="s">
        <v>38</v>
      </c>
      <c r="J344" s="2" t="s">
        <v>21</v>
      </c>
      <c r="K344">
        <f>VLOOKUP(E344,Products!$A$2:$E$23,5,0)</f>
        <v>220</v>
      </c>
      <c r="L344">
        <f>VLOOKUP(E344,Products!$A$2:$E$23,4,0)</f>
        <v>120</v>
      </c>
      <c r="M344" s="2">
        <f>K344*F344-Table1[[#This Row],[discount_amount]]</f>
        <v>220</v>
      </c>
      <c r="N344">
        <f t="shared" si="11"/>
        <v>120</v>
      </c>
      <c r="O344">
        <f t="shared" si="10"/>
        <v>100</v>
      </c>
      <c r="P344">
        <f>Table1[[#This Row],[Quantity]]*Table1[[#This Row],[unit_price]]*Table1[[#This Row],[Discount]]</f>
        <v>0</v>
      </c>
      <c r="Q344" t="str">
        <f>VLOOKUP(E344,Products!$A$2:$E$23,2,0)</f>
        <v>Stapler</v>
      </c>
      <c r="R344" t="str">
        <f>VLOOKUP(Table1[[#This Row],[Product ID]],Products!$A$2:$E$23,3,0)</f>
        <v>Office Supplies</v>
      </c>
      <c r="S344" t="str">
        <f>VLOOKUP(C344,Customers!$A$2:$F$201,4,0)</f>
        <v>Delhi</v>
      </c>
      <c r="T344" t="str">
        <f>VLOOKUP(Table1[[#This Row],[Customer ID]],Customers!$A$2:$F$201,5,0)</f>
        <v>North</v>
      </c>
      <c r="U344" t="str">
        <f>VLOOKUP(Table1[[#This Row],[Customer ID]],Customers!$A$2:$F$201,6,0)</f>
        <v>Corporate</v>
      </c>
      <c r="V344" t="str">
        <f>TEXT(Table1[[#This Row],[Order Date]],"MMM")</f>
        <v>Aug</v>
      </c>
      <c r="W344" t="str">
        <f>TEXT(Table1[[#This Row],[Order Date]],"yyyy")</f>
        <v>2024</v>
      </c>
    </row>
    <row r="345" spans="1:23" x14ac:dyDescent="0.25">
      <c r="A345" s="2" t="s">
        <v>555</v>
      </c>
      <c r="B345" s="4">
        <v>45512</v>
      </c>
      <c r="C345" s="2" t="s">
        <v>201</v>
      </c>
      <c r="D345" s="2" t="str">
        <f>TEXT(Table1[[#This Row],[Order Date]],"mmmm")</f>
        <v>August</v>
      </c>
      <c r="E345" s="2" t="s">
        <v>66</v>
      </c>
      <c r="F345" s="2">
        <v>2</v>
      </c>
      <c r="G345" s="5">
        <v>0</v>
      </c>
      <c r="H345" s="2" t="s">
        <v>25</v>
      </c>
      <c r="I345" s="2" t="s">
        <v>26</v>
      </c>
      <c r="J345" s="2" t="s">
        <v>79</v>
      </c>
      <c r="K345">
        <f>VLOOKUP(E345,Products!$A$2:$E$23,5,0)</f>
        <v>1299</v>
      </c>
      <c r="L345">
        <f>VLOOKUP(E345,Products!$A$2:$E$23,4,0)</f>
        <v>800</v>
      </c>
      <c r="M345" s="2">
        <f>K345*F345-Table1[[#This Row],[discount_amount]]</f>
        <v>2598</v>
      </c>
      <c r="N345">
        <f t="shared" si="11"/>
        <v>1600</v>
      </c>
      <c r="O345">
        <f t="shared" si="10"/>
        <v>998</v>
      </c>
      <c r="P345">
        <f>Table1[[#This Row],[Quantity]]*Table1[[#This Row],[unit_price]]*Table1[[#This Row],[Discount]]</f>
        <v>0</v>
      </c>
      <c r="Q345" t="str">
        <f>VLOOKUP(E345,Products!$A$2:$E$23,2,0)</f>
        <v>Power Bank 10000mAh</v>
      </c>
      <c r="R345" t="str">
        <f>VLOOKUP(Table1[[#This Row],[Product ID]],Products!$A$2:$E$23,3,0)</f>
        <v>Electronics</v>
      </c>
      <c r="S345" t="str">
        <f>VLOOKUP(C345,Customers!$A$2:$F$201,4,0)</f>
        <v>Maharashtra</v>
      </c>
      <c r="T345" t="str">
        <f>VLOOKUP(Table1[[#This Row],[Customer ID]],Customers!$A$2:$F$201,5,0)</f>
        <v>Central</v>
      </c>
      <c r="U345" t="str">
        <f>VLOOKUP(Table1[[#This Row],[Customer ID]],Customers!$A$2:$F$201,6,0)</f>
        <v>Corporate</v>
      </c>
      <c r="V345" t="str">
        <f>TEXT(Table1[[#This Row],[Order Date]],"MMM")</f>
        <v>Aug</v>
      </c>
      <c r="W345" t="str">
        <f>TEXT(Table1[[#This Row],[Order Date]],"yyyy")</f>
        <v>2024</v>
      </c>
    </row>
    <row r="346" spans="1:23" x14ac:dyDescent="0.25">
      <c r="A346" s="2" t="s">
        <v>556</v>
      </c>
      <c r="B346" s="4">
        <v>45512</v>
      </c>
      <c r="C346" s="2" t="s">
        <v>525</v>
      </c>
      <c r="D346" s="2" t="str">
        <f>TEXT(Table1[[#This Row],[Order Date]],"mmmm")</f>
        <v>August</v>
      </c>
      <c r="E346" s="2" t="s">
        <v>29</v>
      </c>
      <c r="F346" s="2">
        <v>4</v>
      </c>
      <c r="G346" s="5">
        <v>0</v>
      </c>
      <c r="H346" s="2" t="s">
        <v>19</v>
      </c>
      <c r="I346" s="2" t="s">
        <v>26</v>
      </c>
      <c r="J346" s="2" t="s">
        <v>21</v>
      </c>
      <c r="K346">
        <f>VLOOKUP(E346,Products!$A$2:$E$23,5,0)</f>
        <v>599</v>
      </c>
      <c r="L346">
        <f>VLOOKUP(E346,Products!$A$2:$E$23,4,0)</f>
        <v>350</v>
      </c>
      <c r="M346" s="2">
        <f>K346*F346-Table1[[#This Row],[discount_amount]]</f>
        <v>2396</v>
      </c>
      <c r="N346">
        <f t="shared" si="11"/>
        <v>1400</v>
      </c>
      <c r="O346">
        <f t="shared" si="10"/>
        <v>996</v>
      </c>
      <c r="P346">
        <f>Table1[[#This Row],[Quantity]]*Table1[[#This Row],[unit_price]]*Table1[[#This Row],[Discount]]</f>
        <v>0</v>
      </c>
      <c r="Q346" t="str">
        <f>VLOOKUP(E346,Products!$A$2:$E$23,2,0)</f>
        <v>USB Flash Drive 64GB</v>
      </c>
      <c r="R346" t="str">
        <f>VLOOKUP(Table1[[#This Row],[Product ID]],Products!$A$2:$E$23,3,0)</f>
        <v>Electronics</v>
      </c>
      <c r="S346" t="str">
        <f>VLOOKUP(C346,Customers!$A$2:$F$201,4,0)</f>
        <v>Maharashtra</v>
      </c>
      <c r="T346" t="str">
        <f>VLOOKUP(Table1[[#This Row],[Customer ID]],Customers!$A$2:$F$201,5,0)</f>
        <v>West</v>
      </c>
      <c r="U346" t="str">
        <f>VLOOKUP(Table1[[#This Row],[Customer ID]],Customers!$A$2:$F$201,6,0)</f>
        <v>Consumer</v>
      </c>
      <c r="V346" t="str">
        <f>TEXT(Table1[[#This Row],[Order Date]],"MMM")</f>
        <v>Aug</v>
      </c>
      <c r="W346" t="str">
        <f>TEXT(Table1[[#This Row],[Order Date]],"yyyy")</f>
        <v>2024</v>
      </c>
    </row>
    <row r="347" spans="1:23" x14ac:dyDescent="0.25">
      <c r="A347" s="2" t="s">
        <v>557</v>
      </c>
      <c r="B347" s="4">
        <v>45513</v>
      </c>
      <c r="C347" s="2" t="s">
        <v>339</v>
      </c>
      <c r="D347" s="2" t="str">
        <f>TEXT(Table1[[#This Row],[Order Date]],"mmmm")</f>
        <v>August</v>
      </c>
      <c r="E347" s="2" t="s">
        <v>118</v>
      </c>
      <c r="F347" s="2">
        <v>6</v>
      </c>
      <c r="G347" s="5">
        <v>0.1</v>
      </c>
      <c r="H347" s="2" t="s">
        <v>30</v>
      </c>
      <c r="I347" s="2" t="s">
        <v>38</v>
      </c>
      <c r="J347" s="2" t="s">
        <v>21</v>
      </c>
      <c r="K347">
        <f>VLOOKUP(E347,Products!$A$2:$E$23,5,0)</f>
        <v>150</v>
      </c>
      <c r="L347">
        <f>VLOOKUP(E347,Products!$A$2:$E$23,4,0)</f>
        <v>90</v>
      </c>
      <c r="M347" s="2">
        <f>K347*F347-Table1[[#This Row],[discount_amount]]</f>
        <v>810</v>
      </c>
      <c r="N347">
        <f t="shared" si="11"/>
        <v>540</v>
      </c>
      <c r="O347">
        <f t="shared" si="10"/>
        <v>270</v>
      </c>
      <c r="P347">
        <f>Table1[[#This Row],[Quantity]]*Table1[[#This Row],[unit_price]]*Table1[[#This Row],[Discount]]</f>
        <v>90</v>
      </c>
      <c r="Q347" t="str">
        <f>VLOOKUP(E347,Products!$A$2:$E$23,2,0)</f>
        <v>Gel Pen Box</v>
      </c>
      <c r="R347" t="str">
        <f>VLOOKUP(Table1[[#This Row],[Product ID]],Products!$A$2:$E$23,3,0)</f>
        <v>Office Supplies</v>
      </c>
      <c r="S347" t="str">
        <f>VLOOKUP(C347,Customers!$A$2:$F$201,4,0)</f>
        <v>Tamil Nadu</v>
      </c>
      <c r="T347" t="str">
        <f>VLOOKUP(Table1[[#This Row],[Customer ID]],Customers!$A$2:$F$201,5,0)</f>
        <v>South</v>
      </c>
      <c r="U347" t="str">
        <f>VLOOKUP(Table1[[#This Row],[Customer ID]],Customers!$A$2:$F$201,6,0)</f>
        <v>Corporate</v>
      </c>
      <c r="V347" t="str">
        <f>TEXT(Table1[[#This Row],[Order Date]],"MMM")</f>
        <v>Aug</v>
      </c>
      <c r="W347" t="str">
        <f>TEXT(Table1[[#This Row],[Order Date]],"yyyy")</f>
        <v>2024</v>
      </c>
    </row>
    <row r="348" spans="1:23" x14ac:dyDescent="0.25">
      <c r="A348" s="2" t="s">
        <v>558</v>
      </c>
      <c r="B348" s="4">
        <v>45514</v>
      </c>
      <c r="C348" s="2" t="s">
        <v>389</v>
      </c>
      <c r="D348" s="2" t="str">
        <f>TEXT(Table1[[#This Row],[Order Date]],"mmmm")</f>
        <v>August</v>
      </c>
      <c r="E348" s="2" t="s">
        <v>66</v>
      </c>
      <c r="F348" s="2">
        <v>1</v>
      </c>
      <c r="G348" s="5">
        <v>0.2</v>
      </c>
      <c r="H348" s="2" t="s">
        <v>30</v>
      </c>
      <c r="I348" s="2" t="s">
        <v>20</v>
      </c>
      <c r="J348" s="2" t="s">
        <v>21</v>
      </c>
      <c r="K348">
        <f>VLOOKUP(E348,Products!$A$2:$E$23,5,0)</f>
        <v>1299</v>
      </c>
      <c r="L348">
        <f>VLOOKUP(E348,Products!$A$2:$E$23,4,0)</f>
        <v>800</v>
      </c>
      <c r="M348" s="2">
        <f>K348*F348-Table1[[#This Row],[discount_amount]]</f>
        <v>1039.2</v>
      </c>
      <c r="N348">
        <f t="shared" si="11"/>
        <v>800</v>
      </c>
      <c r="O348">
        <f t="shared" si="10"/>
        <v>239.20000000000005</v>
      </c>
      <c r="P348">
        <f>Table1[[#This Row],[Quantity]]*Table1[[#This Row],[unit_price]]*Table1[[#This Row],[Discount]]</f>
        <v>259.8</v>
      </c>
      <c r="Q348" t="str">
        <f>VLOOKUP(E348,Products!$A$2:$E$23,2,0)</f>
        <v>Power Bank 10000mAh</v>
      </c>
      <c r="R348" t="str">
        <f>VLOOKUP(Table1[[#This Row],[Product ID]],Products!$A$2:$E$23,3,0)</f>
        <v>Electronics</v>
      </c>
      <c r="S348" t="str">
        <f>VLOOKUP(C348,Customers!$A$2:$F$201,4,0)</f>
        <v>Kerala</v>
      </c>
      <c r="T348" t="str">
        <f>VLOOKUP(Table1[[#This Row],[Customer ID]],Customers!$A$2:$F$201,5,0)</f>
        <v>South</v>
      </c>
      <c r="U348" t="str">
        <f>VLOOKUP(Table1[[#This Row],[Customer ID]],Customers!$A$2:$F$201,6,0)</f>
        <v>Home Office</v>
      </c>
      <c r="V348" t="str">
        <f>TEXT(Table1[[#This Row],[Order Date]],"MMM")</f>
        <v>Aug</v>
      </c>
      <c r="W348" t="str">
        <f>TEXT(Table1[[#This Row],[Order Date]],"yyyy")</f>
        <v>2024</v>
      </c>
    </row>
    <row r="349" spans="1:23" x14ac:dyDescent="0.25">
      <c r="A349" s="2" t="s">
        <v>559</v>
      </c>
      <c r="B349" s="4">
        <v>45516</v>
      </c>
      <c r="C349" s="2" t="s">
        <v>148</v>
      </c>
      <c r="D349" s="2" t="str">
        <f>TEXT(Table1[[#This Row],[Order Date]],"mmmm")</f>
        <v>August</v>
      </c>
      <c r="E349" s="2" t="s">
        <v>91</v>
      </c>
      <c r="F349" s="2">
        <v>6</v>
      </c>
      <c r="G349" s="5">
        <v>0</v>
      </c>
      <c r="H349" s="2" t="s">
        <v>19</v>
      </c>
      <c r="I349" s="2" t="s">
        <v>31</v>
      </c>
      <c r="J349" s="2" t="s">
        <v>21</v>
      </c>
      <c r="K349">
        <f>VLOOKUP(E349,Products!$A$2:$E$23,5,0)</f>
        <v>1199</v>
      </c>
      <c r="L349">
        <f>VLOOKUP(E349,Products!$A$2:$E$23,4,0)</f>
        <v>600</v>
      </c>
      <c r="M349" s="2">
        <f>K349*F349-Table1[[#This Row],[discount_amount]]</f>
        <v>7194</v>
      </c>
      <c r="N349">
        <f t="shared" si="11"/>
        <v>3600</v>
      </c>
      <c r="O349">
        <f t="shared" si="10"/>
        <v>3594</v>
      </c>
      <c r="P349">
        <f>Table1[[#This Row],[Quantity]]*Table1[[#This Row],[unit_price]]*Table1[[#This Row],[Discount]]</f>
        <v>0</v>
      </c>
      <c r="Q349" t="str">
        <f>VLOOKUP(E349,Products!$A$2:$E$23,2,0)</f>
        <v>Formal Shirt</v>
      </c>
      <c r="R349" t="str">
        <f>VLOOKUP(Table1[[#This Row],[Product ID]],Products!$A$2:$E$23,3,0)</f>
        <v>Clothing</v>
      </c>
      <c r="S349" t="str">
        <f>VLOOKUP(C349,Customers!$A$2:$F$201,4,0)</f>
        <v>Uttar Pradesh</v>
      </c>
      <c r="T349" t="str">
        <f>VLOOKUP(Table1[[#This Row],[Customer ID]],Customers!$A$2:$F$201,5,0)</f>
        <v>North</v>
      </c>
      <c r="U349" t="str">
        <f>VLOOKUP(Table1[[#This Row],[Customer ID]],Customers!$A$2:$F$201,6,0)</f>
        <v>Corporate</v>
      </c>
      <c r="V349" t="str">
        <f>TEXT(Table1[[#This Row],[Order Date]],"MMM")</f>
        <v>Aug</v>
      </c>
      <c r="W349" t="str">
        <f>TEXT(Table1[[#This Row],[Order Date]],"yyyy")</f>
        <v>2024</v>
      </c>
    </row>
    <row r="350" spans="1:23" x14ac:dyDescent="0.25">
      <c r="A350" s="2" t="s">
        <v>560</v>
      </c>
      <c r="B350" s="4">
        <v>45517</v>
      </c>
      <c r="C350" s="2" t="s">
        <v>421</v>
      </c>
      <c r="D350" s="2" t="str">
        <f>TEXT(Table1[[#This Row],[Order Date]],"mmmm")</f>
        <v>August</v>
      </c>
      <c r="E350" s="2" t="s">
        <v>49</v>
      </c>
      <c r="F350" s="2">
        <v>2</v>
      </c>
      <c r="G350" s="5">
        <v>0.05</v>
      </c>
      <c r="H350" s="2" t="s">
        <v>19</v>
      </c>
      <c r="I350" s="2" t="s">
        <v>20</v>
      </c>
      <c r="J350" s="2" t="s">
        <v>21</v>
      </c>
      <c r="K350">
        <f>VLOOKUP(E350,Products!$A$2:$E$23,5,0)</f>
        <v>700</v>
      </c>
      <c r="L350">
        <f>VLOOKUP(E350,Products!$A$2:$E$23,4,0)</f>
        <v>450</v>
      </c>
      <c r="M350" s="2">
        <f>K350*F350-Table1[[#This Row],[discount_amount]]</f>
        <v>1330</v>
      </c>
      <c r="N350">
        <f t="shared" si="11"/>
        <v>900</v>
      </c>
      <c r="O350">
        <f t="shared" si="10"/>
        <v>430</v>
      </c>
      <c r="P350">
        <f>Table1[[#This Row],[Quantity]]*Table1[[#This Row],[unit_price]]*Table1[[#This Row],[Discount]]</f>
        <v>70</v>
      </c>
      <c r="Q350" t="str">
        <f>VLOOKUP(E350,Products!$A$2:$E$23,2,0)</f>
        <v>Wireless Mouse</v>
      </c>
      <c r="R350" t="str">
        <f>VLOOKUP(Table1[[#This Row],[Product ID]],Products!$A$2:$E$23,3,0)</f>
        <v>Electronics</v>
      </c>
      <c r="S350" t="str">
        <f>VLOOKUP(C350,Customers!$A$2:$F$201,4,0)</f>
        <v>Madhya Pradesh</v>
      </c>
      <c r="T350" t="str">
        <f>VLOOKUP(Table1[[#This Row],[Customer ID]],Customers!$A$2:$F$201,5,0)</f>
        <v>Central</v>
      </c>
      <c r="U350" t="str">
        <f>VLOOKUP(Table1[[#This Row],[Customer ID]],Customers!$A$2:$F$201,6,0)</f>
        <v>Consumer</v>
      </c>
      <c r="V350" t="str">
        <f>TEXT(Table1[[#This Row],[Order Date]],"MMM")</f>
        <v>Aug</v>
      </c>
      <c r="W350" t="str">
        <f>TEXT(Table1[[#This Row],[Order Date]],"yyyy")</f>
        <v>2024</v>
      </c>
    </row>
    <row r="351" spans="1:23" x14ac:dyDescent="0.25">
      <c r="A351" s="2" t="s">
        <v>561</v>
      </c>
      <c r="B351" s="4">
        <v>45518</v>
      </c>
      <c r="C351" s="2" t="s">
        <v>501</v>
      </c>
      <c r="D351" s="2" t="str">
        <f>TEXT(Table1[[#This Row],[Order Date]],"mmmm")</f>
        <v>August</v>
      </c>
      <c r="E351" s="2" t="s">
        <v>127</v>
      </c>
      <c r="F351" s="2">
        <v>3</v>
      </c>
      <c r="G351" s="5">
        <v>0.1</v>
      </c>
      <c r="H351" s="2" t="s">
        <v>25</v>
      </c>
      <c r="I351" s="2" t="s">
        <v>31</v>
      </c>
      <c r="J351" s="2" t="s">
        <v>21</v>
      </c>
      <c r="K351">
        <f>VLOOKUP(E351,Products!$A$2:$E$23,5,0)</f>
        <v>1999</v>
      </c>
      <c r="L351">
        <f>VLOOKUP(E351,Products!$A$2:$E$23,4,0)</f>
        <v>1200</v>
      </c>
      <c r="M351" s="2">
        <f>K351*F351-Table1[[#This Row],[discount_amount]]</f>
        <v>5397.3</v>
      </c>
      <c r="N351">
        <f t="shared" si="11"/>
        <v>3600</v>
      </c>
      <c r="O351">
        <f t="shared" si="10"/>
        <v>1797.3000000000002</v>
      </c>
      <c r="P351">
        <f>Table1[[#This Row],[Quantity]]*Table1[[#This Row],[unit_price]]*Table1[[#This Row],[Discount]]</f>
        <v>599.70000000000005</v>
      </c>
      <c r="Q351" t="str">
        <f>VLOOKUP(E351,Products!$A$2:$E$23,2,0)</f>
        <v>Bluetooth Speaker</v>
      </c>
      <c r="R351" t="str">
        <f>VLOOKUP(Table1[[#This Row],[Product ID]],Products!$A$2:$E$23,3,0)</f>
        <v>Electronics</v>
      </c>
      <c r="S351" t="str">
        <f>VLOOKUP(C351,Customers!$A$2:$F$201,4,0)</f>
        <v>Tamil Nadu</v>
      </c>
      <c r="T351" t="str">
        <f>VLOOKUP(Table1[[#This Row],[Customer ID]],Customers!$A$2:$F$201,5,0)</f>
        <v>South</v>
      </c>
      <c r="U351" t="str">
        <f>VLOOKUP(Table1[[#This Row],[Customer ID]],Customers!$A$2:$F$201,6,0)</f>
        <v>Consumer</v>
      </c>
      <c r="V351" t="str">
        <f>TEXT(Table1[[#This Row],[Order Date]],"MMM")</f>
        <v>Aug</v>
      </c>
      <c r="W351" t="str">
        <f>TEXT(Table1[[#This Row],[Order Date]],"yyyy")</f>
        <v>2024</v>
      </c>
    </row>
    <row r="352" spans="1:23" x14ac:dyDescent="0.25">
      <c r="A352" s="2" t="s">
        <v>562</v>
      </c>
      <c r="B352" s="4">
        <v>45518</v>
      </c>
      <c r="C352" s="2" t="s">
        <v>520</v>
      </c>
      <c r="D352" s="2" t="str">
        <f>TEXT(Table1[[#This Row],[Order Date]],"mmmm")</f>
        <v>August</v>
      </c>
      <c r="E352" s="2" t="s">
        <v>91</v>
      </c>
      <c r="F352" s="2">
        <v>2</v>
      </c>
      <c r="G352" s="5">
        <v>0.2</v>
      </c>
      <c r="H352" s="2" t="s">
        <v>19</v>
      </c>
      <c r="I352" s="2" t="s">
        <v>31</v>
      </c>
      <c r="J352" s="2" t="s">
        <v>21</v>
      </c>
      <c r="K352">
        <f>VLOOKUP(E352,Products!$A$2:$E$23,5,0)</f>
        <v>1199</v>
      </c>
      <c r="L352">
        <f>VLOOKUP(E352,Products!$A$2:$E$23,4,0)</f>
        <v>600</v>
      </c>
      <c r="M352" s="2">
        <f>K352*F352-Table1[[#This Row],[discount_amount]]</f>
        <v>1918.4</v>
      </c>
      <c r="N352">
        <f t="shared" si="11"/>
        <v>1200</v>
      </c>
      <c r="O352">
        <f t="shared" si="10"/>
        <v>718.40000000000009</v>
      </c>
      <c r="P352">
        <f>Table1[[#This Row],[Quantity]]*Table1[[#This Row],[unit_price]]*Table1[[#This Row],[Discount]]</f>
        <v>479.6</v>
      </c>
      <c r="Q352" t="str">
        <f>VLOOKUP(E352,Products!$A$2:$E$23,2,0)</f>
        <v>Formal Shirt</v>
      </c>
      <c r="R352" t="str">
        <f>VLOOKUP(Table1[[#This Row],[Product ID]],Products!$A$2:$E$23,3,0)</f>
        <v>Clothing</v>
      </c>
      <c r="S352" t="str">
        <f>VLOOKUP(C352,Customers!$A$2:$F$201,4,0)</f>
        <v>Karnataka</v>
      </c>
      <c r="T352" t="str">
        <f>VLOOKUP(Table1[[#This Row],[Customer ID]],Customers!$A$2:$F$201,5,0)</f>
        <v>South</v>
      </c>
      <c r="U352" t="str">
        <f>VLOOKUP(Table1[[#This Row],[Customer ID]],Customers!$A$2:$F$201,6,0)</f>
        <v>Home Office</v>
      </c>
      <c r="V352" t="str">
        <f>TEXT(Table1[[#This Row],[Order Date]],"MMM")</f>
        <v>Aug</v>
      </c>
      <c r="W352" t="str">
        <f>TEXT(Table1[[#This Row],[Order Date]],"yyyy")</f>
        <v>2024</v>
      </c>
    </row>
    <row r="353" spans="1:23" x14ac:dyDescent="0.25">
      <c r="A353" s="2" t="s">
        <v>563</v>
      </c>
      <c r="B353" s="4">
        <v>45518</v>
      </c>
      <c r="C353" s="2" t="s">
        <v>339</v>
      </c>
      <c r="D353" s="2" t="str">
        <f>TEXT(Table1[[#This Row],[Order Date]],"mmmm")</f>
        <v>August</v>
      </c>
      <c r="E353" s="2" t="s">
        <v>60</v>
      </c>
      <c r="F353" s="2">
        <v>1</v>
      </c>
      <c r="G353" s="5">
        <v>0.05</v>
      </c>
      <c r="H353" s="2" t="s">
        <v>19</v>
      </c>
      <c r="I353" s="2" t="s">
        <v>26</v>
      </c>
      <c r="J353" s="2" t="s">
        <v>21</v>
      </c>
      <c r="K353">
        <f>VLOOKUP(E353,Products!$A$2:$E$23,5,0)</f>
        <v>449</v>
      </c>
      <c r="L353">
        <f>VLOOKUP(E353,Products!$A$2:$E$23,4,0)</f>
        <v>260</v>
      </c>
      <c r="M353" s="2">
        <f>K353*F353-Table1[[#This Row],[discount_amount]]</f>
        <v>426.55</v>
      </c>
      <c r="N353">
        <f t="shared" si="11"/>
        <v>260</v>
      </c>
      <c r="O353">
        <f t="shared" si="10"/>
        <v>166.55</v>
      </c>
      <c r="P353">
        <f>Table1[[#This Row],[Quantity]]*Table1[[#This Row],[unit_price]]*Table1[[#This Row],[Discount]]</f>
        <v>22.450000000000003</v>
      </c>
      <c r="Q353" t="str">
        <f>VLOOKUP(E353,Products!$A$2:$E$23,2,0)</f>
        <v>Desk Organizer</v>
      </c>
      <c r="R353" t="str">
        <f>VLOOKUP(Table1[[#This Row],[Product ID]],Products!$A$2:$E$23,3,0)</f>
        <v>Office Supplies</v>
      </c>
      <c r="S353" t="str">
        <f>VLOOKUP(C353,Customers!$A$2:$F$201,4,0)</f>
        <v>Tamil Nadu</v>
      </c>
      <c r="T353" t="str">
        <f>VLOOKUP(Table1[[#This Row],[Customer ID]],Customers!$A$2:$F$201,5,0)</f>
        <v>South</v>
      </c>
      <c r="U353" t="str">
        <f>VLOOKUP(Table1[[#This Row],[Customer ID]],Customers!$A$2:$F$201,6,0)</f>
        <v>Corporate</v>
      </c>
      <c r="V353" t="str">
        <f>TEXT(Table1[[#This Row],[Order Date]],"MMM")</f>
        <v>Aug</v>
      </c>
      <c r="W353" t="str">
        <f>TEXT(Table1[[#This Row],[Order Date]],"yyyy")</f>
        <v>2024</v>
      </c>
    </row>
    <row r="354" spans="1:23" x14ac:dyDescent="0.25">
      <c r="A354" s="2" t="s">
        <v>564</v>
      </c>
      <c r="B354" s="4">
        <v>45519</v>
      </c>
      <c r="C354" s="2" t="s">
        <v>217</v>
      </c>
      <c r="D354" s="2" t="str">
        <f>TEXT(Table1[[#This Row],[Order Date]],"mmmm")</f>
        <v>August</v>
      </c>
      <c r="E354" s="2" t="s">
        <v>45</v>
      </c>
      <c r="F354" s="2">
        <v>5</v>
      </c>
      <c r="G354" s="5">
        <v>0</v>
      </c>
      <c r="H354" s="2" t="s">
        <v>25</v>
      </c>
      <c r="I354" s="2" t="s">
        <v>38</v>
      </c>
      <c r="J354" s="2" t="s">
        <v>21</v>
      </c>
      <c r="K354">
        <f>VLOOKUP(E354,Products!$A$2:$E$23,5,0)</f>
        <v>899</v>
      </c>
      <c r="L354">
        <f>VLOOKUP(E354,Products!$A$2:$E$23,4,0)</f>
        <v>450</v>
      </c>
      <c r="M354" s="2">
        <f>K354*F354-Table1[[#This Row],[discount_amount]]</f>
        <v>4495</v>
      </c>
      <c r="N354">
        <f t="shared" si="11"/>
        <v>2250</v>
      </c>
      <c r="O354">
        <f t="shared" si="10"/>
        <v>2245</v>
      </c>
      <c r="P354">
        <f>Table1[[#This Row],[Quantity]]*Table1[[#This Row],[unit_price]]*Table1[[#This Row],[Discount]]</f>
        <v>0</v>
      </c>
      <c r="Q354" t="str">
        <f>VLOOKUP(E354,Products!$A$2:$E$23,2,0)</f>
        <v>Track Pants</v>
      </c>
      <c r="R354" t="str">
        <f>VLOOKUP(Table1[[#This Row],[Product ID]],Products!$A$2:$E$23,3,0)</f>
        <v>Clothing</v>
      </c>
      <c r="S354" t="str">
        <f>VLOOKUP(C354,Customers!$A$2:$F$201,4,0)</f>
        <v>Madhya Pradesh</v>
      </c>
      <c r="T354" t="str">
        <f>VLOOKUP(Table1[[#This Row],[Customer ID]],Customers!$A$2:$F$201,5,0)</f>
        <v>Central</v>
      </c>
      <c r="U354" t="str">
        <f>VLOOKUP(Table1[[#This Row],[Customer ID]],Customers!$A$2:$F$201,6,0)</f>
        <v>Corporate</v>
      </c>
      <c r="V354" t="str">
        <f>TEXT(Table1[[#This Row],[Order Date]],"MMM")</f>
        <v>Aug</v>
      </c>
      <c r="W354" t="str">
        <f>TEXT(Table1[[#This Row],[Order Date]],"yyyy")</f>
        <v>2024</v>
      </c>
    </row>
    <row r="355" spans="1:23" x14ac:dyDescent="0.25">
      <c r="A355" s="2" t="s">
        <v>565</v>
      </c>
      <c r="B355" s="4">
        <v>45521</v>
      </c>
      <c r="C355" s="2" t="s">
        <v>98</v>
      </c>
      <c r="D355" s="2" t="str">
        <f>TEXT(Table1[[#This Row],[Order Date]],"mmmm")</f>
        <v>August</v>
      </c>
      <c r="E355" s="2" t="s">
        <v>49</v>
      </c>
      <c r="F355" s="2">
        <v>2</v>
      </c>
      <c r="G355" s="5">
        <v>0.05</v>
      </c>
      <c r="H355" s="2" t="s">
        <v>19</v>
      </c>
      <c r="I355" s="2" t="s">
        <v>46</v>
      </c>
      <c r="J355" s="2" t="s">
        <v>21</v>
      </c>
      <c r="K355">
        <f>VLOOKUP(E355,Products!$A$2:$E$23,5,0)</f>
        <v>700</v>
      </c>
      <c r="L355">
        <f>VLOOKUP(E355,Products!$A$2:$E$23,4,0)</f>
        <v>450</v>
      </c>
      <c r="M355" s="2">
        <f>K355*F355-Table1[[#This Row],[discount_amount]]</f>
        <v>1330</v>
      </c>
      <c r="N355">
        <f t="shared" si="11"/>
        <v>900</v>
      </c>
      <c r="O355">
        <f t="shared" si="10"/>
        <v>430</v>
      </c>
      <c r="P355">
        <f>Table1[[#This Row],[Quantity]]*Table1[[#This Row],[unit_price]]*Table1[[#This Row],[Discount]]</f>
        <v>70</v>
      </c>
      <c r="Q355" t="str">
        <f>VLOOKUP(E355,Products!$A$2:$E$23,2,0)</f>
        <v>Wireless Mouse</v>
      </c>
      <c r="R355" t="str">
        <f>VLOOKUP(Table1[[#This Row],[Product ID]],Products!$A$2:$E$23,3,0)</f>
        <v>Electronics</v>
      </c>
      <c r="S355" t="str">
        <f>VLOOKUP(C355,Customers!$A$2:$F$201,4,0)</f>
        <v>Tamil Nadu</v>
      </c>
      <c r="T355" t="str">
        <f>VLOOKUP(Table1[[#This Row],[Customer ID]],Customers!$A$2:$F$201,5,0)</f>
        <v>South</v>
      </c>
      <c r="U355" t="str">
        <f>VLOOKUP(Table1[[#This Row],[Customer ID]],Customers!$A$2:$F$201,6,0)</f>
        <v>Consumer</v>
      </c>
      <c r="V355" t="str">
        <f>TEXT(Table1[[#This Row],[Order Date]],"MMM")</f>
        <v>Aug</v>
      </c>
      <c r="W355" t="str">
        <f>TEXT(Table1[[#This Row],[Order Date]],"yyyy")</f>
        <v>2024</v>
      </c>
    </row>
    <row r="356" spans="1:23" x14ac:dyDescent="0.25">
      <c r="A356" s="2" t="s">
        <v>566</v>
      </c>
      <c r="B356" s="4">
        <v>45521</v>
      </c>
      <c r="C356" s="2" t="s">
        <v>567</v>
      </c>
      <c r="D356" s="2" t="str">
        <f>TEXT(Table1[[#This Row],[Order Date]],"mmmm")</f>
        <v>August</v>
      </c>
      <c r="E356" s="2" t="s">
        <v>29</v>
      </c>
      <c r="F356" s="2">
        <v>6</v>
      </c>
      <c r="G356" s="5">
        <v>0</v>
      </c>
      <c r="H356" s="2" t="s">
        <v>19</v>
      </c>
      <c r="I356" s="2" t="s">
        <v>38</v>
      </c>
      <c r="J356" s="2" t="s">
        <v>21</v>
      </c>
      <c r="K356">
        <f>VLOOKUP(E356,Products!$A$2:$E$23,5,0)</f>
        <v>599</v>
      </c>
      <c r="L356">
        <f>VLOOKUP(E356,Products!$A$2:$E$23,4,0)</f>
        <v>350</v>
      </c>
      <c r="M356" s="2">
        <f>K356*F356-Table1[[#This Row],[discount_amount]]</f>
        <v>3594</v>
      </c>
      <c r="N356">
        <f t="shared" si="11"/>
        <v>2100</v>
      </c>
      <c r="O356">
        <f t="shared" si="10"/>
        <v>1494</v>
      </c>
      <c r="P356">
        <f>Table1[[#This Row],[Quantity]]*Table1[[#This Row],[unit_price]]*Table1[[#This Row],[Discount]]</f>
        <v>0</v>
      </c>
      <c r="Q356" t="str">
        <f>VLOOKUP(E356,Products!$A$2:$E$23,2,0)</f>
        <v>USB Flash Drive 64GB</v>
      </c>
      <c r="R356" t="str">
        <f>VLOOKUP(Table1[[#This Row],[Product ID]],Products!$A$2:$E$23,3,0)</f>
        <v>Electronics</v>
      </c>
      <c r="S356" t="str">
        <f>VLOOKUP(C356,Customers!$A$2:$F$201,4,0)</f>
        <v>Gujarat</v>
      </c>
      <c r="T356" t="str">
        <f>VLOOKUP(Table1[[#This Row],[Customer ID]],Customers!$A$2:$F$201,5,0)</f>
        <v>West</v>
      </c>
      <c r="U356" t="str">
        <f>VLOOKUP(Table1[[#This Row],[Customer ID]],Customers!$A$2:$F$201,6,0)</f>
        <v>Consumer</v>
      </c>
      <c r="V356" t="str">
        <f>TEXT(Table1[[#This Row],[Order Date]],"MMM")</f>
        <v>Aug</v>
      </c>
      <c r="W356" t="str">
        <f>TEXT(Table1[[#This Row],[Order Date]],"yyyy")</f>
        <v>2024</v>
      </c>
    </row>
    <row r="357" spans="1:23" x14ac:dyDescent="0.25">
      <c r="A357" s="2" t="s">
        <v>568</v>
      </c>
      <c r="B357" s="4">
        <v>45522</v>
      </c>
      <c r="C357" s="2" t="s">
        <v>509</v>
      </c>
      <c r="D357" s="2" t="str">
        <f>TEXT(Table1[[#This Row],[Order Date]],"mmmm")</f>
        <v>August</v>
      </c>
      <c r="E357" s="2" t="s">
        <v>60</v>
      </c>
      <c r="F357" s="2">
        <v>10</v>
      </c>
      <c r="G357" s="5">
        <v>0.05</v>
      </c>
      <c r="H357" s="2" t="s">
        <v>30</v>
      </c>
      <c r="I357" s="2" t="s">
        <v>38</v>
      </c>
      <c r="J357" s="2" t="s">
        <v>21</v>
      </c>
      <c r="K357">
        <f>VLOOKUP(E357,Products!$A$2:$E$23,5,0)</f>
        <v>449</v>
      </c>
      <c r="L357">
        <f>VLOOKUP(E357,Products!$A$2:$E$23,4,0)</f>
        <v>260</v>
      </c>
      <c r="M357" s="2">
        <f>K357*F357-Table1[[#This Row],[discount_amount]]</f>
        <v>4265.5</v>
      </c>
      <c r="N357">
        <f t="shared" si="11"/>
        <v>2600</v>
      </c>
      <c r="O357">
        <f t="shared" si="10"/>
        <v>1665.5</v>
      </c>
      <c r="P357">
        <f>Table1[[#This Row],[Quantity]]*Table1[[#This Row],[unit_price]]*Table1[[#This Row],[Discount]]</f>
        <v>224.5</v>
      </c>
      <c r="Q357" t="str">
        <f>VLOOKUP(E357,Products!$A$2:$E$23,2,0)</f>
        <v>Desk Organizer</v>
      </c>
      <c r="R357" t="str">
        <f>VLOOKUP(Table1[[#This Row],[Product ID]],Products!$A$2:$E$23,3,0)</f>
        <v>Office Supplies</v>
      </c>
      <c r="S357" t="str">
        <f>VLOOKUP(C357,Customers!$A$2:$F$201,4,0)</f>
        <v>Madhya Pradesh</v>
      </c>
      <c r="T357" t="str">
        <f>VLOOKUP(Table1[[#This Row],[Customer ID]],Customers!$A$2:$F$201,5,0)</f>
        <v>Central</v>
      </c>
      <c r="U357" t="str">
        <f>VLOOKUP(Table1[[#This Row],[Customer ID]],Customers!$A$2:$F$201,6,0)</f>
        <v>Consumer</v>
      </c>
      <c r="V357" t="str">
        <f>TEXT(Table1[[#This Row],[Order Date]],"MMM")</f>
        <v>Aug</v>
      </c>
      <c r="W357" t="str">
        <f>TEXT(Table1[[#This Row],[Order Date]],"yyyy")</f>
        <v>2024</v>
      </c>
    </row>
    <row r="358" spans="1:23" x14ac:dyDescent="0.25">
      <c r="A358" s="2" t="s">
        <v>569</v>
      </c>
      <c r="B358" s="4">
        <v>45522</v>
      </c>
      <c r="C358" s="2" t="s">
        <v>366</v>
      </c>
      <c r="D358" s="2" t="str">
        <f>TEXT(Table1[[#This Row],[Order Date]],"mmmm")</f>
        <v>August</v>
      </c>
      <c r="E358" s="2" t="s">
        <v>54</v>
      </c>
      <c r="F358" s="2">
        <v>6</v>
      </c>
      <c r="G358" s="5">
        <v>0</v>
      </c>
      <c r="H358" s="2" t="s">
        <v>19</v>
      </c>
      <c r="I358" s="2" t="s">
        <v>38</v>
      </c>
      <c r="J358" s="2" t="s">
        <v>21</v>
      </c>
      <c r="K358">
        <f>VLOOKUP(E358,Products!$A$2:$E$23,5,0)</f>
        <v>299</v>
      </c>
      <c r="L358">
        <f>VLOOKUP(E358,Products!$A$2:$E$23,4,0)</f>
        <v>180</v>
      </c>
      <c r="M358" s="2">
        <f>K358*F358-Table1[[#This Row],[discount_amount]]</f>
        <v>1794</v>
      </c>
      <c r="N358">
        <f t="shared" si="11"/>
        <v>1080</v>
      </c>
      <c r="O358">
        <f t="shared" si="10"/>
        <v>714</v>
      </c>
      <c r="P358">
        <f>Table1[[#This Row],[Quantity]]*Table1[[#This Row],[unit_price]]*Table1[[#This Row],[Discount]]</f>
        <v>0</v>
      </c>
      <c r="Q358" t="str">
        <f>VLOOKUP(E358,Products!$A$2:$E$23,2,0)</f>
        <v>Notebook Pack of 5</v>
      </c>
      <c r="R358" t="str">
        <f>VLOOKUP(Table1[[#This Row],[Product ID]],Products!$A$2:$E$23,3,0)</f>
        <v>Office Supplies</v>
      </c>
      <c r="S358" t="str">
        <f>VLOOKUP(C358,Customers!$A$2:$F$201,4,0)</f>
        <v>Bihar</v>
      </c>
      <c r="T358" t="str">
        <f>VLOOKUP(Table1[[#This Row],[Customer ID]],Customers!$A$2:$F$201,5,0)</f>
        <v>East</v>
      </c>
      <c r="U358" t="str">
        <f>VLOOKUP(Table1[[#This Row],[Customer ID]],Customers!$A$2:$F$201,6,0)</f>
        <v>Home Office</v>
      </c>
      <c r="V358" t="str">
        <f>TEXT(Table1[[#This Row],[Order Date]],"MMM")</f>
        <v>Aug</v>
      </c>
      <c r="W358" t="str">
        <f>TEXT(Table1[[#This Row],[Order Date]],"yyyy")</f>
        <v>2024</v>
      </c>
    </row>
    <row r="359" spans="1:23" x14ac:dyDescent="0.25">
      <c r="A359" s="2" t="s">
        <v>570</v>
      </c>
      <c r="B359" s="4">
        <v>45523</v>
      </c>
      <c r="C359" s="2" t="s">
        <v>266</v>
      </c>
      <c r="D359" s="2" t="str">
        <f>TEXT(Table1[[#This Row],[Order Date]],"mmmm")</f>
        <v>August</v>
      </c>
      <c r="E359" s="2" t="s">
        <v>111</v>
      </c>
      <c r="F359" s="2">
        <v>1</v>
      </c>
      <c r="G359" s="5">
        <v>0</v>
      </c>
      <c r="H359" s="2" t="s">
        <v>25</v>
      </c>
      <c r="I359" s="2" t="s">
        <v>31</v>
      </c>
      <c r="J359" s="2" t="s">
        <v>21</v>
      </c>
      <c r="K359">
        <f>VLOOKUP(E359,Products!$A$2:$E$23,5,0)</f>
        <v>240</v>
      </c>
      <c r="L359">
        <f>VLOOKUP(E359,Products!$A$2:$E$23,4,0)</f>
        <v>140</v>
      </c>
      <c r="M359" s="2">
        <f>K359*F359-Table1[[#This Row],[discount_amount]]</f>
        <v>240</v>
      </c>
      <c r="N359">
        <f t="shared" si="11"/>
        <v>140</v>
      </c>
      <c r="O359">
        <f t="shared" si="10"/>
        <v>100</v>
      </c>
      <c r="P359">
        <f>Table1[[#This Row],[Quantity]]*Table1[[#This Row],[unit_price]]*Table1[[#This Row],[Discount]]</f>
        <v>0</v>
      </c>
      <c r="Q359" t="str">
        <f>VLOOKUP(E359,Products!$A$2:$E$23,2,0)</f>
        <v>Whiteboard Marker Set</v>
      </c>
      <c r="R359" t="str">
        <f>VLOOKUP(Table1[[#This Row],[Product ID]],Products!$A$2:$E$23,3,0)</f>
        <v>Office Supplies</v>
      </c>
      <c r="S359" t="str">
        <f>VLOOKUP(C359,Customers!$A$2:$F$201,4,0)</f>
        <v>Odisha</v>
      </c>
      <c r="T359" t="str">
        <f>VLOOKUP(Table1[[#This Row],[Customer ID]],Customers!$A$2:$F$201,5,0)</f>
        <v>East</v>
      </c>
      <c r="U359" t="str">
        <f>VLOOKUP(Table1[[#This Row],[Customer ID]],Customers!$A$2:$F$201,6,0)</f>
        <v>Consumer</v>
      </c>
      <c r="V359" t="str">
        <f>TEXT(Table1[[#This Row],[Order Date]],"MMM")</f>
        <v>Aug</v>
      </c>
      <c r="W359" t="str">
        <f>TEXT(Table1[[#This Row],[Order Date]],"yyyy")</f>
        <v>2024</v>
      </c>
    </row>
    <row r="360" spans="1:23" x14ac:dyDescent="0.25">
      <c r="A360" s="2" t="s">
        <v>571</v>
      </c>
      <c r="B360" s="4">
        <v>45523</v>
      </c>
      <c r="C360" s="2" t="s">
        <v>572</v>
      </c>
      <c r="D360" s="2" t="str">
        <f>TEXT(Table1[[#This Row],[Order Date]],"mmmm")</f>
        <v>August</v>
      </c>
      <c r="E360" s="2" t="s">
        <v>49</v>
      </c>
      <c r="F360" s="2">
        <v>3</v>
      </c>
      <c r="G360" s="5">
        <v>0.15</v>
      </c>
      <c r="H360" s="2" t="s">
        <v>25</v>
      </c>
      <c r="I360" s="2" t="s">
        <v>20</v>
      </c>
      <c r="J360" s="2" t="s">
        <v>21</v>
      </c>
      <c r="K360">
        <f>VLOOKUP(E360,Products!$A$2:$E$23,5,0)</f>
        <v>700</v>
      </c>
      <c r="L360">
        <f>VLOOKUP(E360,Products!$A$2:$E$23,4,0)</f>
        <v>450</v>
      </c>
      <c r="M360" s="2">
        <f>K360*F360-Table1[[#This Row],[discount_amount]]</f>
        <v>1785</v>
      </c>
      <c r="N360">
        <f t="shared" si="11"/>
        <v>1350</v>
      </c>
      <c r="O360">
        <f t="shared" si="10"/>
        <v>435</v>
      </c>
      <c r="P360">
        <f>Table1[[#This Row],[Quantity]]*Table1[[#This Row],[unit_price]]*Table1[[#This Row],[Discount]]</f>
        <v>315</v>
      </c>
      <c r="Q360" t="str">
        <f>VLOOKUP(E360,Products!$A$2:$E$23,2,0)</f>
        <v>Wireless Mouse</v>
      </c>
      <c r="R360" t="str">
        <f>VLOOKUP(Table1[[#This Row],[Product ID]],Products!$A$2:$E$23,3,0)</f>
        <v>Electronics</v>
      </c>
      <c r="S360" t="str">
        <f>VLOOKUP(C360,Customers!$A$2:$F$201,4,0)</f>
        <v>Telangana</v>
      </c>
      <c r="T360" t="str">
        <f>VLOOKUP(Table1[[#This Row],[Customer ID]],Customers!$A$2:$F$201,5,0)</f>
        <v>South</v>
      </c>
      <c r="U360" t="str">
        <f>VLOOKUP(Table1[[#This Row],[Customer ID]],Customers!$A$2:$F$201,6,0)</f>
        <v>Consumer</v>
      </c>
      <c r="V360" t="str">
        <f>TEXT(Table1[[#This Row],[Order Date]],"MMM")</f>
        <v>Aug</v>
      </c>
      <c r="W360" t="str">
        <f>TEXT(Table1[[#This Row],[Order Date]],"yyyy")</f>
        <v>2024</v>
      </c>
    </row>
    <row r="361" spans="1:23" x14ac:dyDescent="0.25">
      <c r="A361" s="2" t="s">
        <v>573</v>
      </c>
      <c r="B361" s="4">
        <v>45523</v>
      </c>
      <c r="C361" s="2" t="s">
        <v>117</v>
      </c>
      <c r="D361" s="2" t="str">
        <f>TEXT(Table1[[#This Row],[Order Date]],"mmmm")</f>
        <v>August</v>
      </c>
      <c r="E361" s="2" t="s">
        <v>24</v>
      </c>
      <c r="F361" s="2">
        <v>1</v>
      </c>
      <c r="G361" s="5">
        <v>0.1</v>
      </c>
      <c r="H361" s="2" t="s">
        <v>19</v>
      </c>
      <c r="I361" s="2" t="s">
        <v>31</v>
      </c>
      <c r="J361" s="2" t="s">
        <v>21</v>
      </c>
      <c r="K361">
        <f>VLOOKUP(E361,Products!$A$2:$E$23,5,0)</f>
        <v>899</v>
      </c>
      <c r="L361">
        <f>VLOOKUP(E361,Products!$A$2:$E$23,4,0)</f>
        <v>500</v>
      </c>
      <c r="M361" s="2">
        <f>K361*F361-Table1[[#This Row],[discount_amount]]</f>
        <v>809.1</v>
      </c>
      <c r="N361">
        <f t="shared" si="11"/>
        <v>500</v>
      </c>
      <c r="O361">
        <f t="shared" si="10"/>
        <v>309.10000000000002</v>
      </c>
      <c r="P361">
        <f>Table1[[#This Row],[Quantity]]*Table1[[#This Row],[unit_price]]*Table1[[#This Row],[Discount]]</f>
        <v>89.9</v>
      </c>
      <c r="Q361" t="str">
        <f>VLOOKUP(E361,Products!$A$2:$E$23,2,0)</f>
        <v>Monitor Stand</v>
      </c>
      <c r="R361" t="str">
        <f>VLOOKUP(Table1[[#This Row],[Product ID]],Products!$A$2:$E$23,3,0)</f>
        <v>Furniture</v>
      </c>
      <c r="S361" t="str">
        <f>VLOOKUP(C361,Customers!$A$2:$F$201,4,0)</f>
        <v>Gujarat</v>
      </c>
      <c r="T361" t="str">
        <f>VLOOKUP(Table1[[#This Row],[Customer ID]],Customers!$A$2:$F$201,5,0)</f>
        <v>West</v>
      </c>
      <c r="U361" t="str">
        <f>VLOOKUP(Table1[[#This Row],[Customer ID]],Customers!$A$2:$F$201,6,0)</f>
        <v>Consumer</v>
      </c>
      <c r="V361" t="str">
        <f>TEXT(Table1[[#This Row],[Order Date]],"MMM")</f>
        <v>Aug</v>
      </c>
      <c r="W361" t="str">
        <f>TEXT(Table1[[#This Row],[Order Date]],"yyyy")</f>
        <v>2024</v>
      </c>
    </row>
    <row r="362" spans="1:23" x14ac:dyDescent="0.25">
      <c r="A362" s="2" t="s">
        <v>574</v>
      </c>
      <c r="B362" s="4">
        <v>45523</v>
      </c>
      <c r="C362" s="2" t="s">
        <v>214</v>
      </c>
      <c r="D362" s="2" t="str">
        <f>TEXT(Table1[[#This Row],[Order Date]],"mmmm")</f>
        <v>August</v>
      </c>
      <c r="E362" s="2" t="s">
        <v>37</v>
      </c>
      <c r="F362" s="2">
        <v>6</v>
      </c>
      <c r="G362" s="5">
        <v>0.1</v>
      </c>
      <c r="H362" s="2" t="s">
        <v>19</v>
      </c>
      <c r="I362" s="2" t="s">
        <v>38</v>
      </c>
      <c r="J362" s="2" t="s">
        <v>21</v>
      </c>
      <c r="K362">
        <f>VLOOKUP(E362,Products!$A$2:$E$23,5,0)</f>
        <v>1799</v>
      </c>
      <c r="L362">
        <f>VLOOKUP(E362,Products!$A$2:$E$23,4,0)</f>
        <v>900</v>
      </c>
      <c r="M362" s="2">
        <f>K362*F362-Table1[[#This Row],[discount_amount]]</f>
        <v>9714.6</v>
      </c>
      <c r="N362">
        <f t="shared" si="11"/>
        <v>5400</v>
      </c>
      <c r="O362">
        <f t="shared" si="10"/>
        <v>4314.6000000000004</v>
      </c>
      <c r="P362">
        <f>Table1[[#This Row],[Quantity]]*Table1[[#This Row],[unit_price]]*Table1[[#This Row],[Discount]]</f>
        <v>1079.4000000000001</v>
      </c>
      <c r="Q362" t="str">
        <f>VLOOKUP(E362,Products!$A$2:$E$23,2,0)</f>
        <v>Denim Jeans</v>
      </c>
      <c r="R362" t="str">
        <f>VLOOKUP(Table1[[#This Row],[Product ID]],Products!$A$2:$E$23,3,0)</f>
        <v>Clothing</v>
      </c>
      <c r="S362" t="str">
        <f>VLOOKUP(C362,Customers!$A$2:$F$201,4,0)</f>
        <v>Maharashtra</v>
      </c>
      <c r="T362" t="str">
        <f>VLOOKUP(Table1[[#This Row],[Customer ID]],Customers!$A$2:$F$201,5,0)</f>
        <v>Central</v>
      </c>
      <c r="U362" t="str">
        <f>VLOOKUP(Table1[[#This Row],[Customer ID]],Customers!$A$2:$F$201,6,0)</f>
        <v>Consumer</v>
      </c>
      <c r="V362" t="str">
        <f>TEXT(Table1[[#This Row],[Order Date]],"MMM")</f>
        <v>Aug</v>
      </c>
      <c r="W362" t="str">
        <f>TEXT(Table1[[#This Row],[Order Date]],"yyyy")</f>
        <v>2024</v>
      </c>
    </row>
    <row r="363" spans="1:23" x14ac:dyDescent="0.25">
      <c r="A363" s="2" t="s">
        <v>575</v>
      </c>
      <c r="B363" s="4">
        <v>45524</v>
      </c>
      <c r="C363" s="2" t="s">
        <v>228</v>
      </c>
      <c r="D363" s="2" t="str">
        <f>TEXT(Table1[[#This Row],[Order Date]],"mmmm")</f>
        <v>August</v>
      </c>
      <c r="E363" s="2" t="s">
        <v>155</v>
      </c>
      <c r="F363" s="2">
        <v>2</v>
      </c>
      <c r="G363" s="5">
        <v>0</v>
      </c>
      <c r="H363" s="2" t="s">
        <v>25</v>
      </c>
      <c r="I363" s="2" t="s">
        <v>26</v>
      </c>
      <c r="J363" s="2" t="s">
        <v>21</v>
      </c>
      <c r="K363">
        <f>VLOOKUP(E363,Products!$A$2:$E$23,5,0)</f>
        <v>1599</v>
      </c>
      <c r="L363">
        <f>VLOOKUP(E363,Products!$A$2:$E$23,4,0)</f>
        <v>900</v>
      </c>
      <c r="M363" s="2">
        <f>K363*F363-Table1[[#This Row],[discount_amount]]</f>
        <v>3198</v>
      </c>
      <c r="N363">
        <f t="shared" si="11"/>
        <v>1800</v>
      </c>
      <c r="O363">
        <f t="shared" si="10"/>
        <v>1398</v>
      </c>
      <c r="P363">
        <f>Table1[[#This Row],[Quantity]]*Table1[[#This Row],[unit_price]]*Table1[[#This Row],[Discount]]</f>
        <v>0</v>
      </c>
      <c r="Q363" t="str">
        <f>VLOOKUP(E363,Products!$A$2:$E$23,2,0)</f>
        <v>Headphones</v>
      </c>
      <c r="R363" t="str">
        <f>VLOOKUP(Table1[[#This Row],[Product ID]],Products!$A$2:$E$23,3,0)</f>
        <v>Electronics</v>
      </c>
      <c r="S363" t="str">
        <f>VLOOKUP(C363,Customers!$A$2:$F$201,4,0)</f>
        <v>Odisha</v>
      </c>
      <c r="T363" t="str">
        <f>VLOOKUP(Table1[[#This Row],[Customer ID]],Customers!$A$2:$F$201,5,0)</f>
        <v>East</v>
      </c>
      <c r="U363" t="str">
        <f>VLOOKUP(Table1[[#This Row],[Customer ID]],Customers!$A$2:$F$201,6,0)</f>
        <v>Consumer</v>
      </c>
      <c r="V363" t="str">
        <f>TEXT(Table1[[#This Row],[Order Date]],"MMM")</f>
        <v>Aug</v>
      </c>
      <c r="W363" t="str">
        <f>TEXT(Table1[[#This Row],[Order Date]],"yyyy")</f>
        <v>2024</v>
      </c>
    </row>
    <row r="364" spans="1:23" x14ac:dyDescent="0.25">
      <c r="A364" s="2" t="s">
        <v>576</v>
      </c>
      <c r="B364" s="4">
        <v>45524</v>
      </c>
      <c r="C364" s="2" t="s">
        <v>577</v>
      </c>
      <c r="D364" s="2" t="str">
        <f>TEXT(Table1[[#This Row],[Order Date]],"mmmm")</f>
        <v>August</v>
      </c>
      <c r="E364" s="2" t="s">
        <v>121</v>
      </c>
      <c r="F364" s="2">
        <v>4</v>
      </c>
      <c r="G364" s="5">
        <v>0.1</v>
      </c>
      <c r="H364" s="2" t="s">
        <v>30</v>
      </c>
      <c r="I364" s="2" t="s">
        <v>20</v>
      </c>
      <c r="J364" s="2" t="s">
        <v>21</v>
      </c>
      <c r="K364">
        <f>VLOOKUP(E364,Products!$A$2:$E$23,5,0)</f>
        <v>499</v>
      </c>
      <c r="L364">
        <f>VLOOKUP(E364,Products!$A$2:$E$23,4,0)</f>
        <v>250</v>
      </c>
      <c r="M364" s="2">
        <f>K364*F364-Table1[[#This Row],[discount_amount]]</f>
        <v>1796.4</v>
      </c>
      <c r="N364">
        <f t="shared" si="11"/>
        <v>1000</v>
      </c>
      <c r="O364">
        <f t="shared" si="10"/>
        <v>796.40000000000009</v>
      </c>
      <c r="P364">
        <f>Table1[[#This Row],[Quantity]]*Table1[[#This Row],[unit_price]]*Table1[[#This Row],[Discount]]</f>
        <v>199.60000000000002</v>
      </c>
      <c r="Q364" t="str">
        <f>VLOOKUP(E364,Products!$A$2:$E$23,2,0)</f>
        <v>Cotton T-Shirt</v>
      </c>
      <c r="R364" t="str">
        <f>VLOOKUP(Table1[[#This Row],[Product ID]],Products!$A$2:$E$23,3,0)</f>
        <v>Clothing</v>
      </c>
      <c r="S364" t="str">
        <f>VLOOKUP(C364,Customers!$A$2:$F$201,4,0)</f>
        <v>Maharashtra</v>
      </c>
      <c r="T364" t="str">
        <f>VLOOKUP(Table1[[#This Row],[Customer ID]],Customers!$A$2:$F$201,5,0)</f>
        <v>West</v>
      </c>
      <c r="U364" t="str">
        <f>VLOOKUP(Table1[[#This Row],[Customer ID]],Customers!$A$2:$F$201,6,0)</f>
        <v>Corporate</v>
      </c>
      <c r="V364" t="str">
        <f>TEXT(Table1[[#This Row],[Order Date]],"MMM")</f>
        <v>Aug</v>
      </c>
      <c r="W364" t="str">
        <f>TEXT(Table1[[#This Row],[Order Date]],"yyyy")</f>
        <v>2024</v>
      </c>
    </row>
    <row r="365" spans="1:23" x14ac:dyDescent="0.25">
      <c r="A365" s="2" t="s">
        <v>578</v>
      </c>
      <c r="B365" s="4">
        <v>45525</v>
      </c>
      <c r="C365" s="2" t="s">
        <v>36</v>
      </c>
      <c r="D365" s="2" t="str">
        <f>TEXT(Table1[[#This Row],[Order Date]],"mmmm")</f>
        <v>August</v>
      </c>
      <c r="E365" s="2" t="s">
        <v>66</v>
      </c>
      <c r="F365" s="2">
        <v>5</v>
      </c>
      <c r="G365" s="5">
        <v>0</v>
      </c>
      <c r="H365" s="2" t="s">
        <v>30</v>
      </c>
      <c r="I365" s="2" t="s">
        <v>38</v>
      </c>
      <c r="J365" s="2" t="s">
        <v>21</v>
      </c>
      <c r="K365">
        <f>VLOOKUP(E365,Products!$A$2:$E$23,5,0)</f>
        <v>1299</v>
      </c>
      <c r="L365">
        <f>VLOOKUP(E365,Products!$A$2:$E$23,4,0)</f>
        <v>800</v>
      </c>
      <c r="M365" s="2">
        <f>K365*F365-Table1[[#This Row],[discount_amount]]</f>
        <v>6495</v>
      </c>
      <c r="N365">
        <f t="shared" si="11"/>
        <v>4000</v>
      </c>
      <c r="O365">
        <f t="shared" si="10"/>
        <v>2495</v>
      </c>
      <c r="P365">
        <f>Table1[[#This Row],[Quantity]]*Table1[[#This Row],[unit_price]]*Table1[[#This Row],[Discount]]</f>
        <v>0</v>
      </c>
      <c r="Q365" t="str">
        <f>VLOOKUP(E365,Products!$A$2:$E$23,2,0)</f>
        <v>Power Bank 10000mAh</v>
      </c>
      <c r="R365" t="str">
        <f>VLOOKUP(Table1[[#This Row],[Product ID]],Products!$A$2:$E$23,3,0)</f>
        <v>Electronics</v>
      </c>
      <c r="S365" t="str">
        <f>VLOOKUP(C365,Customers!$A$2:$F$201,4,0)</f>
        <v>Gujarat</v>
      </c>
      <c r="T365" t="str">
        <f>VLOOKUP(Table1[[#This Row],[Customer ID]],Customers!$A$2:$F$201,5,0)</f>
        <v>West</v>
      </c>
      <c r="U365" t="str">
        <f>VLOOKUP(Table1[[#This Row],[Customer ID]],Customers!$A$2:$F$201,6,0)</f>
        <v>Consumer</v>
      </c>
      <c r="V365" t="str">
        <f>TEXT(Table1[[#This Row],[Order Date]],"MMM")</f>
        <v>Aug</v>
      </c>
      <c r="W365" t="str">
        <f>TEXT(Table1[[#This Row],[Order Date]],"yyyy")</f>
        <v>2024</v>
      </c>
    </row>
    <row r="366" spans="1:23" x14ac:dyDescent="0.25">
      <c r="A366" s="2" t="s">
        <v>579</v>
      </c>
      <c r="B366" s="4">
        <v>45526</v>
      </c>
      <c r="C366" s="2" t="s">
        <v>113</v>
      </c>
      <c r="D366" s="2" t="str">
        <f>TEXT(Table1[[#This Row],[Order Date]],"mmmm")</f>
        <v>August</v>
      </c>
      <c r="E366" s="2" t="s">
        <v>118</v>
      </c>
      <c r="F366" s="2">
        <v>6</v>
      </c>
      <c r="G366" s="5">
        <v>0.1</v>
      </c>
      <c r="H366" s="2" t="s">
        <v>19</v>
      </c>
      <c r="I366" s="2" t="s">
        <v>38</v>
      </c>
      <c r="J366" s="2" t="s">
        <v>21</v>
      </c>
      <c r="K366">
        <f>VLOOKUP(E366,Products!$A$2:$E$23,5,0)</f>
        <v>150</v>
      </c>
      <c r="L366">
        <f>VLOOKUP(E366,Products!$A$2:$E$23,4,0)</f>
        <v>90</v>
      </c>
      <c r="M366" s="2">
        <f>K366*F366-Table1[[#This Row],[discount_amount]]</f>
        <v>810</v>
      </c>
      <c r="N366">
        <f t="shared" si="11"/>
        <v>540</v>
      </c>
      <c r="O366">
        <f t="shared" si="10"/>
        <v>270</v>
      </c>
      <c r="P366">
        <f>Table1[[#This Row],[Quantity]]*Table1[[#This Row],[unit_price]]*Table1[[#This Row],[Discount]]</f>
        <v>90</v>
      </c>
      <c r="Q366" t="str">
        <f>VLOOKUP(E366,Products!$A$2:$E$23,2,0)</f>
        <v>Gel Pen Box</v>
      </c>
      <c r="R366" t="str">
        <f>VLOOKUP(Table1[[#This Row],[Product ID]],Products!$A$2:$E$23,3,0)</f>
        <v>Office Supplies</v>
      </c>
      <c r="S366" t="str">
        <f>VLOOKUP(C366,Customers!$A$2:$F$201,4,0)</f>
        <v>Gujarat</v>
      </c>
      <c r="T366" t="str">
        <f>VLOOKUP(Table1[[#This Row],[Customer ID]],Customers!$A$2:$F$201,5,0)</f>
        <v>West</v>
      </c>
      <c r="U366" t="str">
        <f>VLOOKUP(Table1[[#This Row],[Customer ID]],Customers!$A$2:$F$201,6,0)</f>
        <v>Consumer</v>
      </c>
      <c r="V366" t="str">
        <f>TEXT(Table1[[#This Row],[Order Date]],"MMM")</f>
        <v>Aug</v>
      </c>
      <c r="W366" t="str">
        <f>TEXT(Table1[[#This Row],[Order Date]],"yyyy")</f>
        <v>2024</v>
      </c>
    </row>
    <row r="367" spans="1:23" x14ac:dyDescent="0.25">
      <c r="A367" s="2" t="s">
        <v>580</v>
      </c>
      <c r="B367" s="4">
        <v>45527</v>
      </c>
      <c r="C367" s="2" t="s">
        <v>479</v>
      </c>
      <c r="D367" s="2" t="str">
        <f>TEXT(Table1[[#This Row],[Order Date]],"mmmm")</f>
        <v>August</v>
      </c>
      <c r="E367" s="2" t="s">
        <v>135</v>
      </c>
      <c r="F367" s="2">
        <v>1</v>
      </c>
      <c r="G367" s="5">
        <v>0.1</v>
      </c>
      <c r="H367" s="2" t="s">
        <v>25</v>
      </c>
      <c r="I367" s="2" t="s">
        <v>31</v>
      </c>
      <c r="J367" s="2" t="s">
        <v>21</v>
      </c>
      <c r="K367">
        <f>VLOOKUP(E367,Products!$A$2:$E$23,5,0)</f>
        <v>220</v>
      </c>
      <c r="L367">
        <f>VLOOKUP(E367,Products!$A$2:$E$23,4,0)</f>
        <v>120</v>
      </c>
      <c r="M367" s="2">
        <f>K367*F367-Table1[[#This Row],[discount_amount]]</f>
        <v>198</v>
      </c>
      <c r="N367">
        <f t="shared" si="11"/>
        <v>120</v>
      </c>
      <c r="O367">
        <f t="shared" si="10"/>
        <v>78</v>
      </c>
      <c r="P367">
        <f>Table1[[#This Row],[Quantity]]*Table1[[#This Row],[unit_price]]*Table1[[#This Row],[Discount]]</f>
        <v>22</v>
      </c>
      <c r="Q367" t="str">
        <f>VLOOKUP(E367,Products!$A$2:$E$23,2,0)</f>
        <v>Stapler</v>
      </c>
      <c r="R367" t="str">
        <f>VLOOKUP(Table1[[#This Row],[Product ID]],Products!$A$2:$E$23,3,0)</f>
        <v>Office Supplies</v>
      </c>
      <c r="S367" t="str">
        <f>VLOOKUP(C367,Customers!$A$2:$F$201,4,0)</f>
        <v>Telangana</v>
      </c>
      <c r="T367" t="str">
        <f>VLOOKUP(Table1[[#This Row],[Customer ID]],Customers!$A$2:$F$201,5,0)</f>
        <v>South</v>
      </c>
      <c r="U367" t="str">
        <f>VLOOKUP(Table1[[#This Row],[Customer ID]],Customers!$A$2:$F$201,6,0)</f>
        <v>Consumer</v>
      </c>
      <c r="V367" t="str">
        <f>TEXT(Table1[[#This Row],[Order Date]],"MMM")</f>
        <v>Aug</v>
      </c>
      <c r="W367" t="str">
        <f>TEXT(Table1[[#This Row],[Order Date]],"yyyy")</f>
        <v>2024</v>
      </c>
    </row>
    <row r="368" spans="1:23" x14ac:dyDescent="0.25">
      <c r="A368" s="2" t="s">
        <v>581</v>
      </c>
      <c r="B368" s="4">
        <v>45527</v>
      </c>
      <c r="C368" s="2" t="s">
        <v>582</v>
      </c>
      <c r="D368" s="2" t="str">
        <f>TEXT(Table1[[#This Row],[Order Date]],"mmmm")</f>
        <v>August</v>
      </c>
      <c r="E368" s="2" t="s">
        <v>60</v>
      </c>
      <c r="F368" s="2">
        <v>6</v>
      </c>
      <c r="G368" s="5">
        <v>0</v>
      </c>
      <c r="H368" s="2" t="s">
        <v>25</v>
      </c>
      <c r="I368" s="2" t="s">
        <v>20</v>
      </c>
      <c r="J368" s="2" t="s">
        <v>21</v>
      </c>
      <c r="K368">
        <f>VLOOKUP(E368,Products!$A$2:$E$23,5,0)</f>
        <v>449</v>
      </c>
      <c r="L368">
        <f>VLOOKUP(E368,Products!$A$2:$E$23,4,0)</f>
        <v>260</v>
      </c>
      <c r="M368" s="2">
        <f>K368*F368-Table1[[#This Row],[discount_amount]]</f>
        <v>2694</v>
      </c>
      <c r="N368">
        <f t="shared" si="11"/>
        <v>1560</v>
      </c>
      <c r="O368">
        <f t="shared" si="10"/>
        <v>1134</v>
      </c>
      <c r="P368">
        <f>Table1[[#This Row],[Quantity]]*Table1[[#This Row],[unit_price]]*Table1[[#This Row],[Discount]]</f>
        <v>0</v>
      </c>
      <c r="Q368" t="str">
        <f>VLOOKUP(E368,Products!$A$2:$E$23,2,0)</f>
        <v>Desk Organizer</v>
      </c>
      <c r="R368" t="str">
        <f>VLOOKUP(Table1[[#This Row],[Product ID]],Products!$A$2:$E$23,3,0)</f>
        <v>Office Supplies</v>
      </c>
      <c r="S368" t="str">
        <f>VLOOKUP(C368,Customers!$A$2:$F$201,4,0)</f>
        <v>Bihar</v>
      </c>
      <c r="T368" t="str">
        <f>VLOOKUP(Table1[[#This Row],[Customer ID]],Customers!$A$2:$F$201,5,0)</f>
        <v>East</v>
      </c>
      <c r="U368" t="str">
        <f>VLOOKUP(Table1[[#This Row],[Customer ID]],Customers!$A$2:$F$201,6,0)</f>
        <v>Corporate</v>
      </c>
      <c r="V368" t="str">
        <f>TEXT(Table1[[#This Row],[Order Date]],"MMM")</f>
        <v>Aug</v>
      </c>
      <c r="W368" t="str">
        <f>TEXT(Table1[[#This Row],[Order Date]],"yyyy")</f>
        <v>2024</v>
      </c>
    </row>
    <row r="369" spans="1:23" x14ac:dyDescent="0.25">
      <c r="A369" s="2" t="s">
        <v>583</v>
      </c>
      <c r="B369" s="4">
        <v>45529</v>
      </c>
      <c r="C369" s="2" t="s">
        <v>148</v>
      </c>
      <c r="D369" s="2" t="str">
        <f>TEXT(Table1[[#This Row],[Order Date]],"mmmm")</f>
        <v>August</v>
      </c>
      <c r="E369" s="2" t="s">
        <v>91</v>
      </c>
      <c r="F369" s="2">
        <v>10</v>
      </c>
      <c r="G369" s="5">
        <v>0.1</v>
      </c>
      <c r="H369" s="2" t="s">
        <v>25</v>
      </c>
      <c r="I369" s="2" t="s">
        <v>31</v>
      </c>
      <c r="J369" s="2" t="s">
        <v>79</v>
      </c>
      <c r="K369">
        <f>VLOOKUP(E369,Products!$A$2:$E$23,5,0)</f>
        <v>1199</v>
      </c>
      <c r="L369">
        <f>VLOOKUP(E369,Products!$A$2:$E$23,4,0)</f>
        <v>600</v>
      </c>
      <c r="M369" s="2">
        <f>K369*F369-Table1[[#This Row],[discount_amount]]</f>
        <v>10791</v>
      </c>
      <c r="N369">
        <f t="shared" si="11"/>
        <v>6000</v>
      </c>
      <c r="O369">
        <f t="shared" si="10"/>
        <v>4791</v>
      </c>
      <c r="P369">
        <f>Table1[[#This Row],[Quantity]]*Table1[[#This Row],[unit_price]]*Table1[[#This Row],[Discount]]</f>
        <v>1199</v>
      </c>
      <c r="Q369" t="str">
        <f>VLOOKUP(E369,Products!$A$2:$E$23,2,0)</f>
        <v>Formal Shirt</v>
      </c>
      <c r="R369" t="str">
        <f>VLOOKUP(Table1[[#This Row],[Product ID]],Products!$A$2:$E$23,3,0)</f>
        <v>Clothing</v>
      </c>
      <c r="S369" t="str">
        <f>VLOOKUP(C369,Customers!$A$2:$F$201,4,0)</f>
        <v>Uttar Pradesh</v>
      </c>
      <c r="T369" t="str">
        <f>VLOOKUP(Table1[[#This Row],[Customer ID]],Customers!$A$2:$F$201,5,0)</f>
        <v>North</v>
      </c>
      <c r="U369" t="str">
        <f>VLOOKUP(Table1[[#This Row],[Customer ID]],Customers!$A$2:$F$201,6,0)</f>
        <v>Corporate</v>
      </c>
      <c r="V369" t="str">
        <f>TEXT(Table1[[#This Row],[Order Date]],"MMM")</f>
        <v>Aug</v>
      </c>
      <c r="W369" t="str">
        <f>TEXT(Table1[[#This Row],[Order Date]],"yyyy")</f>
        <v>2024</v>
      </c>
    </row>
    <row r="370" spans="1:23" x14ac:dyDescent="0.25">
      <c r="A370" s="2" t="s">
        <v>584</v>
      </c>
      <c r="B370" s="4">
        <v>45529</v>
      </c>
      <c r="C370" s="2" t="s">
        <v>453</v>
      </c>
      <c r="D370" s="2" t="str">
        <f>TEXT(Table1[[#This Row],[Order Date]],"mmmm")</f>
        <v>August</v>
      </c>
      <c r="E370" s="2" t="s">
        <v>82</v>
      </c>
      <c r="F370" s="2">
        <v>2</v>
      </c>
      <c r="G370" s="5">
        <v>0</v>
      </c>
      <c r="H370" s="2" t="s">
        <v>25</v>
      </c>
      <c r="I370" s="2" t="s">
        <v>26</v>
      </c>
      <c r="J370" s="2" t="s">
        <v>21</v>
      </c>
      <c r="K370">
        <f>VLOOKUP(E370,Products!$A$2:$E$23,5,0)</f>
        <v>1799</v>
      </c>
      <c r="L370">
        <f>VLOOKUP(E370,Products!$A$2:$E$23,4,0)</f>
        <v>1100</v>
      </c>
      <c r="M370" s="2">
        <f>K370*F370-Table1[[#This Row],[discount_amount]]</f>
        <v>3598</v>
      </c>
      <c r="N370">
        <f t="shared" si="11"/>
        <v>2200</v>
      </c>
      <c r="O370">
        <f t="shared" si="10"/>
        <v>1398</v>
      </c>
      <c r="P370">
        <f>Table1[[#This Row],[Quantity]]*Table1[[#This Row],[unit_price]]*Table1[[#This Row],[Discount]]</f>
        <v>0</v>
      </c>
      <c r="Q370" t="str">
        <f>VLOOKUP(E370,Products!$A$2:$E$23,2,0)</f>
        <v>Webcam HD</v>
      </c>
      <c r="R370" t="str">
        <f>VLOOKUP(Table1[[#This Row],[Product ID]],Products!$A$2:$E$23,3,0)</f>
        <v>Electronics</v>
      </c>
      <c r="S370" t="str">
        <f>VLOOKUP(C370,Customers!$A$2:$F$201,4,0)</f>
        <v>Chandigarh</v>
      </c>
      <c r="T370" t="str">
        <f>VLOOKUP(Table1[[#This Row],[Customer ID]],Customers!$A$2:$F$201,5,0)</f>
        <v>North</v>
      </c>
      <c r="U370" t="str">
        <f>VLOOKUP(Table1[[#This Row],[Customer ID]],Customers!$A$2:$F$201,6,0)</f>
        <v>Home Office</v>
      </c>
      <c r="V370" t="str">
        <f>TEXT(Table1[[#This Row],[Order Date]],"MMM")</f>
        <v>Aug</v>
      </c>
      <c r="W370" t="str">
        <f>TEXT(Table1[[#This Row],[Order Date]],"yyyy")</f>
        <v>2024</v>
      </c>
    </row>
    <row r="371" spans="1:23" x14ac:dyDescent="0.25">
      <c r="A371" s="2" t="s">
        <v>585</v>
      </c>
      <c r="B371" s="4">
        <v>45530</v>
      </c>
      <c r="C371" s="2" t="s">
        <v>51</v>
      </c>
      <c r="D371" s="2" t="str">
        <f>TEXT(Table1[[#This Row],[Order Date]],"mmmm")</f>
        <v>August</v>
      </c>
      <c r="E371" s="2" t="s">
        <v>60</v>
      </c>
      <c r="F371" s="2">
        <v>5</v>
      </c>
      <c r="G371" s="5">
        <v>0.2</v>
      </c>
      <c r="H371" s="2" t="s">
        <v>30</v>
      </c>
      <c r="I371" s="2" t="s">
        <v>26</v>
      </c>
      <c r="J371" s="2" t="s">
        <v>79</v>
      </c>
      <c r="K371">
        <f>VLOOKUP(E371,Products!$A$2:$E$23,5,0)</f>
        <v>449</v>
      </c>
      <c r="L371">
        <f>VLOOKUP(E371,Products!$A$2:$E$23,4,0)</f>
        <v>260</v>
      </c>
      <c r="M371" s="2">
        <f>K371*F371-Table1[[#This Row],[discount_amount]]</f>
        <v>1796</v>
      </c>
      <c r="N371">
        <f t="shared" si="11"/>
        <v>1300</v>
      </c>
      <c r="O371">
        <f t="shared" si="10"/>
        <v>496</v>
      </c>
      <c r="P371">
        <f>Table1[[#This Row],[Quantity]]*Table1[[#This Row],[unit_price]]*Table1[[#This Row],[Discount]]</f>
        <v>449</v>
      </c>
      <c r="Q371" t="str">
        <f>VLOOKUP(E371,Products!$A$2:$E$23,2,0)</f>
        <v>Desk Organizer</v>
      </c>
      <c r="R371" t="str">
        <f>VLOOKUP(Table1[[#This Row],[Product ID]],Products!$A$2:$E$23,3,0)</f>
        <v>Office Supplies</v>
      </c>
      <c r="S371" t="str">
        <f>VLOOKUP(C371,Customers!$A$2:$F$201,4,0)</f>
        <v>Kerala</v>
      </c>
      <c r="T371" t="str">
        <f>VLOOKUP(Table1[[#This Row],[Customer ID]],Customers!$A$2:$F$201,5,0)</f>
        <v>South</v>
      </c>
      <c r="U371" t="str">
        <f>VLOOKUP(Table1[[#This Row],[Customer ID]],Customers!$A$2:$F$201,6,0)</f>
        <v>Consumer</v>
      </c>
      <c r="V371" t="str">
        <f>TEXT(Table1[[#This Row],[Order Date]],"MMM")</f>
        <v>Aug</v>
      </c>
      <c r="W371" t="str">
        <f>TEXT(Table1[[#This Row],[Order Date]],"yyyy")</f>
        <v>2024</v>
      </c>
    </row>
    <row r="372" spans="1:23" x14ac:dyDescent="0.25">
      <c r="A372" s="2" t="s">
        <v>586</v>
      </c>
      <c r="B372" s="4">
        <v>45531</v>
      </c>
      <c r="C372" s="2" t="s">
        <v>587</v>
      </c>
      <c r="D372" s="2" t="str">
        <f>TEXT(Table1[[#This Row],[Order Date]],"mmmm")</f>
        <v>August</v>
      </c>
      <c r="E372" s="2" t="s">
        <v>118</v>
      </c>
      <c r="F372" s="2">
        <v>3</v>
      </c>
      <c r="G372" s="5">
        <v>0.05</v>
      </c>
      <c r="H372" s="2" t="s">
        <v>19</v>
      </c>
      <c r="I372" s="2" t="s">
        <v>31</v>
      </c>
      <c r="J372" s="2" t="s">
        <v>21</v>
      </c>
      <c r="K372">
        <f>VLOOKUP(E372,Products!$A$2:$E$23,5,0)</f>
        <v>150</v>
      </c>
      <c r="L372">
        <f>VLOOKUP(E372,Products!$A$2:$E$23,4,0)</f>
        <v>90</v>
      </c>
      <c r="M372" s="2">
        <f>K372*F372-Table1[[#This Row],[discount_amount]]</f>
        <v>427.5</v>
      </c>
      <c r="N372">
        <f t="shared" si="11"/>
        <v>270</v>
      </c>
      <c r="O372">
        <f t="shared" si="10"/>
        <v>157.5</v>
      </c>
      <c r="P372">
        <f>Table1[[#This Row],[Quantity]]*Table1[[#This Row],[unit_price]]*Table1[[#This Row],[Discount]]</f>
        <v>22.5</v>
      </c>
      <c r="Q372" t="str">
        <f>VLOOKUP(E372,Products!$A$2:$E$23,2,0)</f>
        <v>Gel Pen Box</v>
      </c>
      <c r="R372" t="str">
        <f>VLOOKUP(Table1[[#This Row],[Product ID]],Products!$A$2:$E$23,3,0)</f>
        <v>Office Supplies</v>
      </c>
      <c r="S372" t="str">
        <f>VLOOKUP(C372,Customers!$A$2:$F$201,4,0)</f>
        <v>Karnataka</v>
      </c>
      <c r="T372" t="str">
        <f>VLOOKUP(Table1[[#This Row],[Customer ID]],Customers!$A$2:$F$201,5,0)</f>
        <v>South</v>
      </c>
      <c r="U372" t="str">
        <f>VLOOKUP(Table1[[#This Row],[Customer ID]],Customers!$A$2:$F$201,6,0)</f>
        <v>Corporate</v>
      </c>
      <c r="V372" t="str">
        <f>TEXT(Table1[[#This Row],[Order Date]],"MMM")</f>
        <v>Aug</v>
      </c>
      <c r="W372" t="str">
        <f>TEXT(Table1[[#This Row],[Order Date]],"yyyy")</f>
        <v>2024</v>
      </c>
    </row>
    <row r="373" spans="1:23" x14ac:dyDescent="0.25">
      <c r="A373" s="2" t="s">
        <v>588</v>
      </c>
      <c r="B373" s="4">
        <v>45531</v>
      </c>
      <c r="C373" s="2" t="s">
        <v>171</v>
      </c>
      <c r="D373" s="2" t="str">
        <f>TEXT(Table1[[#This Row],[Order Date]],"mmmm")</f>
        <v>August</v>
      </c>
      <c r="E373" s="2" t="s">
        <v>60</v>
      </c>
      <c r="F373" s="2">
        <v>10</v>
      </c>
      <c r="G373" s="5">
        <v>0.15</v>
      </c>
      <c r="H373" s="2" t="s">
        <v>25</v>
      </c>
      <c r="I373" s="2" t="s">
        <v>46</v>
      </c>
      <c r="J373" s="2" t="s">
        <v>21</v>
      </c>
      <c r="K373">
        <f>VLOOKUP(E373,Products!$A$2:$E$23,5,0)</f>
        <v>449</v>
      </c>
      <c r="L373">
        <f>VLOOKUP(E373,Products!$A$2:$E$23,4,0)</f>
        <v>260</v>
      </c>
      <c r="M373" s="2">
        <f>K373*F373-Table1[[#This Row],[discount_amount]]</f>
        <v>3816.5</v>
      </c>
      <c r="N373">
        <f t="shared" si="11"/>
        <v>2600</v>
      </c>
      <c r="O373">
        <f t="shared" si="10"/>
        <v>1216.5</v>
      </c>
      <c r="P373">
        <f>Table1[[#This Row],[Quantity]]*Table1[[#This Row],[unit_price]]*Table1[[#This Row],[Discount]]</f>
        <v>673.5</v>
      </c>
      <c r="Q373" t="str">
        <f>VLOOKUP(E373,Products!$A$2:$E$23,2,0)</f>
        <v>Desk Organizer</v>
      </c>
      <c r="R373" t="str">
        <f>VLOOKUP(Table1[[#This Row],[Product ID]],Products!$A$2:$E$23,3,0)</f>
        <v>Office Supplies</v>
      </c>
      <c r="S373" t="str">
        <f>VLOOKUP(C373,Customers!$A$2:$F$201,4,0)</f>
        <v>Delhi</v>
      </c>
      <c r="T373" t="str">
        <f>VLOOKUP(Table1[[#This Row],[Customer ID]],Customers!$A$2:$F$201,5,0)</f>
        <v>North</v>
      </c>
      <c r="U373" t="str">
        <f>VLOOKUP(Table1[[#This Row],[Customer ID]],Customers!$A$2:$F$201,6,0)</f>
        <v>Consumer</v>
      </c>
      <c r="V373" t="str">
        <f>TEXT(Table1[[#This Row],[Order Date]],"MMM")</f>
        <v>Aug</v>
      </c>
      <c r="W373" t="str">
        <f>TEXT(Table1[[#This Row],[Order Date]],"yyyy")</f>
        <v>2024</v>
      </c>
    </row>
    <row r="374" spans="1:23" x14ac:dyDescent="0.25">
      <c r="A374" s="2" t="s">
        <v>589</v>
      </c>
      <c r="B374" s="4">
        <v>45531</v>
      </c>
      <c r="C374" s="2" t="s">
        <v>96</v>
      </c>
      <c r="D374" s="2" t="str">
        <f>TEXT(Table1[[#This Row],[Order Date]],"mmmm")</f>
        <v>August</v>
      </c>
      <c r="E374" s="2" t="s">
        <v>63</v>
      </c>
      <c r="F374" s="2">
        <v>3</v>
      </c>
      <c r="G374" s="5">
        <v>0.1</v>
      </c>
      <c r="H374" s="2" t="s">
        <v>30</v>
      </c>
      <c r="I374" s="2" t="s">
        <v>46</v>
      </c>
      <c r="J374" s="2" t="s">
        <v>94</v>
      </c>
      <c r="K374">
        <f>VLOOKUP(E374,Products!$A$2:$E$23,5,0)</f>
        <v>5499</v>
      </c>
      <c r="L374">
        <f>VLOOKUP(E374,Products!$A$2:$E$23,4,0)</f>
        <v>3500</v>
      </c>
      <c r="M374" s="2">
        <f>K374*F374-Table1[[#This Row],[discount_amount]]</f>
        <v>14847.3</v>
      </c>
      <c r="N374">
        <f t="shared" si="11"/>
        <v>10500</v>
      </c>
      <c r="O374">
        <f t="shared" si="10"/>
        <v>4347.2999999999993</v>
      </c>
      <c r="P374">
        <f>Table1[[#This Row],[Quantity]]*Table1[[#This Row],[unit_price]]*Table1[[#This Row],[Discount]]</f>
        <v>1649.7</v>
      </c>
      <c r="Q374" t="str">
        <f>VLOOKUP(E374,Products!$A$2:$E$23,2,0)</f>
        <v>Office Chair</v>
      </c>
      <c r="R374" t="str">
        <f>VLOOKUP(Table1[[#This Row],[Product ID]],Products!$A$2:$E$23,3,0)</f>
        <v>Furniture</v>
      </c>
      <c r="S374" t="str">
        <f>VLOOKUP(C374,Customers!$A$2:$F$201,4,0)</f>
        <v>Odisha</v>
      </c>
      <c r="T374" t="str">
        <f>VLOOKUP(Table1[[#This Row],[Customer ID]],Customers!$A$2:$F$201,5,0)</f>
        <v>East</v>
      </c>
      <c r="U374" t="str">
        <f>VLOOKUP(Table1[[#This Row],[Customer ID]],Customers!$A$2:$F$201,6,0)</f>
        <v>Consumer</v>
      </c>
      <c r="V374" t="str">
        <f>TEXT(Table1[[#This Row],[Order Date]],"MMM")</f>
        <v>Aug</v>
      </c>
      <c r="W374" t="str">
        <f>TEXT(Table1[[#This Row],[Order Date]],"yyyy")</f>
        <v>2024</v>
      </c>
    </row>
    <row r="375" spans="1:23" x14ac:dyDescent="0.25">
      <c r="A375" s="2" t="s">
        <v>590</v>
      </c>
      <c r="B375" s="4">
        <v>45531</v>
      </c>
      <c r="C375" s="2" t="s">
        <v>591</v>
      </c>
      <c r="D375" s="2" t="str">
        <f>TEXT(Table1[[#This Row],[Order Date]],"mmmm")</f>
        <v>August</v>
      </c>
      <c r="E375" s="2" t="s">
        <v>60</v>
      </c>
      <c r="F375" s="2">
        <v>4</v>
      </c>
      <c r="G375" s="5">
        <v>0.1</v>
      </c>
      <c r="H375" s="2" t="s">
        <v>25</v>
      </c>
      <c r="I375" s="2" t="s">
        <v>20</v>
      </c>
      <c r="J375" s="2" t="s">
        <v>21</v>
      </c>
      <c r="K375">
        <f>VLOOKUP(E375,Products!$A$2:$E$23,5,0)</f>
        <v>449</v>
      </c>
      <c r="L375">
        <f>VLOOKUP(E375,Products!$A$2:$E$23,4,0)</f>
        <v>260</v>
      </c>
      <c r="M375" s="2">
        <f>K375*F375-Table1[[#This Row],[discount_amount]]</f>
        <v>1616.4</v>
      </c>
      <c r="N375">
        <f t="shared" si="11"/>
        <v>1040</v>
      </c>
      <c r="O375">
        <f t="shared" si="10"/>
        <v>576.40000000000009</v>
      </c>
      <c r="P375">
        <f>Table1[[#This Row],[Quantity]]*Table1[[#This Row],[unit_price]]*Table1[[#This Row],[Discount]]</f>
        <v>179.60000000000002</v>
      </c>
      <c r="Q375" t="str">
        <f>VLOOKUP(E375,Products!$A$2:$E$23,2,0)</f>
        <v>Desk Organizer</v>
      </c>
      <c r="R375" t="str">
        <f>VLOOKUP(Table1[[#This Row],[Product ID]],Products!$A$2:$E$23,3,0)</f>
        <v>Office Supplies</v>
      </c>
      <c r="S375" t="str">
        <f>VLOOKUP(C375,Customers!$A$2:$F$201,4,0)</f>
        <v>West Bengal</v>
      </c>
      <c r="T375" t="str">
        <f>VLOOKUP(Table1[[#This Row],[Customer ID]],Customers!$A$2:$F$201,5,0)</f>
        <v>East</v>
      </c>
      <c r="U375" t="str">
        <f>VLOOKUP(Table1[[#This Row],[Customer ID]],Customers!$A$2:$F$201,6,0)</f>
        <v>Corporate</v>
      </c>
      <c r="V375" t="str">
        <f>TEXT(Table1[[#This Row],[Order Date]],"MMM")</f>
        <v>Aug</v>
      </c>
      <c r="W375" t="str">
        <f>TEXT(Table1[[#This Row],[Order Date]],"yyyy")</f>
        <v>2024</v>
      </c>
    </row>
    <row r="376" spans="1:23" x14ac:dyDescent="0.25">
      <c r="A376" s="2" t="s">
        <v>592</v>
      </c>
      <c r="B376" s="4">
        <v>45532</v>
      </c>
      <c r="C376" s="2" t="s">
        <v>154</v>
      </c>
      <c r="D376" s="2" t="str">
        <f>TEXT(Table1[[#This Row],[Order Date]],"mmmm")</f>
        <v>August</v>
      </c>
      <c r="E376" s="2" t="s">
        <v>91</v>
      </c>
      <c r="F376" s="2">
        <v>5</v>
      </c>
      <c r="G376" s="5">
        <v>0.1</v>
      </c>
      <c r="H376" s="2" t="s">
        <v>25</v>
      </c>
      <c r="I376" s="2" t="s">
        <v>26</v>
      </c>
      <c r="J376" s="2" t="s">
        <v>79</v>
      </c>
      <c r="K376">
        <f>VLOOKUP(E376,Products!$A$2:$E$23,5,0)</f>
        <v>1199</v>
      </c>
      <c r="L376">
        <f>VLOOKUP(E376,Products!$A$2:$E$23,4,0)</f>
        <v>600</v>
      </c>
      <c r="M376" s="2">
        <f>K376*F376-Table1[[#This Row],[discount_amount]]</f>
        <v>5395.5</v>
      </c>
      <c r="N376">
        <f t="shared" si="11"/>
        <v>3000</v>
      </c>
      <c r="O376">
        <f t="shared" si="10"/>
        <v>2395.5</v>
      </c>
      <c r="P376">
        <f>Table1[[#This Row],[Quantity]]*Table1[[#This Row],[unit_price]]*Table1[[#This Row],[Discount]]</f>
        <v>599.5</v>
      </c>
      <c r="Q376" t="str">
        <f>VLOOKUP(E376,Products!$A$2:$E$23,2,0)</f>
        <v>Formal Shirt</v>
      </c>
      <c r="R376" t="str">
        <f>VLOOKUP(Table1[[#This Row],[Product ID]],Products!$A$2:$E$23,3,0)</f>
        <v>Clothing</v>
      </c>
      <c r="S376" t="str">
        <f>VLOOKUP(C376,Customers!$A$2:$F$201,4,0)</f>
        <v>Telangana</v>
      </c>
      <c r="T376" t="str">
        <f>VLOOKUP(Table1[[#This Row],[Customer ID]],Customers!$A$2:$F$201,5,0)</f>
        <v>South</v>
      </c>
      <c r="U376" t="str">
        <f>VLOOKUP(Table1[[#This Row],[Customer ID]],Customers!$A$2:$F$201,6,0)</f>
        <v>Consumer</v>
      </c>
      <c r="V376" t="str">
        <f>TEXT(Table1[[#This Row],[Order Date]],"MMM")</f>
        <v>Aug</v>
      </c>
      <c r="W376" t="str">
        <f>TEXT(Table1[[#This Row],[Order Date]],"yyyy")</f>
        <v>2024</v>
      </c>
    </row>
    <row r="377" spans="1:23" x14ac:dyDescent="0.25">
      <c r="A377" s="2" t="s">
        <v>593</v>
      </c>
      <c r="B377" s="4">
        <v>45532</v>
      </c>
      <c r="C377" s="2" t="s">
        <v>381</v>
      </c>
      <c r="D377" s="2" t="str">
        <f>TEXT(Table1[[#This Row],[Order Date]],"mmmm")</f>
        <v>August</v>
      </c>
      <c r="E377" s="2" t="s">
        <v>135</v>
      </c>
      <c r="F377" s="2">
        <v>10</v>
      </c>
      <c r="G377" s="5">
        <v>0</v>
      </c>
      <c r="H377" s="2" t="s">
        <v>30</v>
      </c>
      <c r="I377" s="2" t="s">
        <v>38</v>
      </c>
      <c r="J377" s="2" t="s">
        <v>21</v>
      </c>
      <c r="K377">
        <f>VLOOKUP(E377,Products!$A$2:$E$23,5,0)</f>
        <v>220</v>
      </c>
      <c r="L377">
        <f>VLOOKUP(E377,Products!$A$2:$E$23,4,0)</f>
        <v>120</v>
      </c>
      <c r="M377" s="2">
        <f>K377*F377-Table1[[#This Row],[discount_amount]]</f>
        <v>2200</v>
      </c>
      <c r="N377">
        <f t="shared" si="11"/>
        <v>1200</v>
      </c>
      <c r="O377">
        <f t="shared" si="10"/>
        <v>1000</v>
      </c>
      <c r="P377">
        <f>Table1[[#This Row],[Quantity]]*Table1[[#This Row],[unit_price]]*Table1[[#This Row],[Discount]]</f>
        <v>0</v>
      </c>
      <c r="Q377" t="str">
        <f>VLOOKUP(E377,Products!$A$2:$E$23,2,0)</f>
        <v>Stapler</v>
      </c>
      <c r="R377" t="str">
        <f>VLOOKUP(Table1[[#This Row],[Product ID]],Products!$A$2:$E$23,3,0)</f>
        <v>Office Supplies</v>
      </c>
      <c r="S377" t="str">
        <f>VLOOKUP(C377,Customers!$A$2:$F$201,4,0)</f>
        <v>Gujarat</v>
      </c>
      <c r="T377" t="str">
        <f>VLOOKUP(Table1[[#This Row],[Customer ID]],Customers!$A$2:$F$201,5,0)</f>
        <v>West</v>
      </c>
      <c r="U377" t="str">
        <f>VLOOKUP(Table1[[#This Row],[Customer ID]],Customers!$A$2:$F$201,6,0)</f>
        <v>Consumer</v>
      </c>
      <c r="V377" t="str">
        <f>TEXT(Table1[[#This Row],[Order Date]],"MMM")</f>
        <v>Aug</v>
      </c>
      <c r="W377" t="str">
        <f>TEXT(Table1[[#This Row],[Order Date]],"yyyy")</f>
        <v>2024</v>
      </c>
    </row>
    <row r="378" spans="1:23" x14ac:dyDescent="0.25">
      <c r="A378" s="2" t="s">
        <v>594</v>
      </c>
      <c r="B378" s="4">
        <v>45533</v>
      </c>
      <c r="C378" s="2" t="s">
        <v>272</v>
      </c>
      <c r="D378" s="2" t="str">
        <f>TEXT(Table1[[#This Row],[Order Date]],"mmmm")</f>
        <v>August</v>
      </c>
      <c r="E378" s="2" t="s">
        <v>63</v>
      </c>
      <c r="F378" s="2">
        <v>2</v>
      </c>
      <c r="G378" s="5">
        <v>0.2</v>
      </c>
      <c r="H378" s="2" t="s">
        <v>30</v>
      </c>
      <c r="I378" s="2" t="s">
        <v>38</v>
      </c>
      <c r="J378" s="2" t="s">
        <v>21</v>
      </c>
      <c r="K378">
        <f>VLOOKUP(E378,Products!$A$2:$E$23,5,0)</f>
        <v>5499</v>
      </c>
      <c r="L378">
        <f>VLOOKUP(E378,Products!$A$2:$E$23,4,0)</f>
        <v>3500</v>
      </c>
      <c r="M378" s="2">
        <f>K378*F378-Table1[[#This Row],[discount_amount]]</f>
        <v>8798.4</v>
      </c>
      <c r="N378">
        <f t="shared" si="11"/>
        <v>7000</v>
      </c>
      <c r="O378">
        <f t="shared" si="10"/>
        <v>1798.3999999999996</v>
      </c>
      <c r="P378">
        <f>Table1[[#This Row],[Quantity]]*Table1[[#This Row],[unit_price]]*Table1[[#This Row],[Discount]]</f>
        <v>2199.6</v>
      </c>
      <c r="Q378" t="str">
        <f>VLOOKUP(E378,Products!$A$2:$E$23,2,0)</f>
        <v>Office Chair</v>
      </c>
      <c r="R378" t="str">
        <f>VLOOKUP(Table1[[#This Row],[Product ID]],Products!$A$2:$E$23,3,0)</f>
        <v>Furniture</v>
      </c>
      <c r="S378" t="str">
        <f>VLOOKUP(C378,Customers!$A$2:$F$201,4,0)</f>
        <v>Gujarat</v>
      </c>
      <c r="T378" t="str">
        <f>VLOOKUP(Table1[[#This Row],[Customer ID]],Customers!$A$2:$F$201,5,0)</f>
        <v>West</v>
      </c>
      <c r="U378" t="str">
        <f>VLOOKUP(Table1[[#This Row],[Customer ID]],Customers!$A$2:$F$201,6,0)</f>
        <v>Consumer</v>
      </c>
      <c r="V378" t="str">
        <f>TEXT(Table1[[#This Row],[Order Date]],"MMM")</f>
        <v>Aug</v>
      </c>
      <c r="W378" t="str">
        <f>TEXT(Table1[[#This Row],[Order Date]],"yyyy")</f>
        <v>2024</v>
      </c>
    </row>
    <row r="379" spans="1:23" x14ac:dyDescent="0.25">
      <c r="A379" s="2" t="s">
        <v>595</v>
      </c>
      <c r="B379" s="4">
        <v>45533</v>
      </c>
      <c r="C379" s="2" t="s">
        <v>102</v>
      </c>
      <c r="D379" s="2" t="str">
        <f>TEXT(Table1[[#This Row],[Order Date]],"mmmm")</f>
        <v>August</v>
      </c>
      <c r="E379" s="2" t="s">
        <v>34</v>
      </c>
      <c r="F379" s="2">
        <v>10</v>
      </c>
      <c r="G379" s="5">
        <v>0</v>
      </c>
      <c r="H379" s="2" t="s">
        <v>30</v>
      </c>
      <c r="I379" s="2" t="s">
        <v>31</v>
      </c>
      <c r="J379" s="2" t="s">
        <v>21</v>
      </c>
      <c r="K379">
        <f>VLOOKUP(E379,Products!$A$2:$E$23,5,0)</f>
        <v>4599</v>
      </c>
      <c r="L379">
        <f>VLOOKUP(E379,Products!$A$2:$E$23,4,0)</f>
        <v>3000</v>
      </c>
      <c r="M379" s="2">
        <f>K379*F379-Table1[[#This Row],[discount_amount]]</f>
        <v>45990</v>
      </c>
      <c r="N379">
        <f t="shared" si="11"/>
        <v>30000</v>
      </c>
      <c r="O379">
        <f t="shared" si="10"/>
        <v>15990</v>
      </c>
      <c r="P379">
        <f>Table1[[#This Row],[Quantity]]*Table1[[#This Row],[unit_price]]*Table1[[#This Row],[Discount]]</f>
        <v>0</v>
      </c>
      <c r="Q379" t="str">
        <f>VLOOKUP(E379,Products!$A$2:$E$23,2,0)</f>
        <v>Filing Cabinet</v>
      </c>
      <c r="R379" t="str">
        <f>VLOOKUP(Table1[[#This Row],[Product ID]],Products!$A$2:$E$23,3,0)</f>
        <v>Furniture</v>
      </c>
      <c r="S379" t="str">
        <f>VLOOKUP(C379,Customers!$A$2:$F$201,4,0)</f>
        <v>Madhya Pradesh</v>
      </c>
      <c r="T379" t="str">
        <f>VLOOKUP(Table1[[#This Row],[Customer ID]],Customers!$A$2:$F$201,5,0)</f>
        <v>Central</v>
      </c>
      <c r="U379" t="str">
        <f>VLOOKUP(Table1[[#This Row],[Customer ID]],Customers!$A$2:$F$201,6,0)</f>
        <v>Consumer</v>
      </c>
      <c r="V379" t="str">
        <f>TEXT(Table1[[#This Row],[Order Date]],"MMM")</f>
        <v>Aug</v>
      </c>
      <c r="W379" t="str">
        <f>TEXT(Table1[[#This Row],[Order Date]],"yyyy")</f>
        <v>2024</v>
      </c>
    </row>
    <row r="380" spans="1:23" x14ac:dyDescent="0.25">
      <c r="A380" s="2" t="s">
        <v>596</v>
      </c>
      <c r="B380" s="4">
        <v>45533</v>
      </c>
      <c r="C380" s="2" t="s">
        <v>168</v>
      </c>
      <c r="D380" s="2" t="str">
        <f>TEXT(Table1[[#This Row],[Order Date]],"mmmm")</f>
        <v>August</v>
      </c>
      <c r="E380" s="2" t="s">
        <v>45</v>
      </c>
      <c r="F380" s="2">
        <v>10</v>
      </c>
      <c r="G380" s="5">
        <v>0.15</v>
      </c>
      <c r="H380" s="2" t="s">
        <v>25</v>
      </c>
      <c r="I380" s="2" t="s">
        <v>20</v>
      </c>
      <c r="J380" s="2" t="s">
        <v>21</v>
      </c>
      <c r="K380">
        <f>VLOOKUP(E380,Products!$A$2:$E$23,5,0)</f>
        <v>899</v>
      </c>
      <c r="L380">
        <f>VLOOKUP(E380,Products!$A$2:$E$23,4,0)</f>
        <v>450</v>
      </c>
      <c r="M380" s="2">
        <f>K380*F380-Table1[[#This Row],[discount_amount]]</f>
        <v>7641.5</v>
      </c>
      <c r="N380">
        <f t="shared" si="11"/>
        <v>4500</v>
      </c>
      <c r="O380">
        <f t="shared" si="10"/>
        <v>3141.5</v>
      </c>
      <c r="P380">
        <f>Table1[[#This Row],[Quantity]]*Table1[[#This Row],[unit_price]]*Table1[[#This Row],[Discount]]</f>
        <v>1348.5</v>
      </c>
      <c r="Q380" t="str">
        <f>VLOOKUP(E380,Products!$A$2:$E$23,2,0)</f>
        <v>Track Pants</v>
      </c>
      <c r="R380" t="str">
        <f>VLOOKUP(Table1[[#This Row],[Product ID]],Products!$A$2:$E$23,3,0)</f>
        <v>Clothing</v>
      </c>
      <c r="S380" t="str">
        <f>VLOOKUP(C380,Customers!$A$2:$F$201,4,0)</f>
        <v>Delhi</v>
      </c>
      <c r="T380" t="str">
        <f>VLOOKUP(Table1[[#This Row],[Customer ID]],Customers!$A$2:$F$201,5,0)</f>
        <v>North</v>
      </c>
      <c r="U380" t="str">
        <f>VLOOKUP(Table1[[#This Row],[Customer ID]],Customers!$A$2:$F$201,6,0)</f>
        <v>Corporate</v>
      </c>
      <c r="V380" t="str">
        <f>TEXT(Table1[[#This Row],[Order Date]],"MMM")</f>
        <v>Aug</v>
      </c>
      <c r="W380" t="str">
        <f>TEXT(Table1[[#This Row],[Order Date]],"yyyy")</f>
        <v>2024</v>
      </c>
    </row>
    <row r="381" spans="1:23" x14ac:dyDescent="0.25">
      <c r="A381" s="2" t="s">
        <v>597</v>
      </c>
      <c r="B381" s="4">
        <v>45534</v>
      </c>
      <c r="C381" s="2" t="s">
        <v>598</v>
      </c>
      <c r="D381" s="2" t="str">
        <f>TEXT(Table1[[#This Row],[Order Date]],"mmmm")</f>
        <v>August</v>
      </c>
      <c r="E381" s="2" t="s">
        <v>73</v>
      </c>
      <c r="F381" s="2">
        <v>3</v>
      </c>
      <c r="G381" s="5">
        <v>0.1</v>
      </c>
      <c r="H381" s="2" t="s">
        <v>19</v>
      </c>
      <c r="I381" s="2" t="s">
        <v>20</v>
      </c>
      <c r="J381" s="2" t="s">
        <v>21</v>
      </c>
      <c r="K381">
        <f>VLOOKUP(E381,Products!$A$2:$E$23,5,0)</f>
        <v>6499</v>
      </c>
      <c r="L381">
        <f>VLOOKUP(E381,Products!$A$2:$E$23,4,0)</f>
        <v>4200</v>
      </c>
      <c r="M381" s="2">
        <f>K381*F381-Table1[[#This Row],[discount_amount]]</f>
        <v>17547.3</v>
      </c>
      <c r="N381">
        <f t="shared" si="11"/>
        <v>12600</v>
      </c>
      <c r="O381">
        <f t="shared" si="10"/>
        <v>4947.2999999999993</v>
      </c>
      <c r="P381">
        <f>Table1[[#This Row],[Quantity]]*Table1[[#This Row],[unit_price]]*Table1[[#This Row],[Discount]]</f>
        <v>1949.7</v>
      </c>
      <c r="Q381" t="str">
        <f>VLOOKUP(E381,Products!$A$2:$E$23,2,0)</f>
        <v>Study Table</v>
      </c>
      <c r="R381" t="str">
        <f>VLOOKUP(Table1[[#This Row],[Product ID]],Products!$A$2:$E$23,3,0)</f>
        <v>Furniture</v>
      </c>
      <c r="S381" t="str">
        <f>VLOOKUP(C381,Customers!$A$2:$F$201,4,0)</f>
        <v>Odisha</v>
      </c>
      <c r="T381" t="str">
        <f>VLOOKUP(Table1[[#This Row],[Customer ID]],Customers!$A$2:$F$201,5,0)</f>
        <v>East</v>
      </c>
      <c r="U381" t="str">
        <f>VLOOKUP(Table1[[#This Row],[Customer ID]],Customers!$A$2:$F$201,6,0)</f>
        <v>Corporate</v>
      </c>
      <c r="V381" t="str">
        <f>TEXT(Table1[[#This Row],[Order Date]],"MMM")</f>
        <v>Aug</v>
      </c>
      <c r="W381" t="str">
        <f>TEXT(Table1[[#This Row],[Order Date]],"yyyy")</f>
        <v>2024</v>
      </c>
    </row>
    <row r="382" spans="1:23" x14ac:dyDescent="0.25">
      <c r="A382" s="2" t="s">
        <v>599</v>
      </c>
      <c r="B382" s="4">
        <v>45535</v>
      </c>
      <c r="C382" s="2" t="s">
        <v>421</v>
      </c>
      <c r="D382" s="2" t="str">
        <f>TEXT(Table1[[#This Row],[Order Date]],"mmmm")</f>
        <v>August</v>
      </c>
      <c r="E382" s="2" t="s">
        <v>135</v>
      </c>
      <c r="F382" s="2">
        <v>4</v>
      </c>
      <c r="G382" s="5">
        <v>0.2</v>
      </c>
      <c r="H382" s="2" t="s">
        <v>25</v>
      </c>
      <c r="I382" s="2" t="s">
        <v>26</v>
      </c>
      <c r="J382" s="2" t="s">
        <v>21</v>
      </c>
      <c r="K382">
        <f>VLOOKUP(E382,Products!$A$2:$E$23,5,0)</f>
        <v>220</v>
      </c>
      <c r="L382">
        <f>VLOOKUP(E382,Products!$A$2:$E$23,4,0)</f>
        <v>120</v>
      </c>
      <c r="M382" s="2">
        <f>K382*F382-Table1[[#This Row],[discount_amount]]</f>
        <v>704</v>
      </c>
      <c r="N382">
        <f t="shared" si="11"/>
        <v>480</v>
      </c>
      <c r="O382">
        <f t="shared" si="10"/>
        <v>224</v>
      </c>
      <c r="P382">
        <f>Table1[[#This Row],[Quantity]]*Table1[[#This Row],[unit_price]]*Table1[[#This Row],[Discount]]</f>
        <v>176</v>
      </c>
      <c r="Q382" t="str">
        <f>VLOOKUP(E382,Products!$A$2:$E$23,2,0)</f>
        <v>Stapler</v>
      </c>
      <c r="R382" t="str">
        <f>VLOOKUP(Table1[[#This Row],[Product ID]],Products!$A$2:$E$23,3,0)</f>
        <v>Office Supplies</v>
      </c>
      <c r="S382" t="str">
        <f>VLOOKUP(C382,Customers!$A$2:$F$201,4,0)</f>
        <v>Madhya Pradesh</v>
      </c>
      <c r="T382" t="str">
        <f>VLOOKUP(Table1[[#This Row],[Customer ID]],Customers!$A$2:$F$201,5,0)</f>
        <v>Central</v>
      </c>
      <c r="U382" t="str">
        <f>VLOOKUP(Table1[[#This Row],[Customer ID]],Customers!$A$2:$F$201,6,0)</f>
        <v>Consumer</v>
      </c>
      <c r="V382" t="str">
        <f>TEXT(Table1[[#This Row],[Order Date]],"MMM")</f>
        <v>Aug</v>
      </c>
      <c r="W382" t="str">
        <f>TEXT(Table1[[#This Row],[Order Date]],"yyyy")</f>
        <v>2024</v>
      </c>
    </row>
    <row r="383" spans="1:23" x14ac:dyDescent="0.25">
      <c r="A383" s="2" t="s">
        <v>600</v>
      </c>
      <c r="B383" s="4">
        <v>45535</v>
      </c>
      <c r="C383" s="2" t="s">
        <v>285</v>
      </c>
      <c r="D383" s="2" t="str">
        <f>TEXT(Table1[[#This Row],[Order Date]],"mmmm")</f>
        <v>August</v>
      </c>
      <c r="E383" s="2" t="s">
        <v>63</v>
      </c>
      <c r="F383" s="2">
        <v>6</v>
      </c>
      <c r="G383" s="5">
        <v>0.1</v>
      </c>
      <c r="H383" s="2" t="s">
        <v>25</v>
      </c>
      <c r="I383" s="2" t="s">
        <v>26</v>
      </c>
      <c r="J383" s="2" t="s">
        <v>79</v>
      </c>
      <c r="K383">
        <f>VLOOKUP(E383,Products!$A$2:$E$23,5,0)</f>
        <v>5499</v>
      </c>
      <c r="L383">
        <f>VLOOKUP(E383,Products!$A$2:$E$23,4,0)</f>
        <v>3500</v>
      </c>
      <c r="M383" s="2">
        <f>K383*F383-Table1[[#This Row],[discount_amount]]</f>
        <v>29694.6</v>
      </c>
      <c r="N383">
        <f t="shared" si="11"/>
        <v>21000</v>
      </c>
      <c r="O383">
        <f t="shared" si="10"/>
        <v>8694.5999999999985</v>
      </c>
      <c r="P383">
        <f>Table1[[#This Row],[Quantity]]*Table1[[#This Row],[unit_price]]*Table1[[#This Row],[Discount]]</f>
        <v>3299.4</v>
      </c>
      <c r="Q383" t="str">
        <f>VLOOKUP(E383,Products!$A$2:$E$23,2,0)</f>
        <v>Office Chair</v>
      </c>
      <c r="R383" t="str">
        <f>VLOOKUP(Table1[[#This Row],[Product ID]],Products!$A$2:$E$23,3,0)</f>
        <v>Furniture</v>
      </c>
      <c r="S383" t="str">
        <f>VLOOKUP(C383,Customers!$A$2:$F$201,4,0)</f>
        <v>Gujarat</v>
      </c>
      <c r="T383" t="str">
        <f>VLOOKUP(Table1[[#This Row],[Customer ID]],Customers!$A$2:$F$201,5,0)</f>
        <v>West</v>
      </c>
      <c r="U383" t="str">
        <f>VLOOKUP(Table1[[#This Row],[Customer ID]],Customers!$A$2:$F$201,6,0)</f>
        <v>Home Office</v>
      </c>
      <c r="V383" t="str">
        <f>TEXT(Table1[[#This Row],[Order Date]],"MMM")</f>
        <v>Aug</v>
      </c>
      <c r="W383" t="str">
        <f>TEXT(Table1[[#This Row],[Order Date]],"yyyy")</f>
        <v>2024</v>
      </c>
    </row>
    <row r="384" spans="1:23" x14ac:dyDescent="0.25">
      <c r="A384" s="2" t="s">
        <v>601</v>
      </c>
      <c r="B384" s="4">
        <v>45535</v>
      </c>
      <c r="C384" s="2" t="s">
        <v>383</v>
      </c>
      <c r="D384" s="2" t="str">
        <f>TEXT(Table1[[#This Row],[Order Date]],"mmmm")</f>
        <v>August</v>
      </c>
      <c r="E384" s="2" t="s">
        <v>91</v>
      </c>
      <c r="F384" s="2">
        <v>2</v>
      </c>
      <c r="G384" s="5">
        <v>0.1</v>
      </c>
      <c r="H384" s="2" t="s">
        <v>19</v>
      </c>
      <c r="I384" s="2" t="s">
        <v>20</v>
      </c>
      <c r="J384" s="2" t="s">
        <v>94</v>
      </c>
      <c r="K384">
        <f>VLOOKUP(E384,Products!$A$2:$E$23,5,0)</f>
        <v>1199</v>
      </c>
      <c r="L384">
        <f>VLOOKUP(E384,Products!$A$2:$E$23,4,0)</f>
        <v>600</v>
      </c>
      <c r="M384" s="2">
        <f>K384*F384-Table1[[#This Row],[discount_amount]]</f>
        <v>2158.1999999999998</v>
      </c>
      <c r="N384">
        <f t="shared" si="11"/>
        <v>1200</v>
      </c>
      <c r="O384">
        <f t="shared" si="10"/>
        <v>958.19999999999982</v>
      </c>
      <c r="P384">
        <f>Table1[[#This Row],[Quantity]]*Table1[[#This Row],[unit_price]]*Table1[[#This Row],[Discount]]</f>
        <v>239.8</v>
      </c>
      <c r="Q384" t="str">
        <f>VLOOKUP(E384,Products!$A$2:$E$23,2,0)</f>
        <v>Formal Shirt</v>
      </c>
      <c r="R384" t="str">
        <f>VLOOKUP(Table1[[#This Row],[Product ID]],Products!$A$2:$E$23,3,0)</f>
        <v>Clothing</v>
      </c>
      <c r="S384" t="str">
        <f>VLOOKUP(C384,Customers!$A$2:$F$201,4,0)</f>
        <v>Bihar</v>
      </c>
      <c r="T384" t="str">
        <f>VLOOKUP(Table1[[#This Row],[Customer ID]],Customers!$A$2:$F$201,5,0)</f>
        <v>East</v>
      </c>
      <c r="U384" t="str">
        <f>VLOOKUP(Table1[[#This Row],[Customer ID]],Customers!$A$2:$F$201,6,0)</f>
        <v>Home Office</v>
      </c>
      <c r="V384" t="str">
        <f>TEXT(Table1[[#This Row],[Order Date]],"MMM")</f>
        <v>Aug</v>
      </c>
      <c r="W384" t="str">
        <f>TEXT(Table1[[#This Row],[Order Date]],"yyyy")</f>
        <v>2024</v>
      </c>
    </row>
    <row r="385" spans="1:23" x14ac:dyDescent="0.25">
      <c r="A385" s="2" t="s">
        <v>602</v>
      </c>
      <c r="B385" s="4">
        <v>45536</v>
      </c>
      <c r="C385" s="2" t="s">
        <v>123</v>
      </c>
      <c r="D385" s="2" t="str">
        <f>TEXT(Table1[[#This Row],[Order Date]],"mmmm")</f>
        <v>September</v>
      </c>
      <c r="E385" s="2" t="s">
        <v>82</v>
      </c>
      <c r="F385" s="2">
        <v>1</v>
      </c>
      <c r="G385" s="5">
        <v>0</v>
      </c>
      <c r="H385" s="2" t="s">
        <v>25</v>
      </c>
      <c r="I385" s="2" t="s">
        <v>38</v>
      </c>
      <c r="J385" s="2" t="s">
        <v>21</v>
      </c>
      <c r="K385">
        <f>VLOOKUP(E385,Products!$A$2:$E$23,5,0)</f>
        <v>1799</v>
      </c>
      <c r="L385">
        <f>VLOOKUP(E385,Products!$A$2:$E$23,4,0)</f>
        <v>1100</v>
      </c>
      <c r="M385" s="2">
        <f>K385*F385-Table1[[#This Row],[discount_amount]]</f>
        <v>1799</v>
      </c>
      <c r="N385">
        <f t="shared" si="11"/>
        <v>1100</v>
      </c>
      <c r="O385">
        <f t="shared" si="10"/>
        <v>699</v>
      </c>
      <c r="P385">
        <f>Table1[[#This Row],[Quantity]]*Table1[[#This Row],[unit_price]]*Table1[[#This Row],[Discount]]</f>
        <v>0</v>
      </c>
      <c r="Q385" t="str">
        <f>VLOOKUP(E385,Products!$A$2:$E$23,2,0)</f>
        <v>Webcam HD</v>
      </c>
      <c r="R385" t="str">
        <f>VLOOKUP(Table1[[#This Row],[Product ID]],Products!$A$2:$E$23,3,0)</f>
        <v>Electronics</v>
      </c>
      <c r="S385" t="str">
        <f>VLOOKUP(C385,Customers!$A$2:$F$201,4,0)</f>
        <v>Uttar Pradesh</v>
      </c>
      <c r="T385" t="str">
        <f>VLOOKUP(Table1[[#This Row],[Customer ID]],Customers!$A$2:$F$201,5,0)</f>
        <v>North</v>
      </c>
      <c r="U385" t="str">
        <f>VLOOKUP(Table1[[#This Row],[Customer ID]],Customers!$A$2:$F$201,6,0)</f>
        <v>Consumer</v>
      </c>
      <c r="V385" t="str">
        <f>TEXT(Table1[[#This Row],[Order Date]],"MMM")</f>
        <v>Sep</v>
      </c>
      <c r="W385" t="str">
        <f>TEXT(Table1[[#This Row],[Order Date]],"yyyy")</f>
        <v>2024</v>
      </c>
    </row>
    <row r="386" spans="1:23" x14ac:dyDescent="0.25">
      <c r="A386" s="2" t="s">
        <v>603</v>
      </c>
      <c r="B386" s="4">
        <v>45536</v>
      </c>
      <c r="C386" s="2" t="s">
        <v>93</v>
      </c>
      <c r="D386" s="2" t="str">
        <f>TEXT(Table1[[#This Row],[Order Date]],"mmmm")</f>
        <v>September</v>
      </c>
      <c r="E386" s="2" t="s">
        <v>118</v>
      </c>
      <c r="F386" s="2">
        <v>5</v>
      </c>
      <c r="G386" s="5">
        <v>0</v>
      </c>
      <c r="H386" s="2" t="s">
        <v>30</v>
      </c>
      <c r="I386" s="2" t="s">
        <v>31</v>
      </c>
      <c r="J386" s="2" t="s">
        <v>21</v>
      </c>
      <c r="K386">
        <f>VLOOKUP(E386,Products!$A$2:$E$23,5,0)</f>
        <v>150</v>
      </c>
      <c r="L386">
        <f>VLOOKUP(E386,Products!$A$2:$E$23,4,0)</f>
        <v>90</v>
      </c>
      <c r="M386" s="2">
        <f>K386*F386-Table1[[#This Row],[discount_amount]]</f>
        <v>750</v>
      </c>
      <c r="N386">
        <f t="shared" si="11"/>
        <v>450</v>
      </c>
      <c r="O386">
        <f t="shared" ref="O386:O449" si="12">M386-N386</f>
        <v>300</v>
      </c>
      <c r="P386">
        <f>Table1[[#This Row],[Quantity]]*Table1[[#This Row],[unit_price]]*Table1[[#This Row],[Discount]]</f>
        <v>0</v>
      </c>
      <c r="Q386" t="str">
        <f>VLOOKUP(E386,Products!$A$2:$E$23,2,0)</f>
        <v>Gel Pen Box</v>
      </c>
      <c r="R386" t="str">
        <f>VLOOKUP(Table1[[#This Row],[Product ID]],Products!$A$2:$E$23,3,0)</f>
        <v>Office Supplies</v>
      </c>
      <c r="S386" t="str">
        <f>VLOOKUP(C386,Customers!$A$2:$F$201,4,0)</f>
        <v>Gujarat</v>
      </c>
      <c r="T386" t="str">
        <f>VLOOKUP(Table1[[#This Row],[Customer ID]],Customers!$A$2:$F$201,5,0)</f>
        <v>West</v>
      </c>
      <c r="U386" t="str">
        <f>VLOOKUP(Table1[[#This Row],[Customer ID]],Customers!$A$2:$F$201,6,0)</f>
        <v>Consumer</v>
      </c>
      <c r="V386" t="str">
        <f>TEXT(Table1[[#This Row],[Order Date]],"MMM")</f>
        <v>Sep</v>
      </c>
      <c r="W386" t="str">
        <f>TEXT(Table1[[#This Row],[Order Date]],"yyyy")</f>
        <v>2024</v>
      </c>
    </row>
    <row r="387" spans="1:23" x14ac:dyDescent="0.25">
      <c r="A387" s="2" t="s">
        <v>604</v>
      </c>
      <c r="B387" s="4">
        <v>45536</v>
      </c>
      <c r="C387" s="2" t="s">
        <v>605</v>
      </c>
      <c r="D387" s="2" t="str">
        <f>TEXT(Table1[[#This Row],[Order Date]],"mmmm")</f>
        <v>September</v>
      </c>
      <c r="E387" s="2" t="s">
        <v>18</v>
      </c>
      <c r="F387" s="2">
        <v>4</v>
      </c>
      <c r="G387" s="5">
        <v>0.05</v>
      </c>
      <c r="H387" s="2" t="s">
        <v>30</v>
      </c>
      <c r="I387" s="2" t="s">
        <v>46</v>
      </c>
      <c r="J387" s="2" t="s">
        <v>94</v>
      </c>
      <c r="K387">
        <f>VLOOKUP(E387,Products!$A$2:$E$23,5,0)</f>
        <v>4299</v>
      </c>
      <c r="L387">
        <f>VLOOKUP(E387,Products!$A$2:$E$23,4,0)</f>
        <v>2800</v>
      </c>
      <c r="M387" s="2">
        <f>K387*F387-Table1[[#This Row],[discount_amount]]</f>
        <v>16336.2</v>
      </c>
      <c r="N387">
        <f t="shared" ref="N387:N450" si="13">F387*L387</f>
        <v>11200</v>
      </c>
      <c r="O387">
        <f t="shared" si="12"/>
        <v>5136.2000000000007</v>
      </c>
      <c r="P387">
        <f>Table1[[#This Row],[Quantity]]*Table1[[#This Row],[unit_price]]*Table1[[#This Row],[Discount]]</f>
        <v>859.80000000000007</v>
      </c>
      <c r="Q387" t="str">
        <f>VLOOKUP(E387,Products!$A$2:$E$23,2,0)</f>
        <v>Bookshelf</v>
      </c>
      <c r="R387" t="str">
        <f>VLOOKUP(Table1[[#This Row],[Product ID]],Products!$A$2:$E$23,3,0)</f>
        <v>Furniture</v>
      </c>
      <c r="S387" t="str">
        <f>VLOOKUP(C387,Customers!$A$2:$F$201,4,0)</f>
        <v>Rajasthan</v>
      </c>
      <c r="T387" t="str">
        <f>VLOOKUP(Table1[[#This Row],[Customer ID]],Customers!$A$2:$F$201,5,0)</f>
        <v>North</v>
      </c>
      <c r="U387" t="str">
        <f>VLOOKUP(Table1[[#This Row],[Customer ID]],Customers!$A$2:$F$201,6,0)</f>
        <v>Consumer</v>
      </c>
      <c r="V387" t="str">
        <f>TEXT(Table1[[#This Row],[Order Date]],"MMM")</f>
        <v>Sep</v>
      </c>
      <c r="W387" t="str">
        <f>TEXT(Table1[[#This Row],[Order Date]],"yyyy")</f>
        <v>2024</v>
      </c>
    </row>
    <row r="388" spans="1:23" x14ac:dyDescent="0.25">
      <c r="A388" s="2" t="s">
        <v>606</v>
      </c>
      <c r="B388" s="4">
        <v>45537</v>
      </c>
      <c r="C388" s="2" t="s">
        <v>287</v>
      </c>
      <c r="D388" s="2" t="str">
        <f>TEXT(Table1[[#This Row],[Order Date]],"mmmm")</f>
        <v>September</v>
      </c>
      <c r="E388" s="2" t="s">
        <v>24</v>
      </c>
      <c r="F388" s="2">
        <v>1</v>
      </c>
      <c r="G388" s="5">
        <v>0.1</v>
      </c>
      <c r="H388" s="2" t="s">
        <v>25</v>
      </c>
      <c r="I388" s="2" t="s">
        <v>26</v>
      </c>
      <c r="J388" s="2" t="s">
        <v>21</v>
      </c>
      <c r="K388">
        <f>VLOOKUP(E388,Products!$A$2:$E$23,5,0)</f>
        <v>899</v>
      </c>
      <c r="L388">
        <f>VLOOKUP(E388,Products!$A$2:$E$23,4,0)</f>
        <v>500</v>
      </c>
      <c r="M388" s="2">
        <f>K388*F388-Table1[[#This Row],[discount_amount]]</f>
        <v>809.1</v>
      </c>
      <c r="N388">
        <f t="shared" si="13"/>
        <v>500</v>
      </c>
      <c r="O388">
        <f t="shared" si="12"/>
        <v>309.10000000000002</v>
      </c>
      <c r="P388">
        <f>Table1[[#This Row],[Quantity]]*Table1[[#This Row],[unit_price]]*Table1[[#This Row],[Discount]]</f>
        <v>89.9</v>
      </c>
      <c r="Q388" t="str">
        <f>VLOOKUP(E388,Products!$A$2:$E$23,2,0)</f>
        <v>Monitor Stand</v>
      </c>
      <c r="R388" t="str">
        <f>VLOOKUP(Table1[[#This Row],[Product ID]],Products!$A$2:$E$23,3,0)</f>
        <v>Furniture</v>
      </c>
      <c r="S388" t="str">
        <f>VLOOKUP(C388,Customers!$A$2:$F$201,4,0)</f>
        <v>Kerala</v>
      </c>
      <c r="T388" t="str">
        <f>VLOOKUP(Table1[[#This Row],[Customer ID]],Customers!$A$2:$F$201,5,0)</f>
        <v>South</v>
      </c>
      <c r="U388" t="str">
        <f>VLOOKUP(Table1[[#This Row],[Customer ID]],Customers!$A$2:$F$201,6,0)</f>
        <v>Corporate</v>
      </c>
      <c r="V388" t="str">
        <f>TEXT(Table1[[#This Row],[Order Date]],"MMM")</f>
        <v>Sep</v>
      </c>
      <c r="W388" t="str">
        <f>TEXT(Table1[[#This Row],[Order Date]],"yyyy")</f>
        <v>2024</v>
      </c>
    </row>
    <row r="389" spans="1:23" x14ac:dyDescent="0.25">
      <c r="A389" s="2" t="s">
        <v>607</v>
      </c>
      <c r="B389" s="4">
        <v>45537</v>
      </c>
      <c r="C389" s="2" t="s">
        <v>154</v>
      </c>
      <c r="D389" s="2" t="str">
        <f>TEXT(Table1[[#This Row],[Order Date]],"mmmm")</f>
        <v>September</v>
      </c>
      <c r="E389" s="2" t="s">
        <v>111</v>
      </c>
      <c r="F389" s="2">
        <v>10</v>
      </c>
      <c r="G389" s="5">
        <v>0</v>
      </c>
      <c r="H389" s="2" t="s">
        <v>19</v>
      </c>
      <c r="I389" s="2" t="s">
        <v>31</v>
      </c>
      <c r="J389" s="2" t="s">
        <v>21</v>
      </c>
      <c r="K389">
        <f>VLOOKUP(E389,Products!$A$2:$E$23,5,0)</f>
        <v>240</v>
      </c>
      <c r="L389">
        <f>VLOOKUP(E389,Products!$A$2:$E$23,4,0)</f>
        <v>140</v>
      </c>
      <c r="M389" s="2">
        <f>K389*F389-Table1[[#This Row],[discount_amount]]</f>
        <v>2400</v>
      </c>
      <c r="N389">
        <f t="shared" si="13"/>
        <v>1400</v>
      </c>
      <c r="O389">
        <f t="shared" si="12"/>
        <v>1000</v>
      </c>
      <c r="P389">
        <f>Table1[[#This Row],[Quantity]]*Table1[[#This Row],[unit_price]]*Table1[[#This Row],[Discount]]</f>
        <v>0</v>
      </c>
      <c r="Q389" t="str">
        <f>VLOOKUP(E389,Products!$A$2:$E$23,2,0)</f>
        <v>Whiteboard Marker Set</v>
      </c>
      <c r="R389" t="str">
        <f>VLOOKUP(Table1[[#This Row],[Product ID]],Products!$A$2:$E$23,3,0)</f>
        <v>Office Supplies</v>
      </c>
      <c r="S389" t="str">
        <f>VLOOKUP(C389,Customers!$A$2:$F$201,4,0)</f>
        <v>Telangana</v>
      </c>
      <c r="T389" t="str">
        <f>VLOOKUP(Table1[[#This Row],[Customer ID]],Customers!$A$2:$F$201,5,0)</f>
        <v>South</v>
      </c>
      <c r="U389" t="str">
        <f>VLOOKUP(Table1[[#This Row],[Customer ID]],Customers!$A$2:$F$201,6,0)</f>
        <v>Consumer</v>
      </c>
      <c r="V389" t="str">
        <f>TEXT(Table1[[#This Row],[Order Date]],"MMM")</f>
        <v>Sep</v>
      </c>
      <c r="W389" t="str">
        <f>TEXT(Table1[[#This Row],[Order Date]],"yyyy")</f>
        <v>2024</v>
      </c>
    </row>
    <row r="390" spans="1:23" x14ac:dyDescent="0.25">
      <c r="A390" s="2" t="s">
        <v>608</v>
      </c>
      <c r="B390" s="4">
        <v>45538</v>
      </c>
      <c r="C390" s="2" t="s">
        <v>23</v>
      </c>
      <c r="D390" s="2" t="str">
        <f>TEXT(Table1[[#This Row],[Order Date]],"mmmm")</f>
        <v>September</v>
      </c>
      <c r="E390" s="2" t="s">
        <v>73</v>
      </c>
      <c r="F390" s="2">
        <v>10</v>
      </c>
      <c r="G390" s="5">
        <v>0</v>
      </c>
      <c r="H390" s="2" t="s">
        <v>19</v>
      </c>
      <c r="I390" s="2" t="s">
        <v>31</v>
      </c>
      <c r="J390" s="2" t="s">
        <v>21</v>
      </c>
      <c r="K390">
        <f>VLOOKUP(E390,Products!$A$2:$E$23,5,0)</f>
        <v>6499</v>
      </c>
      <c r="L390">
        <f>VLOOKUP(E390,Products!$A$2:$E$23,4,0)</f>
        <v>4200</v>
      </c>
      <c r="M390" s="2">
        <f>K390*F390-Table1[[#This Row],[discount_amount]]</f>
        <v>64990</v>
      </c>
      <c r="N390">
        <f t="shared" si="13"/>
        <v>42000</v>
      </c>
      <c r="O390">
        <f t="shared" si="12"/>
        <v>22990</v>
      </c>
      <c r="P390">
        <f>Table1[[#This Row],[Quantity]]*Table1[[#This Row],[unit_price]]*Table1[[#This Row],[Discount]]</f>
        <v>0</v>
      </c>
      <c r="Q390" t="str">
        <f>VLOOKUP(E390,Products!$A$2:$E$23,2,0)</f>
        <v>Study Table</v>
      </c>
      <c r="R390" t="str">
        <f>VLOOKUP(Table1[[#This Row],[Product ID]],Products!$A$2:$E$23,3,0)</f>
        <v>Furniture</v>
      </c>
      <c r="S390" t="str">
        <f>VLOOKUP(C390,Customers!$A$2:$F$201,4,0)</f>
        <v>Gujarat</v>
      </c>
      <c r="T390" t="str">
        <f>VLOOKUP(Table1[[#This Row],[Customer ID]],Customers!$A$2:$F$201,5,0)</f>
        <v>West</v>
      </c>
      <c r="U390" t="str">
        <f>VLOOKUP(Table1[[#This Row],[Customer ID]],Customers!$A$2:$F$201,6,0)</f>
        <v>Consumer</v>
      </c>
      <c r="V390" t="str">
        <f>TEXT(Table1[[#This Row],[Order Date]],"MMM")</f>
        <v>Sep</v>
      </c>
      <c r="W390" t="str">
        <f>TEXT(Table1[[#This Row],[Order Date]],"yyyy")</f>
        <v>2024</v>
      </c>
    </row>
    <row r="391" spans="1:23" x14ac:dyDescent="0.25">
      <c r="A391" s="2" t="s">
        <v>609</v>
      </c>
      <c r="B391" s="4">
        <v>45538</v>
      </c>
      <c r="C391" s="2" t="s">
        <v>256</v>
      </c>
      <c r="D391" s="2" t="str">
        <f>TEXT(Table1[[#This Row],[Order Date]],"mmmm")</f>
        <v>September</v>
      </c>
      <c r="E391" s="2" t="s">
        <v>121</v>
      </c>
      <c r="F391" s="2">
        <v>1</v>
      </c>
      <c r="G391" s="5">
        <v>0</v>
      </c>
      <c r="H391" s="2" t="s">
        <v>25</v>
      </c>
      <c r="I391" s="2" t="s">
        <v>26</v>
      </c>
      <c r="J391" s="2" t="s">
        <v>79</v>
      </c>
      <c r="K391">
        <f>VLOOKUP(E391,Products!$A$2:$E$23,5,0)</f>
        <v>499</v>
      </c>
      <c r="L391">
        <f>VLOOKUP(E391,Products!$A$2:$E$23,4,0)</f>
        <v>250</v>
      </c>
      <c r="M391" s="2">
        <f>K391*F391-Table1[[#This Row],[discount_amount]]</f>
        <v>499</v>
      </c>
      <c r="N391">
        <f t="shared" si="13"/>
        <v>250</v>
      </c>
      <c r="O391">
        <f t="shared" si="12"/>
        <v>249</v>
      </c>
      <c r="P391">
        <f>Table1[[#This Row],[Quantity]]*Table1[[#This Row],[unit_price]]*Table1[[#This Row],[Discount]]</f>
        <v>0</v>
      </c>
      <c r="Q391" t="str">
        <f>VLOOKUP(E391,Products!$A$2:$E$23,2,0)</f>
        <v>Cotton T-Shirt</v>
      </c>
      <c r="R391" t="str">
        <f>VLOOKUP(Table1[[#This Row],[Product ID]],Products!$A$2:$E$23,3,0)</f>
        <v>Clothing</v>
      </c>
      <c r="S391" t="str">
        <f>VLOOKUP(C391,Customers!$A$2:$F$201,4,0)</f>
        <v>Gujarat</v>
      </c>
      <c r="T391" t="str">
        <f>VLOOKUP(Table1[[#This Row],[Customer ID]],Customers!$A$2:$F$201,5,0)</f>
        <v>West</v>
      </c>
      <c r="U391" t="str">
        <f>VLOOKUP(Table1[[#This Row],[Customer ID]],Customers!$A$2:$F$201,6,0)</f>
        <v>Consumer</v>
      </c>
      <c r="V391" t="str">
        <f>TEXT(Table1[[#This Row],[Order Date]],"MMM")</f>
        <v>Sep</v>
      </c>
      <c r="W391" t="str">
        <f>TEXT(Table1[[#This Row],[Order Date]],"yyyy")</f>
        <v>2024</v>
      </c>
    </row>
    <row r="392" spans="1:23" x14ac:dyDescent="0.25">
      <c r="A392" s="2" t="s">
        <v>610</v>
      </c>
      <c r="B392" s="4">
        <v>45538</v>
      </c>
      <c r="C392" s="2" t="s">
        <v>274</v>
      </c>
      <c r="D392" s="2" t="str">
        <f>TEXT(Table1[[#This Row],[Order Date]],"mmmm")</f>
        <v>September</v>
      </c>
      <c r="E392" s="2" t="s">
        <v>24</v>
      </c>
      <c r="F392" s="2">
        <v>3</v>
      </c>
      <c r="G392" s="5">
        <v>0</v>
      </c>
      <c r="H392" s="2" t="s">
        <v>25</v>
      </c>
      <c r="I392" s="2" t="s">
        <v>20</v>
      </c>
      <c r="J392" s="2" t="s">
        <v>21</v>
      </c>
      <c r="K392">
        <f>VLOOKUP(E392,Products!$A$2:$E$23,5,0)</f>
        <v>899</v>
      </c>
      <c r="L392">
        <f>VLOOKUP(E392,Products!$A$2:$E$23,4,0)</f>
        <v>500</v>
      </c>
      <c r="M392" s="2">
        <f>K392*F392-Table1[[#This Row],[discount_amount]]</f>
        <v>2697</v>
      </c>
      <c r="N392">
        <f t="shared" si="13"/>
        <v>1500</v>
      </c>
      <c r="O392">
        <f t="shared" si="12"/>
        <v>1197</v>
      </c>
      <c r="P392">
        <f>Table1[[#This Row],[Quantity]]*Table1[[#This Row],[unit_price]]*Table1[[#This Row],[Discount]]</f>
        <v>0</v>
      </c>
      <c r="Q392" t="str">
        <f>VLOOKUP(E392,Products!$A$2:$E$23,2,0)</f>
        <v>Monitor Stand</v>
      </c>
      <c r="R392" t="str">
        <f>VLOOKUP(Table1[[#This Row],[Product ID]],Products!$A$2:$E$23,3,0)</f>
        <v>Furniture</v>
      </c>
      <c r="S392" t="str">
        <f>VLOOKUP(C392,Customers!$A$2:$F$201,4,0)</f>
        <v>Madhya Pradesh</v>
      </c>
      <c r="T392" t="str">
        <f>VLOOKUP(Table1[[#This Row],[Customer ID]],Customers!$A$2:$F$201,5,0)</f>
        <v>Central</v>
      </c>
      <c r="U392" t="str">
        <f>VLOOKUP(Table1[[#This Row],[Customer ID]],Customers!$A$2:$F$201,6,0)</f>
        <v>Consumer</v>
      </c>
      <c r="V392" t="str">
        <f>TEXT(Table1[[#This Row],[Order Date]],"MMM")</f>
        <v>Sep</v>
      </c>
      <c r="W392" t="str">
        <f>TEXT(Table1[[#This Row],[Order Date]],"yyyy")</f>
        <v>2024</v>
      </c>
    </row>
    <row r="393" spans="1:23" x14ac:dyDescent="0.25">
      <c r="A393" s="2" t="s">
        <v>611</v>
      </c>
      <c r="B393" s="4">
        <v>45539</v>
      </c>
      <c r="C393" s="2" t="s">
        <v>567</v>
      </c>
      <c r="D393" s="2" t="str">
        <f>TEXT(Table1[[#This Row],[Order Date]],"mmmm")</f>
        <v>September</v>
      </c>
      <c r="E393" s="2" t="s">
        <v>121</v>
      </c>
      <c r="F393" s="2">
        <v>1</v>
      </c>
      <c r="G393" s="5">
        <v>0</v>
      </c>
      <c r="H393" s="2" t="s">
        <v>30</v>
      </c>
      <c r="I393" s="2" t="s">
        <v>31</v>
      </c>
      <c r="J393" s="2" t="s">
        <v>21</v>
      </c>
      <c r="K393">
        <f>VLOOKUP(E393,Products!$A$2:$E$23,5,0)</f>
        <v>499</v>
      </c>
      <c r="L393">
        <f>VLOOKUP(E393,Products!$A$2:$E$23,4,0)</f>
        <v>250</v>
      </c>
      <c r="M393" s="2">
        <f>K393*F393-Table1[[#This Row],[discount_amount]]</f>
        <v>499</v>
      </c>
      <c r="N393">
        <f t="shared" si="13"/>
        <v>250</v>
      </c>
      <c r="O393">
        <f t="shared" si="12"/>
        <v>249</v>
      </c>
      <c r="P393">
        <f>Table1[[#This Row],[Quantity]]*Table1[[#This Row],[unit_price]]*Table1[[#This Row],[Discount]]</f>
        <v>0</v>
      </c>
      <c r="Q393" t="str">
        <f>VLOOKUP(E393,Products!$A$2:$E$23,2,0)</f>
        <v>Cotton T-Shirt</v>
      </c>
      <c r="R393" t="str">
        <f>VLOOKUP(Table1[[#This Row],[Product ID]],Products!$A$2:$E$23,3,0)</f>
        <v>Clothing</v>
      </c>
      <c r="S393" t="str">
        <f>VLOOKUP(C393,Customers!$A$2:$F$201,4,0)</f>
        <v>Gujarat</v>
      </c>
      <c r="T393" t="str">
        <f>VLOOKUP(Table1[[#This Row],[Customer ID]],Customers!$A$2:$F$201,5,0)</f>
        <v>West</v>
      </c>
      <c r="U393" t="str">
        <f>VLOOKUP(Table1[[#This Row],[Customer ID]],Customers!$A$2:$F$201,6,0)</f>
        <v>Consumer</v>
      </c>
      <c r="V393" t="str">
        <f>TEXT(Table1[[#This Row],[Order Date]],"MMM")</f>
        <v>Sep</v>
      </c>
      <c r="W393" t="str">
        <f>TEXT(Table1[[#This Row],[Order Date]],"yyyy")</f>
        <v>2024</v>
      </c>
    </row>
    <row r="394" spans="1:23" x14ac:dyDescent="0.25">
      <c r="A394" s="2" t="s">
        <v>612</v>
      </c>
      <c r="B394" s="4">
        <v>45541</v>
      </c>
      <c r="C394" s="2" t="s">
        <v>254</v>
      </c>
      <c r="D394" s="2" t="str">
        <f>TEXT(Table1[[#This Row],[Order Date]],"mmmm")</f>
        <v>September</v>
      </c>
      <c r="E394" s="2" t="s">
        <v>37</v>
      </c>
      <c r="F394" s="2">
        <v>1</v>
      </c>
      <c r="G394" s="5">
        <v>0.1</v>
      </c>
      <c r="H394" s="2" t="s">
        <v>30</v>
      </c>
      <c r="I394" s="2" t="s">
        <v>20</v>
      </c>
      <c r="J394" s="2" t="s">
        <v>21</v>
      </c>
      <c r="K394">
        <f>VLOOKUP(E394,Products!$A$2:$E$23,5,0)</f>
        <v>1799</v>
      </c>
      <c r="L394">
        <f>VLOOKUP(E394,Products!$A$2:$E$23,4,0)</f>
        <v>900</v>
      </c>
      <c r="M394" s="2">
        <f>K394*F394-Table1[[#This Row],[discount_amount]]</f>
        <v>1619.1</v>
      </c>
      <c r="N394">
        <f t="shared" si="13"/>
        <v>900</v>
      </c>
      <c r="O394">
        <f t="shared" si="12"/>
        <v>719.09999999999991</v>
      </c>
      <c r="P394">
        <f>Table1[[#This Row],[Quantity]]*Table1[[#This Row],[unit_price]]*Table1[[#This Row],[Discount]]</f>
        <v>179.9</v>
      </c>
      <c r="Q394" t="str">
        <f>VLOOKUP(E394,Products!$A$2:$E$23,2,0)</f>
        <v>Denim Jeans</v>
      </c>
      <c r="R394" t="str">
        <f>VLOOKUP(Table1[[#This Row],[Product ID]],Products!$A$2:$E$23,3,0)</f>
        <v>Clothing</v>
      </c>
      <c r="S394" t="str">
        <f>VLOOKUP(C394,Customers!$A$2:$F$201,4,0)</f>
        <v>Rajasthan</v>
      </c>
      <c r="T394" t="str">
        <f>VLOOKUP(Table1[[#This Row],[Customer ID]],Customers!$A$2:$F$201,5,0)</f>
        <v>North</v>
      </c>
      <c r="U394" t="str">
        <f>VLOOKUP(Table1[[#This Row],[Customer ID]],Customers!$A$2:$F$201,6,0)</f>
        <v>Consumer</v>
      </c>
      <c r="V394" t="str">
        <f>TEXT(Table1[[#This Row],[Order Date]],"MMM")</f>
        <v>Sep</v>
      </c>
      <c r="W394" t="str">
        <f>TEXT(Table1[[#This Row],[Order Date]],"yyyy")</f>
        <v>2024</v>
      </c>
    </row>
    <row r="395" spans="1:23" x14ac:dyDescent="0.25">
      <c r="A395" s="2" t="s">
        <v>613</v>
      </c>
      <c r="B395" s="4">
        <v>45541</v>
      </c>
      <c r="C395" s="2" t="s">
        <v>591</v>
      </c>
      <c r="D395" s="2" t="str">
        <f>TEXT(Table1[[#This Row],[Order Date]],"mmmm")</f>
        <v>September</v>
      </c>
      <c r="E395" s="2" t="s">
        <v>18</v>
      </c>
      <c r="F395" s="2">
        <v>3</v>
      </c>
      <c r="G395" s="5">
        <v>0</v>
      </c>
      <c r="H395" s="2" t="s">
        <v>19</v>
      </c>
      <c r="I395" s="2" t="s">
        <v>31</v>
      </c>
      <c r="J395" s="2" t="s">
        <v>21</v>
      </c>
      <c r="K395">
        <f>VLOOKUP(E395,Products!$A$2:$E$23,5,0)</f>
        <v>4299</v>
      </c>
      <c r="L395">
        <f>VLOOKUP(E395,Products!$A$2:$E$23,4,0)</f>
        <v>2800</v>
      </c>
      <c r="M395" s="2">
        <f>K395*F395-Table1[[#This Row],[discount_amount]]</f>
        <v>12897</v>
      </c>
      <c r="N395">
        <f t="shared" si="13"/>
        <v>8400</v>
      </c>
      <c r="O395">
        <f t="shared" si="12"/>
        <v>4497</v>
      </c>
      <c r="P395">
        <f>Table1[[#This Row],[Quantity]]*Table1[[#This Row],[unit_price]]*Table1[[#This Row],[Discount]]</f>
        <v>0</v>
      </c>
      <c r="Q395" t="str">
        <f>VLOOKUP(E395,Products!$A$2:$E$23,2,0)</f>
        <v>Bookshelf</v>
      </c>
      <c r="R395" t="str">
        <f>VLOOKUP(Table1[[#This Row],[Product ID]],Products!$A$2:$E$23,3,0)</f>
        <v>Furniture</v>
      </c>
      <c r="S395" t="str">
        <f>VLOOKUP(C395,Customers!$A$2:$F$201,4,0)</f>
        <v>West Bengal</v>
      </c>
      <c r="T395" t="str">
        <f>VLOOKUP(Table1[[#This Row],[Customer ID]],Customers!$A$2:$F$201,5,0)</f>
        <v>East</v>
      </c>
      <c r="U395" t="str">
        <f>VLOOKUP(Table1[[#This Row],[Customer ID]],Customers!$A$2:$F$201,6,0)</f>
        <v>Corporate</v>
      </c>
      <c r="V395" t="str">
        <f>TEXT(Table1[[#This Row],[Order Date]],"MMM")</f>
        <v>Sep</v>
      </c>
      <c r="W395" t="str">
        <f>TEXT(Table1[[#This Row],[Order Date]],"yyyy")</f>
        <v>2024</v>
      </c>
    </row>
    <row r="396" spans="1:23" x14ac:dyDescent="0.25">
      <c r="A396" s="2" t="s">
        <v>614</v>
      </c>
      <c r="B396" s="4">
        <v>45541</v>
      </c>
      <c r="C396" s="2" t="s">
        <v>615</v>
      </c>
      <c r="D396" s="2" t="str">
        <f>TEXT(Table1[[#This Row],[Order Date]],"mmmm")</f>
        <v>September</v>
      </c>
      <c r="E396" s="2" t="s">
        <v>60</v>
      </c>
      <c r="F396" s="2">
        <v>6</v>
      </c>
      <c r="G396" s="5">
        <v>0</v>
      </c>
      <c r="H396" s="2" t="s">
        <v>30</v>
      </c>
      <c r="I396" s="2" t="s">
        <v>26</v>
      </c>
      <c r="J396" s="2" t="s">
        <v>79</v>
      </c>
      <c r="K396">
        <f>VLOOKUP(E396,Products!$A$2:$E$23,5,0)</f>
        <v>449</v>
      </c>
      <c r="L396">
        <f>VLOOKUP(E396,Products!$A$2:$E$23,4,0)</f>
        <v>260</v>
      </c>
      <c r="M396" s="2">
        <f>K396*F396-Table1[[#This Row],[discount_amount]]</f>
        <v>2694</v>
      </c>
      <c r="N396">
        <f t="shared" si="13"/>
        <v>1560</v>
      </c>
      <c r="O396">
        <f t="shared" si="12"/>
        <v>1134</v>
      </c>
      <c r="P396">
        <f>Table1[[#This Row],[Quantity]]*Table1[[#This Row],[unit_price]]*Table1[[#This Row],[Discount]]</f>
        <v>0</v>
      </c>
      <c r="Q396" t="str">
        <f>VLOOKUP(E396,Products!$A$2:$E$23,2,0)</f>
        <v>Desk Organizer</v>
      </c>
      <c r="R396" t="str">
        <f>VLOOKUP(Table1[[#This Row],[Product ID]],Products!$A$2:$E$23,3,0)</f>
        <v>Office Supplies</v>
      </c>
      <c r="S396" t="str">
        <f>VLOOKUP(C396,Customers!$A$2:$F$201,4,0)</f>
        <v>Delhi</v>
      </c>
      <c r="T396" t="str">
        <f>VLOOKUP(Table1[[#This Row],[Customer ID]],Customers!$A$2:$F$201,5,0)</f>
        <v>North</v>
      </c>
      <c r="U396" t="str">
        <f>VLOOKUP(Table1[[#This Row],[Customer ID]],Customers!$A$2:$F$201,6,0)</f>
        <v>Corporate</v>
      </c>
      <c r="V396" t="str">
        <f>TEXT(Table1[[#This Row],[Order Date]],"MMM")</f>
        <v>Sep</v>
      </c>
      <c r="W396" t="str">
        <f>TEXT(Table1[[#This Row],[Order Date]],"yyyy")</f>
        <v>2024</v>
      </c>
    </row>
    <row r="397" spans="1:23" x14ac:dyDescent="0.25">
      <c r="A397" s="2" t="s">
        <v>616</v>
      </c>
      <c r="B397" s="4">
        <v>45542</v>
      </c>
      <c r="C397" s="2" t="s">
        <v>258</v>
      </c>
      <c r="D397" s="2" t="str">
        <f>TEXT(Table1[[#This Row],[Order Date]],"mmmm")</f>
        <v>September</v>
      </c>
      <c r="E397" s="2" t="s">
        <v>60</v>
      </c>
      <c r="F397" s="2">
        <v>1</v>
      </c>
      <c r="G397" s="5">
        <v>0</v>
      </c>
      <c r="H397" s="2" t="s">
        <v>25</v>
      </c>
      <c r="I397" s="2" t="s">
        <v>31</v>
      </c>
      <c r="J397" s="2" t="s">
        <v>94</v>
      </c>
      <c r="K397">
        <f>VLOOKUP(E397,Products!$A$2:$E$23,5,0)</f>
        <v>449</v>
      </c>
      <c r="L397">
        <f>VLOOKUP(E397,Products!$A$2:$E$23,4,0)</f>
        <v>260</v>
      </c>
      <c r="M397" s="2">
        <f>K397*F397-Table1[[#This Row],[discount_amount]]</f>
        <v>449</v>
      </c>
      <c r="N397">
        <f t="shared" si="13"/>
        <v>260</v>
      </c>
      <c r="O397">
        <f t="shared" si="12"/>
        <v>189</v>
      </c>
      <c r="P397">
        <f>Table1[[#This Row],[Quantity]]*Table1[[#This Row],[unit_price]]*Table1[[#This Row],[Discount]]</f>
        <v>0</v>
      </c>
      <c r="Q397" t="str">
        <f>VLOOKUP(E397,Products!$A$2:$E$23,2,0)</f>
        <v>Desk Organizer</v>
      </c>
      <c r="R397" t="str">
        <f>VLOOKUP(Table1[[#This Row],[Product ID]],Products!$A$2:$E$23,3,0)</f>
        <v>Office Supplies</v>
      </c>
      <c r="S397" t="str">
        <f>VLOOKUP(C397,Customers!$A$2:$F$201,4,0)</f>
        <v>Karnataka</v>
      </c>
      <c r="T397" t="str">
        <f>VLOOKUP(Table1[[#This Row],[Customer ID]],Customers!$A$2:$F$201,5,0)</f>
        <v>South</v>
      </c>
      <c r="U397" t="str">
        <f>VLOOKUP(Table1[[#This Row],[Customer ID]],Customers!$A$2:$F$201,6,0)</f>
        <v>Consumer</v>
      </c>
      <c r="V397" t="str">
        <f>TEXT(Table1[[#This Row],[Order Date]],"MMM")</f>
        <v>Sep</v>
      </c>
      <c r="W397" t="str">
        <f>TEXT(Table1[[#This Row],[Order Date]],"yyyy")</f>
        <v>2024</v>
      </c>
    </row>
    <row r="398" spans="1:23" x14ac:dyDescent="0.25">
      <c r="A398" s="2" t="s">
        <v>617</v>
      </c>
      <c r="B398" s="4">
        <v>45545</v>
      </c>
      <c r="C398" s="2" t="s">
        <v>358</v>
      </c>
      <c r="D398" s="2" t="str">
        <f>TEXT(Table1[[#This Row],[Order Date]],"mmmm")</f>
        <v>September</v>
      </c>
      <c r="E398" s="2" t="s">
        <v>49</v>
      </c>
      <c r="F398" s="2">
        <v>1</v>
      </c>
      <c r="G398" s="5">
        <v>0</v>
      </c>
      <c r="H398" s="2" t="s">
        <v>30</v>
      </c>
      <c r="I398" s="2" t="s">
        <v>20</v>
      </c>
      <c r="J398" s="2" t="s">
        <v>21</v>
      </c>
      <c r="K398">
        <f>VLOOKUP(E398,Products!$A$2:$E$23,5,0)</f>
        <v>700</v>
      </c>
      <c r="L398">
        <f>VLOOKUP(E398,Products!$A$2:$E$23,4,0)</f>
        <v>450</v>
      </c>
      <c r="M398" s="2">
        <f>K398*F398-Table1[[#This Row],[discount_amount]]</f>
        <v>700</v>
      </c>
      <c r="N398">
        <f t="shared" si="13"/>
        <v>450</v>
      </c>
      <c r="O398">
        <f t="shared" si="12"/>
        <v>250</v>
      </c>
      <c r="P398">
        <f>Table1[[#This Row],[Quantity]]*Table1[[#This Row],[unit_price]]*Table1[[#This Row],[Discount]]</f>
        <v>0</v>
      </c>
      <c r="Q398" t="str">
        <f>VLOOKUP(E398,Products!$A$2:$E$23,2,0)</f>
        <v>Wireless Mouse</v>
      </c>
      <c r="R398" t="str">
        <f>VLOOKUP(Table1[[#This Row],[Product ID]],Products!$A$2:$E$23,3,0)</f>
        <v>Electronics</v>
      </c>
      <c r="S398" t="str">
        <f>VLOOKUP(C398,Customers!$A$2:$F$201,4,0)</f>
        <v>Delhi</v>
      </c>
      <c r="T398" t="str">
        <f>VLOOKUP(Table1[[#This Row],[Customer ID]],Customers!$A$2:$F$201,5,0)</f>
        <v>North</v>
      </c>
      <c r="U398" t="str">
        <f>VLOOKUP(Table1[[#This Row],[Customer ID]],Customers!$A$2:$F$201,6,0)</f>
        <v>Consumer</v>
      </c>
      <c r="V398" t="str">
        <f>TEXT(Table1[[#This Row],[Order Date]],"MMM")</f>
        <v>Sep</v>
      </c>
      <c r="W398" t="str">
        <f>TEXT(Table1[[#This Row],[Order Date]],"yyyy")</f>
        <v>2024</v>
      </c>
    </row>
    <row r="399" spans="1:23" x14ac:dyDescent="0.25">
      <c r="A399" s="2" t="s">
        <v>618</v>
      </c>
      <c r="B399" s="4">
        <v>45546</v>
      </c>
      <c r="C399" s="2" t="s">
        <v>102</v>
      </c>
      <c r="D399" s="2" t="str">
        <f>TEXT(Table1[[#This Row],[Order Date]],"mmmm")</f>
        <v>September</v>
      </c>
      <c r="E399" s="2" t="s">
        <v>155</v>
      </c>
      <c r="F399" s="2">
        <v>10</v>
      </c>
      <c r="G399" s="5">
        <v>0.1</v>
      </c>
      <c r="H399" s="2" t="s">
        <v>25</v>
      </c>
      <c r="I399" s="2" t="s">
        <v>20</v>
      </c>
      <c r="J399" s="2" t="s">
        <v>79</v>
      </c>
      <c r="K399">
        <f>VLOOKUP(E399,Products!$A$2:$E$23,5,0)</f>
        <v>1599</v>
      </c>
      <c r="L399">
        <f>VLOOKUP(E399,Products!$A$2:$E$23,4,0)</f>
        <v>900</v>
      </c>
      <c r="M399" s="2">
        <f>K399*F399-Table1[[#This Row],[discount_amount]]</f>
        <v>14391</v>
      </c>
      <c r="N399">
        <f t="shared" si="13"/>
        <v>9000</v>
      </c>
      <c r="O399">
        <f t="shared" si="12"/>
        <v>5391</v>
      </c>
      <c r="P399">
        <f>Table1[[#This Row],[Quantity]]*Table1[[#This Row],[unit_price]]*Table1[[#This Row],[Discount]]</f>
        <v>1599</v>
      </c>
      <c r="Q399" t="str">
        <f>VLOOKUP(E399,Products!$A$2:$E$23,2,0)</f>
        <v>Headphones</v>
      </c>
      <c r="R399" t="str">
        <f>VLOOKUP(Table1[[#This Row],[Product ID]],Products!$A$2:$E$23,3,0)</f>
        <v>Electronics</v>
      </c>
      <c r="S399" t="str">
        <f>VLOOKUP(C399,Customers!$A$2:$F$201,4,0)</f>
        <v>Madhya Pradesh</v>
      </c>
      <c r="T399" t="str">
        <f>VLOOKUP(Table1[[#This Row],[Customer ID]],Customers!$A$2:$F$201,5,0)</f>
        <v>Central</v>
      </c>
      <c r="U399" t="str">
        <f>VLOOKUP(Table1[[#This Row],[Customer ID]],Customers!$A$2:$F$201,6,0)</f>
        <v>Consumer</v>
      </c>
      <c r="V399" t="str">
        <f>TEXT(Table1[[#This Row],[Order Date]],"MMM")</f>
        <v>Sep</v>
      </c>
      <c r="W399" t="str">
        <f>TEXT(Table1[[#This Row],[Order Date]],"yyyy")</f>
        <v>2024</v>
      </c>
    </row>
    <row r="400" spans="1:23" x14ac:dyDescent="0.25">
      <c r="A400" s="2" t="s">
        <v>619</v>
      </c>
      <c r="B400" s="4">
        <v>45548</v>
      </c>
      <c r="C400" s="2" t="s">
        <v>65</v>
      </c>
      <c r="D400" s="2" t="str">
        <f>TEXT(Table1[[#This Row],[Order Date]],"mmmm")</f>
        <v>September</v>
      </c>
      <c r="E400" s="2" t="s">
        <v>57</v>
      </c>
      <c r="F400" s="2">
        <v>2</v>
      </c>
      <c r="G400" s="5">
        <v>0</v>
      </c>
      <c r="H400" s="2" t="s">
        <v>30</v>
      </c>
      <c r="I400" s="2" t="s">
        <v>38</v>
      </c>
      <c r="J400" s="2" t="s">
        <v>21</v>
      </c>
      <c r="K400">
        <f>VLOOKUP(E400,Products!$A$2:$E$23,5,0)</f>
        <v>1599</v>
      </c>
      <c r="L400">
        <f>VLOOKUP(E400,Products!$A$2:$E$23,4,0)</f>
        <v>800</v>
      </c>
      <c r="M400" s="2">
        <f>K400*F400-Table1[[#This Row],[discount_amount]]</f>
        <v>3198</v>
      </c>
      <c r="N400">
        <f t="shared" si="13"/>
        <v>1600</v>
      </c>
      <c r="O400">
        <f t="shared" si="12"/>
        <v>1598</v>
      </c>
      <c r="P400">
        <f>Table1[[#This Row],[Quantity]]*Table1[[#This Row],[unit_price]]*Table1[[#This Row],[Discount]]</f>
        <v>0</v>
      </c>
      <c r="Q400" t="str">
        <f>VLOOKUP(E400,Products!$A$2:$E$23,2,0)</f>
        <v>Hoodie</v>
      </c>
      <c r="R400" t="str">
        <f>VLOOKUP(Table1[[#This Row],[Product ID]],Products!$A$2:$E$23,3,0)</f>
        <v>Clothing</v>
      </c>
      <c r="S400" t="str">
        <f>VLOOKUP(C400,Customers!$A$2:$F$201,4,0)</f>
        <v>Madhya Pradesh</v>
      </c>
      <c r="T400" t="str">
        <f>VLOOKUP(Table1[[#This Row],[Customer ID]],Customers!$A$2:$F$201,5,0)</f>
        <v>Central</v>
      </c>
      <c r="U400" t="str">
        <f>VLOOKUP(Table1[[#This Row],[Customer ID]],Customers!$A$2:$F$201,6,0)</f>
        <v>Consumer</v>
      </c>
      <c r="V400" t="str">
        <f>TEXT(Table1[[#This Row],[Order Date]],"MMM")</f>
        <v>Sep</v>
      </c>
      <c r="W400" t="str">
        <f>TEXT(Table1[[#This Row],[Order Date]],"yyyy")</f>
        <v>2024</v>
      </c>
    </row>
    <row r="401" spans="1:23" x14ac:dyDescent="0.25">
      <c r="A401" s="2" t="s">
        <v>620</v>
      </c>
      <c r="B401" s="4">
        <v>45548</v>
      </c>
      <c r="C401" s="2" t="s">
        <v>226</v>
      </c>
      <c r="D401" s="2" t="str">
        <f>TEXT(Table1[[#This Row],[Order Date]],"mmmm")</f>
        <v>September</v>
      </c>
      <c r="E401" s="2" t="s">
        <v>29</v>
      </c>
      <c r="F401" s="2">
        <v>2</v>
      </c>
      <c r="G401" s="5">
        <v>0.1</v>
      </c>
      <c r="H401" s="2" t="s">
        <v>25</v>
      </c>
      <c r="I401" s="2" t="s">
        <v>46</v>
      </c>
      <c r="J401" s="2" t="s">
        <v>21</v>
      </c>
      <c r="K401">
        <f>VLOOKUP(E401,Products!$A$2:$E$23,5,0)</f>
        <v>599</v>
      </c>
      <c r="L401">
        <f>VLOOKUP(E401,Products!$A$2:$E$23,4,0)</f>
        <v>350</v>
      </c>
      <c r="M401" s="2">
        <f>K401*F401-Table1[[#This Row],[discount_amount]]</f>
        <v>1078.2</v>
      </c>
      <c r="N401">
        <f t="shared" si="13"/>
        <v>700</v>
      </c>
      <c r="O401">
        <f t="shared" si="12"/>
        <v>378.20000000000005</v>
      </c>
      <c r="P401">
        <f>Table1[[#This Row],[Quantity]]*Table1[[#This Row],[unit_price]]*Table1[[#This Row],[Discount]]</f>
        <v>119.80000000000001</v>
      </c>
      <c r="Q401" t="str">
        <f>VLOOKUP(E401,Products!$A$2:$E$23,2,0)</f>
        <v>USB Flash Drive 64GB</v>
      </c>
      <c r="R401" t="str">
        <f>VLOOKUP(Table1[[#This Row],[Product ID]],Products!$A$2:$E$23,3,0)</f>
        <v>Electronics</v>
      </c>
      <c r="S401" t="str">
        <f>VLOOKUP(C401,Customers!$A$2:$F$201,4,0)</f>
        <v>Gujarat</v>
      </c>
      <c r="T401" t="str">
        <f>VLOOKUP(Table1[[#This Row],[Customer ID]],Customers!$A$2:$F$201,5,0)</f>
        <v>West</v>
      </c>
      <c r="U401" t="str">
        <f>VLOOKUP(Table1[[#This Row],[Customer ID]],Customers!$A$2:$F$201,6,0)</f>
        <v>Consumer</v>
      </c>
      <c r="V401" t="str">
        <f>TEXT(Table1[[#This Row],[Order Date]],"MMM")</f>
        <v>Sep</v>
      </c>
      <c r="W401" t="str">
        <f>TEXT(Table1[[#This Row],[Order Date]],"yyyy")</f>
        <v>2024</v>
      </c>
    </row>
    <row r="402" spans="1:23" x14ac:dyDescent="0.25">
      <c r="A402" s="2" t="s">
        <v>621</v>
      </c>
      <c r="B402" s="4">
        <v>45548</v>
      </c>
      <c r="C402" s="2" t="s">
        <v>278</v>
      </c>
      <c r="D402" s="2" t="str">
        <f>TEXT(Table1[[#This Row],[Order Date]],"mmmm")</f>
        <v>September</v>
      </c>
      <c r="E402" s="2" t="s">
        <v>18</v>
      </c>
      <c r="F402" s="2">
        <v>5</v>
      </c>
      <c r="G402" s="5">
        <v>0.05</v>
      </c>
      <c r="H402" s="2" t="s">
        <v>19</v>
      </c>
      <c r="I402" s="2" t="s">
        <v>38</v>
      </c>
      <c r="J402" s="2" t="s">
        <v>21</v>
      </c>
      <c r="K402">
        <f>VLOOKUP(E402,Products!$A$2:$E$23,5,0)</f>
        <v>4299</v>
      </c>
      <c r="L402">
        <f>VLOOKUP(E402,Products!$A$2:$E$23,4,0)</f>
        <v>2800</v>
      </c>
      <c r="M402" s="2">
        <f>K402*F402-Table1[[#This Row],[discount_amount]]</f>
        <v>20420.25</v>
      </c>
      <c r="N402">
        <f t="shared" si="13"/>
        <v>14000</v>
      </c>
      <c r="O402">
        <f t="shared" si="12"/>
        <v>6420.25</v>
      </c>
      <c r="P402">
        <f>Table1[[#This Row],[Quantity]]*Table1[[#This Row],[unit_price]]*Table1[[#This Row],[Discount]]</f>
        <v>1074.75</v>
      </c>
      <c r="Q402" t="str">
        <f>VLOOKUP(E402,Products!$A$2:$E$23,2,0)</f>
        <v>Bookshelf</v>
      </c>
      <c r="R402" t="str">
        <f>VLOOKUP(Table1[[#This Row],[Product ID]],Products!$A$2:$E$23,3,0)</f>
        <v>Furniture</v>
      </c>
      <c r="S402" t="str">
        <f>VLOOKUP(C402,Customers!$A$2:$F$201,4,0)</f>
        <v>Odisha</v>
      </c>
      <c r="T402" t="str">
        <f>VLOOKUP(Table1[[#This Row],[Customer ID]],Customers!$A$2:$F$201,5,0)</f>
        <v>East</v>
      </c>
      <c r="U402" t="str">
        <f>VLOOKUP(Table1[[#This Row],[Customer ID]],Customers!$A$2:$F$201,6,0)</f>
        <v>Corporate</v>
      </c>
      <c r="V402" t="str">
        <f>TEXT(Table1[[#This Row],[Order Date]],"MMM")</f>
        <v>Sep</v>
      </c>
      <c r="W402" t="str">
        <f>TEXT(Table1[[#This Row],[Order Date]],"yyyy")</f>
        <v>2024</v>
      </c>
    </row>
    <row r="403" spans="1:23" x14ac:dyDescent="0.25">
      <c r="A403" s="2" t="s">
        <v>622</v>
      </c>
      <c r="B403" s="4">
        <v>45548</v>
      </c>
      <c r="C403" s="2" t="s">
        <v>194</v>
      </c>
      <c r="D403" s="2" t="str">
        <f>TEXT(Table1[[#This Row],[Order Date]],"mmmm")</f>
        <v>September</v>
      </c>
      <c r="E403" s="2" t="s">
        <v>118</v>
      </c>
      <c r="F403" s="2">
        <v>1</v>
      </c>
      <c r="G403" s="5">
        <v>0.05</v>
      </c>
      <c r="H403" s="2" t="s">
        <v>25</v>
      </c>
      <c r="I403" s="2" t="s">
        <v>38</v>
      </c>
      <c r="J403" s="2" t="s">
        <v>21</v>
      </c>
      <c r="K403">
        <f>VLOOKUP(E403,Products!$A$2:$E$23,5,0)</f>
        <v>150</v>
      </c>
      <c r="L403">
        <f>VLOOKUP(E403,Products!$A$2:$E$23,4,0)</f>
        <v>90</v>
      </c>
      <c r="M403" s="2">
        <f>K403*F403-Table1[[#This Row],[discount_amount]]</f>
        <v>142.5</v>
      </c>
      <c r="N403">
        <f t="shared" si="13"/>
        <v>90</v>
      </c>
      <c r="O403">
        <f t="shared" si="12"/>
        <v>52.5</v>
      </c>
      <c r="P403">
        <f>Table1[[#This Row],[Quantity]]*Table1[[#This Row],[unit_price]]*Table1[[#This Row],[Discount]]</f>
        <v>7.5</v>
      </c>
      <c r="Q403" t="str">
        <f>VLOOKUP(E403,Products!$A$2:$E$23,2,0)</f>
        <v>Gel Pen Box</v>
      </c>
      <c r="R403" t="str">
        <f>VLOOKUP(Table1[[#This Row],[Product ID]],Products!$A$2:$E$23,3,0)</f>
        <v>Office Supplies</v>
      </c>
      <c r="S403" t="str">
        <f>VLOOKUP(C403,Customers!$A$2:$F$201,4,0)</f>
        <v>Telangana</v>
      </c>
      <c r="T403" t="str">
        <f>VLOOKUP(Table1[[#This Row],[Customer ID]],Customers!$A$2:$F$201,5,0)</f>
        <v>South</v>
      </c>
      <c r="U403" t="str">
        <f>VLOOKUP(Table1[[#This Row],[Customer ID]],Customers!$A$2:$F$201,6,0)</f>
        <v>Consumer</v>
      </c>
      <c r="V403" t="str">
        <f>TEXT(Table1[[#This Row],[Order Date]],"MMM")</f>
        <v>Sep</v>
      </c>
      <c r="W403" t="str">
        <f>TEXT(Table1[[#This Row],[Order Date]],"yyyy")</f>
        <v>2024</v>
      </c>
    </row>
    <row r="404" spans="1:23" x14ac:dyDescent="0.25">
      <c r="A404" s="2" t="s">
        <v>623</v>
      </c>
      <c r="B404" s="4">
        <v>45548</v>
      </c>
      <c r="C404" s="2" t="s">
        <v>479</v>
      </c>
      <c r="D404" s="2" t="str">
        <f>TEXT(Table1[[#This Row],[Order Date]],"mmmm")</f>
        <v>September</v>
      </c>
      <c r="E404" s="2" t="s">
        <v>91</v>
      </c>
      <c r="F404" s="2">
        <v>1</v>
      </c>
      <c r="G404" s="5">
        <v>0</v>
      </c>
      <c r="H404" s="2" t="s">
        <v>19</v>
      </c>
      <c r="I404" s="2" t="s">
        <v>26</v>
      </c>
      <c r="J404" s="2" t="s">
        <v>21</v>
      </c>
      <c r="K404">
        <f>VLOOKUP(E404,Products!$A$2:$E$23,5,0)</f>
        <v>1199</v>
      </c>
      <c r="L404">
        <f>VLOOKUP(E404,Products!$A$2:$E$23,4,0)</f>
        <v>600</v>
      </c>
      <c r="M404" s="2">
        <f>K404*F404-Table1[[#This Row],[discount_amount]]</f>
        <v>1199</v>
      </c>
      <c r="N404">
        <f t="shared" si="13"/>
        <v>600</v>
      </c>
      <c r="O404">
        <f t="shared" si="12"/>
        <v>599</v>
      </c>
      <c r="P404">
        <f>Table1[[#This Row],[Quantity]]*Table1[[#This Row],[unit_price]]*Table1[[#This Row],[Discount]]</f>
        <v>0</v>
      </c>
      <c r="Q404" t="str">
        <f>VLOOKUP(E404,Products!$A$2:$E$23,2,0)</f>
        <v>Formal Shirt</v>
      </c>
      <c r="R404" t="str">
        <f>VLOOKUP(Table1[[#This Row],[Product ID]],Products!$A$2:$E$23,3,0)</f>
        <v>Clothing</v>
      </c>
      <c r="S404" t="str">
        <f>VLOOKUP(C404,Customers!$A$2:$F$201,4,0)</f>
        <v>Telangana</v>
      </c>
      <c r="T404" t="str">
        <f>VLOOKUP(Table1[[#This Row],[Customer ID]],Customers!$A$2:$F$201,5,0)</f>
        <v>South</v>
      </c>
      <c r="U404" t="str">
        <f>VLOOKUP(Table1[[#This Row],[Customer ID]],Customers!$A$2:$F$201,6,0)</f>
        <v>Consumer</v>
      </c>
      <c r="V404" t="str">
        <f>TEXT(Table1[[#This Row],[Order Date]],"MMM")</f>
        <v>Sep</v>
      </c>
      <c r="W404" t="str">
        <f>TEXT(Table1[[#This Row],[Order Date]],"yyyy")</f>
        <v>2024</v>
      </c>
    </row>
    <row r="405" spans="1:23" x14ac:dyDescent="0.25">
      <c r="A405" s="2" t="s">
        <v>624</v>
      </c>
      <c r="B405" s="4">
        <v>45550</v>
      </c>
      <c r="C405" s="2" t="s">
        <v>337</v>
      </c>
      <c r="D405" s="2" t="str">
        <f>TEXT(Table1[[#This Row],[Order Date]],"mmmm")</f>
        <v>September</v>
      </c>
      <c r="E405" s="2" t="s">
        <v>37</v>
      </c>
      <c r="F405" s="2">
        <v>3</v>
      </c>
      <c r="G405" s="5">
        <v>0.1</v>
      </c>
      <c r="H405" s="2" t="s">
        <v>19</v>
      </c>
      <c r="I405" s="2" t="s">
        <v>38</v>
      </c>
      <c r="J405" s="2" t="s">
        <v>21</v>
      </c>
      <c r="K405">
        <f>VLOOKUP(E405,Products!$A$2:$E$23,5,0)</f>
        <v>1799</v>
      </c>
      <c r="L405">
        <f>VLOOKUP(E405,Products!$A$2:$E$23,4,0)</f>
        <v>900</v>
      </c>
      <c r="M405" s="2">
        <f>K405*F405-Table1[[#This Row],[discount_amount]]</f>
        <v>4857.3</v>
      </c>
      <c r="N405">
        <f t="shared" si="13"/>
        <v>2700</v>
      </c>
      <c r="O405">
        <f t="shared" si="12"/>
        <v>2157.3000000000002</v>
      </c>
      <c r="P405">
        <f>Table1[[#This Row],[Quantity]]*Table1[[#This Row],[unit_price]]*Table1[[#This Row],[Discount]]</f>
        <v>539.70000000000005</v>
      </c>
      <c r="Q405" t="str">
        <f>VLOOKUP(E405,Products!$A$2:$E$23,2,0)</f>
        <v>Denim Jeans</v>
      </c>
      <c r="R405" t="str">
        <f>VLOOKUP(Table1[[#This Row],[Product ID]],Products!$A$2:$E$23,3,0)</f>
        <v>Clothing</v>
      </c>
      <c r="S405" t="str">
        <f>VLOOKUP(C405,Customers!$A$2:$F$201,4,0)</f>
        <v>Madhya Pradesh</v>
      </c>
      <c r="T405" t="str">
        <f>VLOOKUP(Table1[[#This Row],[Customer ID]],Customers!$A$2:$F$201,5,0)</f>
        <v>Central</v>
      </c>
      <c r="U405" t="str">
        <f>VLOOKUP(Table1[[#This Row],[Customer ID]],Customers!$A$2:$F$201,6,0)</f>
        <v>Corporate</v>
      </c>
      <c r="V405" t="str">
        <f>TEXT(Table1[[#This Row],[Order Date]],"MMM")</f>
        <v>Sep</v>
      </c>
      <c r="W405" t="str">
        <f>TEXT(Table1[[#This Row],[Order Date]],"yyyy")</f>
        <v>2024</v>
      </c>
    </row>
    <row r="406" spans="1:23" x14ac:dyDescent="0.25">
      <c r="A406" s="2" t="s">
        <v>625</v>
      </c>
      <c r="B406" s="4">
        <v>45550</v>
      </c>
      <c r="C406" s="2" t="s">
        <v>626</v>
      </c>
      <c r="D406" s="2" t="str">
        <f>TEXT(Table1[[#This Row],[Order Date]],"mmmm")</f>
        <v>September</v>
      </c>
      <c r="E406" s="2" t="s">
        <v>111</v>
      </c>
      <c r="F406" s="2">
        <v>10</v>
      </c>
      <c r="G406" s="5">
        <v>0</v>
      </c>
      <c r="H406" s="2" t="s">
        <v>25</v>
      </c>
      <c r="I406" s="2" t="s">
        <v>26</v>
      </c>
      <c r="J406" s="2" t="s">
        <v>21</v>
      </c>
      <c r="K406">
        <f>VLOOKUP(E406,Products!$A$2:$E$23,5,0)</f>
        <v>240</v>
      </c>
      <c r="L406">
        <f>VLOOKUP(E406,Products!$A$2:$E$23,4,0)</f>
        <v>140</v>
      </c>
      <c r="M406" s="2">
        <f>K406*F406-Table1[[#This Row],[discount_amount]]</f>
        <v>2400</v>
      </c>
      <c r="N406">
        <f t="shared" si="13"/>
        <v>1400</v>
      </c>
      <c r="O406">
        <f t="shared" si="12"/>
        <v>1000</v>
      </c>
      <c r="P406">
        <f>Table1[[#This Row],[Quantity]]*Table1[[#This Row],[unit_price]]*Table1[[#This Row],[Discount]]</f>
        <v>0</v>
      </c>
      <c r="Q406" t="str">
        <f>VLOOKUP(E406,Products!$A$2:$E$23,2,0)</f>
        <v>Whiteboard Marker Set</v>
      </c>
      <c r="R406" t="str">
        <f>VLOOKUP(Table1[[#This Row],[Product ID]],Products!$A$2:$E$23,3,0)</f>
        <v>Office Supplies</v>
      </c>
      <c r="S406" t="str">
        <f>VLOOKUP(C406,Customers!$A$2:$F$201,4,0)</f>
        <v>Madhya Pradesh</v>
      </c>
      <c r="T406" t="str">
        <f>VLOOKUP(Table1[[#This Row],[Customer ID]],Customers!$A$2:$F$201,5,0)</f>
        <v>Central</v>
      </c>
      <c r="U406" t="str">
        <f>VLOOKUP(Table1[[#This Row],[Customer ID]],Customers!$A$2:$F$201,6,0)</f>
        <v>Corporate</v>
      </c>
      <c r="V406" t="str">
        <f>TEXT(Table1[[#This Row],[Order Date]],"MMM")</f>
        <v>Sep</v>
      </c>
      <c r="W406" t="str">
        <f>TEXT(Table1[[#This Row],[Order Date]],"yyyy")</f>
        <v>2024</v>
      </c>
    </row>
    <row r="407" spans="1:23" x14ac:dyDescent="0.25">
      <c r="A407" s="2" t="s">
        <v>627</v>
      </c>
      <c r="B407" s="4">
        <v>45550</v>
      </c>
      <c r="C407" s="2" t="s">
        <v>48</v>
      </c>
      <c r="D407" s="2" t="str">
        <f>TEXT(Table1[[#This Row],[Order Date]],"mmmm")</f>
        <v>September</v>
      </c>
      <c r="E407" s="2" t="s">
        <v>57</v>
      </c>
      <c r="F407" s="2">
        <v>3</v>
      </c>
      <c r="G407" s="5">
        <v>0.1</v>
      </c>
      <c r="H407" s="2" t="s">
        <v>25</v>
      </c>
      <c r="I407" s="2" t="s">
        <v>26</v>
      </c>
      <c r="J407" s="2" t="s">
        <v>79</v>
      </c>
      <c r="K407">
        <f>VLOOKUP(E407,Products!$A$2:$E$23,5,0)</f>
        <v>1599</v>
      </c>
      <c r="L407">
        <f>VLOOKUP(E407,Products!$A$2:$E$23,4,0)</f>
        <v>800</v>
      </c>
      <c r="M407" s="2">
        <f>K407*F407-Table1[[#This Row],[discount_amount]]</f>
        <v>4317.3</v>
      </c>
      <c r="N407">
        <f t="shared" si="13"/>
        <v>2400</v>
      </c>
      <c r="O407">
        <f t="shared" si="12"/>
        <v>1917.3000000000002</v>
      </c>
      <c r="P407">
        <f>Table1[[#This Row],[Quantity]]*Table1[[#This Row],[unit_price]]*Table1[[#This Row],[Discount]]</f>
        <v>479.70000000000005</v>
      </c>
      <c r="Q407" t="str">
        <f>VLOOKUP(E407,Products!$A$2:$E$23,2,0)</f>
        <v>Hoodie</v>
      </c>
      <c r="R407" t="str">
        <f>VLOOKUP(Table1[[#This Row],[Product ID]],Products!$A$2:$E$23,3,0)</f>
        <v>Clothing</v>
      </c>
      <c r="S407" t="str">
        <f>VLOOKUP(C407,Customers!$A$2:$F$201,4,0)</f>
        <v>Maharashtra</v>
      </c>
      <c r="T407" t="str">
        <f>VLOOKUP(Table1[[#This Row],[Customer ID]],Customers!$A$2:$F$201,5,0)</f>
        <v>West</v>
      </c>
      <c r="U407" t="str">
        <f>VLOOKUP(Table1[[#This Row],[Customer ID]],Customers!$A$2:$F$201,6,0)</f>
        <v>Home Office</v>
      </c>
      <c r="V407" t="str">
        <f>TEXT(Table1[[#This Row],[Order Date]],"MMM")</f>
        <v>Sep</v>
      </c>
      <c r="W407" t="str">
        <f>TEXT(Table1[[#This Row],[Order Date]],"yyyy")</f>
        <v>2024</v>
      </c>
    </row>
    <row r="408" spans="1:23" x14ac:dyDescent="0.25">
      <c r="A408" s="2" t="s">
        <v>628</v>
      </c>
      <c r="B408" s="4">
        <v>45551</v>
      </c>
      <c r="C408" s="2" t="s">
        <v>629</v>
      </c>
      <c r="D408" s="2" t="str">
        <f>TEXT(Table1[[#This Row],[Order Date]],"mmmm")</f>
        <v>September</v>
      </c>
      <c r="E408" s="2" t="s">
        <v>49</v>
      </c>
      <c r="F408" s="2">
        <v>10</v>
      </c>
      <c r="G408" s="5">
        <v>0</v>
      </c>
      <c r="H408" s="2" t="s">
        <v>25</v>
      </c>
      <c r="I408" s="2" t="s">
        <v>31</v>
      </c>
      <c r="J408" s="2" t="s">
        <v>21</v>
      </c>
      <c r="K408">
        <f>VLOOKUP(E408,Products!$A$2:$E$23,5,0)</f>
        <v>700</v>
      </c>
      <c r="L408">
        <f>VLOOKUP(E408,Products!$A$2:$E$23,4,0)</f>
        <v>450</v>
      </c>
      <c r="M408" s="2">
        <f>K408*F408-Table1[[#This Row],[discount_amount]]</f>
        <v>7000</v>
      </c>
      <c r="N408">
        <f t="shared" si="13"/>
        <v>4500</v>
      </c>
      <c r="O408">
        <f t="shared" si="12"/>
        <v>2500</v>
      </c>
      <c r="P408">
        <f>Table1[[#This Row],[Quantity]]*Table1[[#This Row],[unit_price]]*Table1[[#This Row],[Discount]]</f>
        <v>0</v>
      </c>
      <c r="Q408" t="str">
        <f>VLOOKUP(E408,Products!$A$2:$E$23,2,0)</f>
        <v>Wireless Mouse</v>
      </c>
      <c r="R408" t="str">
        <f>VLOOKUP(Table1[[#This Row],[Product ID]],Products!$A$2:$E$23,3,0)</f>
        <v>Electronics</v>
      </c>
      <c r="S408" t="str">
        <f>VLOOKUP(C408,Customers!$A$2:$F$201,4,0)</f>
        <v>West Bengal</v>
      </c>
      <c r="T408" t="str">
        <f>VLOOKUP(Table1[[#This Row],[Customer ID]],Customers!$A$2:$F$201,5,0)</f>
        <v>East</v>
      </c>
      <c r="U408" t="str">
        <f>VLOOKUP(Table1[[#This Row],[Customer ID]],Customers!$A$2:$F$201,6,0)</f>
        <v>Consumer</v>
      </c>
      <c r="V408" t="str">
        <f>TEXT(Table1[[#This Row],[Order Date]],"MMM")</f>
        <v>Sep</v>
      </c>
      <c r="W408" t="str">
        <f>TEXT(Table1[[#This Row],[Order Date]],"yyyy")</f>
        <v>2024</v>
      </c>
    </row>
    <row r="409" spans="1:23" x14ac:dyDescent="0.25">
      <c r="A409" s="2" t="s">
        <v>630</v>
      </c>
      <c r="B409" s="4">
        <v>45551</v>
      </c>
      <c r="C409" s="2" t="s">
        <v>115</v>
      </c>
      <c r="D409" s="2" t="str">
        <f>TEXT(Table1[[#This Row],[Order Date]],"mmmm")</f>
        <v>September</v>
      </c>
      <c r="E409" s="2" t="s">
        <v>118</v>
      </c>
      <c r="F409" s="2">
        <v>10</v>
      </c>
      <c r="G409" s="5">
        <v>0.15</v>
      </c>
      <c r="H409" s="2" t="s">
        <v>25</v>
      </c>
      <c r="I409" s="2" t="s">
        <v>26</v>
      </c>
      <c r="J409" s="2" t="s">
        <v>21</v>
      </c>
      <c r="K409">
        <f>VLOOKUP(E409,Products!$A$2:$E$23,5,0)</f>
        <v>150</v>
      </c>
      <c r="L409">
        <f>VLOOKUP(E409,Products!$A$2:$E$23,4,0)</f>
        <v>90</v>
      </c>
      <c r="M409" s="2">
        <f>K409*F409-Table1[[#This Row],[discount_amount]]</f>
        <v>1275</v>
      </c>
      <c r="N409">
        <f t="shared" si="13"/>
        <v>900</v>
      </c>
      <c r="O409">
        <f t="shared" si="12"/>
        <v>375</v>
      </c>
      <c r="P409">
        <f>Table1[[#This Row],[Quantity]]*Table1[[#This Row],[unit_price]]*Table1[[#This Row],[Discount]]</f>
        <v>225</v>
      </c>
      <c r="Q409" t="str">
        <f>VLOOKUP(E409,Products!$A$2:$E$23,2,0)</f>
        <v>Gel Pen Box</v>
      </c>
      <c r="R409" t="str">
        <f>VLOOKUP(Table1[[#This Row],[Product ID]],Products!$A$2:$E$23,3,0)</f>
        <v>Office Supplies</v>
      </c>
      <c r="S409" t="str">
        <f>VLOOKUP(C409,Customers!$A$2:$F$201,4,0)</f>
        <v>Bihar</v>
      </c>
      <c r="T409" t="str">
        <f>VLOOKUP(Table1[[#This Row],[Customer ID]],Customers!$A$2:$F$201,5,0)</f>
        <v>East</v>
      </c>
      <c r="U409" t="str">
        <f>VLOOKUP(Table1[[#This Row],[Customer ID]],Customers!$A$2:$F$201,6,0)</f>
        <v>Consumer</v>
      </c>
      <c r="V409" t="str">
        <f>TEXT(Table1[[#This Row],[Order Date]],"MMM")</f>
        <v>Sep</v>
      </c>
      <c r="W409" t="str">
        <f>TEXT(Table1[[#This Row],[Order Date]],"yyyy")</f>
        <v>2024</v>
      </c>
    </row>
    <row r="410" spans="1:23" x14ac:dyDescent="0.25">
      <c r="A410" s="2" t="s">
        <v>631</v>
      </c>
      <c r="B410" s="4">
        <v>45552</v>
      </c>
      <c r="C410" s="2" t="s">
        <v>76</v>
      </c>
      <c r="D410" s="2" t="str">
        <f>TEXT(Table1[[#This Row],[Order Date]],"mmmm")</f>
        <v>September</v>
      </c>
      <c r="E410" s="2" t="s">
        <v>63</v>
      </c>
      <c r="F410" s="2">
        <v>10</v>
      </c>
      <c r="G410" s="5">
        <v>0</v>
      </c>
      <c r="H410" s="2" t="s">
        <v>25</v>
      </c>
      <c r="I410" s="2" t="s">
        <v>26</v>
      </c>
      <c r="J410" s="2" t="s">
        <v>21</v>
      </c>
      <c r="K410">
        <f>VLOOKUP(E410,Products!$A$2:$E$23,5,0)</f>
        <v>5499</v>
      </c>
      <c r="L410">
        <f>VLOOKUP(E410,Products!$A$2:$E$23,4,0)</f>
        <v>3500</v>
      </c>
      <c r="M410" s="2">
        <f>K410*F410-Table1[[#This Row],[discount_amount]]</f>
        <v>54990</v>
      </c>
      <c r="N410">
        <f t="shared" si="13"/>
        <v>35000</v>
      </c>
      <c r="O410">
        <f t="shared" si="12"/>
        <v>19990</v>
      </c>
      <c r="P410">
        <f>Table1[[#This Row],[Quantity]]*Table1[[#This Row],[unit_price]]*Table1[[#This Row],[Discount]]</f>
        <v>0</v>
      </c>
      <c r="Q410" t="str">
        <f>VLOOKUP(E410,Products!$A$2:$E$23,2,0)</f>
        <v>Office Chair</v>
      </c>
      <c r="R410" t="str">
        <f>VLOOKUP(Table1[[#This Row],[Product ID]],Products!$A$2:$E$23,3,0)</f>
        <v>Furniture</v>
      </c>
      <c r="S410" t="str">
        <f>VLOOKUP(C410,Customers!$A$2:$F$201,4,0)</f>
        <v>West Bengal</v>
      </c>
      <c r="T410" t="str">
        <f>VLOOKUP(Table1[[#This Row],[Customer ID]],Customers!$A$2:$F$201,5,0)</f>
        <v>East</v>
      </c>
      <c r="U410" t="str">
        <f>VLOOKUP(Table1[[#This Row],[Customer ID]],Customers!$A$2:$F$201,6,0)</f>
        <v>Corporate</v>
      </c>
      <c r="V410" t="str">
        <f>TEXT(Table1[[#This Row],[Order Date]],"MMM")</f>
        <v>Sep</v>
      </c>
      <c r="W410" t="str">
        <f>TEXT(Table1[[#This Row],[Order Date]],"yyyy")</f>
        <v>2024</v>
      </c>
    </row>
    <row r="411" spans="1:23" x14ac:dyDescent="0.25">
      <c r="A411" s="2" t="s">
        <v>632</v>
      </c>
      <c r="B411" s="4">
        <v>45553</v>
      </c>
      <c r="C411" s="2" t="s">
        <v>306</v>
      </c>
      <c r="D411" s="2" t="str">
        <f>TEXT(Table1[[#This Row],[Order Date]],"mmmm")</f>
        <v>September</v>
      </c>
      <c r="E411" s="2" t="s">
        <v>63</v>
      </c>
      <c r="F411" s="2">
        <v>2</v>
      </c>
      <c r="G411" s="5">
        <v>0.1</v>
      </c>
      <c r="H411" s="2" t="s">
        <v>30</v>
      </c>
      <c r="I411" s="2" t="s">
        <v>31</v>
      </c>
      <c r="J411" s="2" t="s">
        <v>21</v>
      </c>
      <c r="K411">
        <f>VLOOKUP(E411,Products!$A$2:$E$23,5,0)</f>
        <v>5499</v>
      </c>
      <c r="L411">
        <f>VLOOKUP(E411,Products!$A$2:$E$23,4,0)</f>
        <v>3500</v>
      </c>
      <c r="M411" s="2">
        <f>K411*F411-Table1[[#This Row],[discount_amount]]</f>
        <v>9898.2000000000007</v>
      </c>
      <c r="N411">
        <f t="shared" si="13"/>
        <v>7000</v>
      </c>
      <c r="O411">
        <f t="shared" si="12"/>
        <v>2898.2000000000007</v>
      </c>
      <c r="P411">
        <f>Table1[[#This Row],[Quantity]]*Table1[[#This Row],[unit_price]]*Table1[[#This Row],[Discount]]</f>
        <v>1099.8</v>
      </c>
      <c r="Q411" t="str">
        <f>VLOOKUP(E411,Products!$A$2:$E$23,2,0)</f>
        <v>Office Chair</v>
      </c>
      <c r="R411" t="str">
        <f>VLOOKUP(Table1[[#This Row],[Product ID]],Products!$A$2:$E$23,3,0)</f>
        <v>Furniture</v>
      </c>
      <c r="S411" t="str">
        <f>VLOOKUP(C411,Customers!$A$2:$F$201,4,0)</f>
        <v>Telangana</v>
      </c>
      <c r="T411" t="str">
        <f>VLOOKUP(Table1[[#This Row],[Customer ID]],Customers!$A$2:$F$201,5,0)</f>
        <v>South</v>
      </c>
      <c r="U411" t="str">
        <f>VLOOKUP(Table1[[#This Row],[Customer ID]],Customers!$A$2:$F$201,6,0)</f>
        <v>Consumer</v>
      </c>
      <c r="V411" t="str">
        <f>TEXT(Table1[[#This Row],[Order Date]],"MMM")</f>
        <v>Sep</v>
      </c>
      <c r="W411" t="str">
        <f>TEXT(Table1[[#This Row],[Order Date]],"yyyy")</f>
        <v>2024</v>
      </c>
    </row>
    <row r="412" spans="1:23" x14ac:dyDescent="0.25">
      <c r="A412" s="2" t="s">
        <v>633</v>
      </c>
      <c r="B412" s="4">
        <v>45553</v>
      </c>
      <c r="C412" s="2" t="s">
        <v>166</v>
      </c>
      <c r="D412" s="2" t="str">
        <f>TEXT(Table1[[#This Row],[Order Date]],"mmmm")</f>
        <v>September</v>
      </c>
      <c r="E412" s="2" t="s">
        <v>54</v>
      </c>
      <c r="F412" s="2">
        <v>10</v>
      </c>
      <c r="G412" s="5">
        <v>0</v>
      </c>
      <c r="H412" s="2" t="s">
        <v>19</v>
      </c>
      <c r="I412" s="2" t="s">
        <v>38</v>
      </c>
      <c r="J412" s="2" t="s">
        <v>21</v>
      </c>
      <c r="K412">
        <f>VLOOKUP(E412,Products!$A$2:$E$23,5,0)</f>
        <v>299</v>
      </c>
      <c r="L412">
        <f>VLOOKUP(E412,Products!$A$2:$E$23,4,0)</f>
        <v>180</v>
      </c>
      <c r="M412" s="2">
        <f>K412*F412-Table1[[#This Row],[discount_amount]]</f>
        <v>2990</v>
      </c>
      <c r="N412">
        <f t="shared" si="13"/>
        <v>1800</v>
      </c>
      <c r="O412">
        <f t="shared" si="12"/>
        <v>1190</v>
      </c>
      <c r="P412">
        <f>Table1[[#This Row],[Quantity]]*Table1[[#This Row],[unit_price]]*Table1[[#This Row],[Discount]]</f>
        <v>0</v>
      </c>
      <c r="Q412" t="str">
        <f>VLOOKUP(E412,Products!$A$2:$E$23,2,0)</f>
        <v>Notebook Pack of 5</v>
      </c>
      <c r="R412" t="str">
        <f>VLOOKUP(Table1[[#This Row],[Product ID]],Products!$A$2:$E$23,3,0)</f>
        <v>Office Supplies</v>
      </c>
      <c r="S412" t="str">
        <f>VLOOKUP(C412,Customers!$A$2:$F$201,4,0)</f>
        <v>Gujarat</v>
      </c>
      <c r="T412" t="str">
        <f>VLOOKUP(Table1[[#This Row],[Customer ID]],Customers!$A$2:$F$201,5,0)</f>
        <v>West</v>
      </c>
      <c r="U412" t="str">
        <f>VLOOKUP(Table1[[#This Row],[Customer ID]],Customers!$A$2:$F$201,6,0)</f>
        <v>Consumer</v>
      </c>
      <c r="V412" t="str">
        <f>TEXT(Table1[[#This Row],[Order Date]],"MMM")</f>
        <v>Sep</v>
      </c>
      <c r="W412" t="str">
        <f>TEXT(Table1[[#This Row],[Order Date]],"yyyy")</f>
        <v>2024</v>
      </c>
    </row>
    <row r="413" spans="1:23" x14ac:dyDescent="0.25">
      <c r="A413" s="2" t="s">
        <v>634</v>
      </c>
      <c r="B413" s="4">
        <v>45553</v>
      </c>
      <c r="C413" s="2" t="s">
        <v>520</v>
      </c>
      <c r="D413" s="2" t="str">
        <f>TEXT(Table1[[#This Row],[Order Date]],"mmmm")</f>
        <v>September</v>
      </c>
      <c r="E413" s="2" t="s">
        <v>63</v>
      </c>
      <c r="F413" s="2">
        <v>6</v>
      </c>
      <c r="G413" s="5">
        <v>0.2</v>
      </c>
      <c r="H413" s="2" t="s">
        <v>25</v>
      </c>
      <c r="I413" s="2" t="s">
        <v>46</v>
      </c>
      <c r="J413" s="2" t="s">
        <v>21</v>
      </c>
      <c r="K413">
        <f>VLOOKUP(E413,Products!$A$2:$E$23,5,0)</f>
        <v>5499</v>
      </c>
      <c r="L413">
        <f>VLOOKUP(E413,Products!$A$2:$E$23,4,0)</f>
        <v>3500</v>
      </c>
      <c r="M413" s="2">
        <f>K413*F413-Table1[[#This Row],[discount_amount]]</f>
        <v>26395.200000000001</v>
      </c>
      <c r="N413">
        <f t="shared" si="13"/>
        <v>21000</v>
      </c>
      <c r="O413">
        <f t="shared" si="12"/>
        <v>5395.2000000000007</v>
      </c>
      <c r="P413">
        <f>Table1[[#This Row],[Quantity]]*Table1[[#This Row],[unit_price]]*Table1[[#This Row],[Discount]]</f>
        <v>6598.8</v>
      </c>
      <c r="Q413" t="str">
        <f>VLOOKUP(E413,Products!$A$2:$E$23,2,0)</f>
        <v>Office Chair</v>
      </c>
      <c r="R413" t="str">
        <f>VLOOKUP(Table1[[#This Row],[Product ID]],Products!$A$2:$E$23,3,0)</f>
        <v>Furniture</v>
      </c>
      <c r="S413" t="str">
        <f>VLOOKUP(C413,Customers!$A$2:$F$201,4,0)</f>
        <v>Karnataka</v>
      </c>
      <c r="T413" t="str">
        <f>VLOOKUP(Table1[[#This Row],[Customer ID]],Customers!$A$2:$F$201,5,0)</f>
        <v>South</v>
      </c>
      <c r="U413" t="str">
        <f>VLOOKUP(Table1[[#This Row],[Customer ID]],Customers!$A$2:$F$201,6,0)</f>
        <v>Home Office</v>
      </c>
      <c r="V413" t="str">
        <f>TEXT(Table1[[#This Row],[Order Date]],"MMM")</f>
        <v>Sep</v>
      </c>
      <c r="W413" t="str">
        <f>TEXT(Table1[[#This Row],[Order Date]],"yyyy")</f>
        <v>2024</v>
      </c>
    </row>
    <row r="414" spans="1:23" x14ac:dyDescent="0.25">
      <c r="A414" s="2" t="s">
        <v>635</v>
      </c>
      <c r="B414" s="4">
        <v>45554</v>
      </c>
      <c r="C414" s="2" t="s">
        <v>636</v>
      </c>
      <c r="D414" s="2" t="str">
        <f>TEXT(Table1[[#This Row],[Order Date]],"mmmm")</f>
        <v>September</v>
      </c>
      <c r="E414" s="2" t="s">
        <v>155</v>
      </c>
      <c r="F414" s="2">
        <v>1</v>
      </c>
      <c r="G414" s="5">
        <v>0.15</v>
      </c>
      <c r="H414" s="2" t="s">
        <v>19</v>
      </c>
      <c r="I414" s="2" t="s">
        <v>26</v>
      </c>
      <c r="J414" s="2" t="s">
        <v>21</v>
      </c>
      <c r="K414">
        <f>VLOOKUP(E414,Products!$A$2:$E$23,5,0)</f>
        <v>1599</v>
      </c>
      <c r="L414">
        <f>VLOOKUP(E414,Products!$A$2:$E$23,4,0)</f>
        <v>900</v>
      </c>
      <c r="M414" s="2">
        <f>K414*F414-Table1[[#This Row],[discount_amount]]</f>
        <v>1359.15</v>
      </c>
      <c r="N414">
        <f t="shared" si="13"/>
        <v>900</v>
      </c>
      <c r="O414">
        <f t="shared" si="12"/>
        <v>459.15000000000009</v>
      </c>
      <c r="P414">
        <f>Table1[[#This Row],[Quantity]]*Table1[[#This Row],[unit_price]]*Table1[[#This Row],[Discount]]</f>
        <v>239.85</v>
      </c>
      <c r="Q414" t="str">
        <f>VLOOKUP(E414,Products!$A$2:$E$23,2,0)</f>
        <v>Headphones</v>
      </c>
      <c r="R414" t="str">
        <f>VLOOKUP(Table1[[#This Row],[Product ID]],Products!$A$2:$E$23,3,0)</f>
        <v>Electronics</v>
      </c>
      <c r="S414" t="str">
        <f>VLOOKUP(C414,Customers!$A$2:$F$201,4,0)</f>
        <v>Rajasthan</v>
      </c>
      <c r="T414" t="str">
        <f>VLOOKUP(Table1[[#This Row],[Customer ID]],Customers!$A$2:$F$201,5,0)</f>
        <v>North</v>
      </c>
      <c r="U414" t="str">
        <f>VLOOKUP(Table1[[#This Row],[Customer ID]],Customers!$A$2:$F$201,6,0)</f>
        <v>Home Office</v>
      </c>
      <c r="V414" t="str">
        <f>TEXT(Table1[[#This Row],[Order Date]],"MMM")</f>
        <v>Sep</v>
      </c>
      <c r="W414" t="str">
        <f>TEXT(Table1[[#This Row],[Order Date]],"yyyy")</f>
        <v>2024</v>
      </c>
    </row>
    <row r="415" spans="1:23" x14ac:dyDescent="0.25">
      <c r="A415" s="2" t="s">
        <v>637</v>
      </c>
      <c r="B415" s="4">
        <v>45554</v>
      </c>
      <c r="C415" s="2" t="s">
        <v>248</v>
      </c>
      <c r="D415" s="2" t="str">
        <f>TEXT(Table1[[#This Row],[Order Date]],"mmmm")</f>
        <v>September</v>
      </c>
      <c r="E415" s="2" t="s">
        <v>37</v>
      </c>
      <c r="F415" s="2">
        <v>3</v>
      </c>
      <c r="G415" s="5">
        <v>0.1</v>
      </c>
      <c r="H415" s="2" t="s">
        <v>25</v>
      </c>
      <c r="I415" s="2" t="s">
        <v>26</v>
      </c>
      <c r="J415" s="2" t="s">
        <v>21</v>
      </c>
      <c r="K415">
        <f>VLOOKUP(E415,Products!$A$2:$E$23,5,0)</f>
        <v>1799</v>
      </c>
      <c r="L415">
        <f>VLOOKUP(E415,Products!$A$2:$E$23,4,0)</f>
        <v>900</v>
      </c>
      <c r="M415" s="2">
        <f>K415*F415-Table1[[#This Row],[discount_amount]]</f>
        <v>4857.3</v>
      </c>
      <c r="N415">
        <f t="shared" si="13"/>
        <v>2700</v>
      </c>
      <c r="O415">
        <f t="shared" si="12"/>
        <v>2157.3000000000002</v>
      </c>
      <c r="P415">
        <f>Table1[[#This Row],[Quantity]]*Table1[[#This Row],[unit_price]]*Table1[[#This Row],[Discount]]</f>
        <v>539.70000000000005</v>
      </c>
      <c r="Q415" t="str">
        <f>VLOOKUP(E415,Products!$A$2:$E$23,2,0)</f>
        <v>Denim Jeans</v>
      </c>
      <c r="R415" t="str">
        <f>VLOOKUP(Table1[[#This Row],[Product ID]],Products!$A$2:$E$23,3,0)</f>
        <v>Clothing</v>
      </c>
      <c r="S415" t="str">
        <f>VLOOKUP(C415,Customers!$A$2:$F$201,4,0)</f>
        <v>West Bengal</v>
      </c>
      <c r="T415" t="str">
        <f>VLOOKUP(Table1[[#This Row],[Customer ID]],Customers!$A$2:$F$201,5,0)</f>
        <v>East</v>
      </c>
      <c r="U415" t="str">
        <f>VLOOKUP(Table1[[#This Row],[Customer ID]],Customers!$A$2:$F$201,6,0)</f>
        <v>Consumer</v>
      </c>
      <c r="V415" t="str">
        <f>TEXT(Table1[[#This Row],[Order Date]],"MMM")</f>
        <v>Sep</v>
      </c>
      <c r="W415" t="str">
        <f>TEXT(Table1[[#This Row],[Order Date]],"yyyy")</f>
        <v>2024</v>
      </c>
    </row>
    <row r="416" spans="1:23" x14ac:dyDescent="0.25">
      <c r="A416" s="2" t="s">
        <v>638</v>
      </c>
      <c r="B416" s="4">
        <v>45555</v>
      </c>
      <c r="C416" s="2" t="s">
        <v>639</v>
      </c>
      <c r="D416" s="2" t="str">
        <f>TEXT(Table1[[#This Row],[Order Date]],"mmmm")</f>
        <v>September</v>
      </c>
      <c r="E416" s="2" t="s">
        <v>24</v>
      </c>
      <c r="F416" s="2">
        <v>2</v>
      </c>
      <c r="G416" s="5">
        <v>0</v>
      </c>
      <c r="H416" s="2" t="s">
        <v>30</v>
      </c>
      <c r="I416" s="2" t="s">
        <v>20</v>
      </c>
      <c r="J416" s="2" t="s">
        <v>21</v>
      </c>
      <c r="K416">
        <f>VLOOKUP(E416,Products!$A$2:$E$23,5,0)</f>
        <v>899</v>
      </c>
      <c r="L416">
        <f>VLOOKUP(E416,Products!$A$2:$E$23,4,0)</f>
        <v>500</v>
      </c>
      <c r="M416" s="2">
        <f>K416*F416-Table1[[#This Row],[discount_amount]]</f>
        <v>1798</v>
      </c>
      <c r="N416">
        <f t="shared" si="13"/>
        <v>1000</v>
      </c>
      <c r="O416">
        <f t="shared" si="12"/>
        <v>798</v>
      </c>
      <c r="P416">
        <f>Table1[[#This Row],[Quantity]]*Table1[[#This Row],[unit_price]]*Table1[[#This Row],[Discount]]</f>
        <v>0</v>
      </c>
      <c r="Q416" t="str">
        <f>VLOOKUP(E416,Products!$A$2:$E$23,2,0)</f>
        <v>Monitor Stand</v>
      </c>
      <c r="R416" t="str">
        <f>VLOOKUP(Table1[[#This Row],[Product ID]],Products!$A$2:$E$23,3,0)</f>
        <v>Furniture</v>
      </c>
      <c r="S416" t="str">
        <f>VLOOKUP(C416,Customers!$A$2:$F$201,4,0)</f>
        <v>Madhya Pradesh</v>
      </c>
      <c r="T416" t="str">
        <f>VLOOKUP(Table1[[#This Row],[Customer ID]],Customers!$A$2:$F$201,5,0)</f>
        <v>Central</v>
      </c>
      <c r="U416" t="str">
        <f>VLOOKUP(Table1[[#This Row],[Customer ID]],Customers!$A$2:$F$201,6,0)</f>
        <v>Consumer</v>
      </c>
      <c r="V416" t="str">
        <f>TEXT(Table1[[#This Row],[Order Date]],"MMM")</f>
        <v>Sep</v>
      </c>
      <c r="W416" t="str">
        <f>TEXT(Table1[[#This Row],[Order Date]],"yyyy")</f>
        <v>2024</v>
      </c>
    </row>
    <row r="417" spans="1:23" x14ac:dyDescent="0.25">
      <c r="A417" s="2" t="s">
        <v>640</v>
      </c>
      <c r="B417" s="4">
        <v>45560</v>
      </c>
      <c r="C417" s="2" t="s">
        <v>274</v>
      </c>
      <c r="D417" s="2" t="str">
        <f>TEXT(Table1[[#This Row],[Order Date]],"mmmm")</f>
        <v>September</v>
      </c>
      <c r="E417" s="2" t="s">
        <v>18</v>
      </c>
      <c r="F417" s="2">
        <v>2</v>
      </c>
      <c r="G417" s="5">
        <v>0.1</v>
      </c>
      <c r="H417" s="2" t="s">
        <v>19</v>
      </c>
      <c r="I417" s="2" t="s">
        <v>20</v>
      </c>
      <c r="J417" s="2" t="s">
        <v>21</v>
      </c>
      <c r="K417">
        <f>VLOOKUP(E417,Products!$A$2:$E$23,5,0)</f>
        <v>4299</v>
      </c>
      <c r="L417">
        <f>VLOOKUP(E417,Products!$A$2:$E$23,4,0)</f>
        <v>2800</v>
      </c>
      <c r="M417" s="2">
        <f>K417*F417-Table1[[#This Row],[discount_amount]]</f>
        <v>7738.2</v>
      </c>
      <c r="N417">
        <f t="shared" si="13"/>
        <v>5600</v>
      </c>
      <c r="O417">
        <f t="shared" si="12"/>
        <v>2138.1999999999998</v>
      </c>
      <c r="P417">
        <f>Table1[[#This Row],[Quantity]]*Table1[[#This Row],[unit_price]]*Table1[[#This Row],[Discount]]</f>
        <v>859.80000000000007</v>
      </c>
      <c r="Q417" t="str">
        <f>VLOOKUP(E417,Products!$A$2:$E$23,2,0)</f>
        <v>Bookshelf</v>
      </c>
      <c r="R417" t="str">
        <f>VLOOKUP(Table1[[#This Row],[Product ID]],Products!$A$2:$E$23,3,0)</f>
        <v>Furniture</v>
      </c>
      <c r="S417" t="str">
        <f>VLOOKUP(C417,Customers!$A$2:$F$201,4,0)</f>
        <v>Madhya Pradesh</v>
      </c>
      <c r="T417" t="str">
        <f>VLOOKUP(Table1[[#This Row],[Customer ID]],Customers!$A$2:$F$201,5,0)</f>
        <v>Central</v>
      </c>
      <c r="U417" t="str">
        <f>VLOOKUP(Table1[[#This Row],[Customer ID]],Customers!$A$2:$F$201,6,0)</f>
        <v>Consumer</v>
      </c>
      <c r="V417" t="str">
        <f>TEXT(Table1[[#This Row],[Order Date]],"MMM")</f>
        <v>Sep</v>
      </c>
      <c r="W417" t="str">
        <f>TEXT(Table1[[#This Row],[Order Date]],"yyyy")</f>
        <v>2024</v>
      </c>
    </row>
    <row r="418" spans="1:23" x14ac:dyDescent="0.25">
      <c r="A418" s="2" t="s">
        <v>641</v>
      </c>
      <c r="B418" s="4">
        <v>45562</v>
      </c>
      <c r="C418" s="2" t="s">
        <v>325</v>
      </c>
      <c r="D418" s="2" t="str">
        <f>TEXT(Table1[[#This Row],[Order Date]],"mmmm")</f>
        <v>September</v>
      </c>
      <c r="E418" s="2" t="s">
        <v>54</v>
      </c>
      <c r="F418" s="2">
        <v>3</v>
      </c>
      <c r="G418" s="5">
        <v>0.05</v>
      </c>
      <c r="H418" s="2" t="s">
        <v>25</v>
      </c>
      <c r="I418" s="2" t="s">
        <v>31</v>
      </c>
      <c r="J418" s="2" t="s">
        <v>21</v>
      </c>
      <c r="K418">
        <f>VLOOKUP(E418,Products!$A$2:$E$23,5,0)</f>
        <v>299</v>
      </c>
      <c r="L418">
        <f>VLOOKUP(E418,Products!$A$2:$E$23,4,0)</f>
        <v>180</v>
      </c>
      <c r="M418" s="2">
        <f>K418*F418-Table1[[#This Row],[discount_amount]]</f>
        <v>852.15</v>
      </c>
      <c r="N418">
        <f t="shared" si="13"/>
        <v>540</v>
      </c>
      <c r="O418">
        <f t="shared" si="12"/>
        <v>312.14999999999998</v>
      </c>
      <c r="P418">
        <f>Table1[[#This Row],[Quantity]]*Table1[[#This Row],[unit_price]]*Table1[[#This Row],[Discount]]</f>
        <v>44.85</v>
      </c>
      <c r="Q418" t="str">
        <f>VLOOKUP(E418,Products!$A$2:$E$23,2,0)</f>
        <v>Notebook Pack of 5</v>
      </c>
      <c r="R418" t="str">
        <f>VLOOKUP(Table1[[#This Row],[Product ID]],Products!$A$2:$E$23,3,0)</f>
        <v>Office Supplies</v>
      </c>
      <c r="S418" t="str">
        <f>VLOOKUP(C418,Customers!$A$2:$F$201,4,0)</f>
        <v>Maharashtra</v>
      </c>
      <c r="T418" t="str">
        <f>VLOOKUP(Table1[[#This Row],[Customer ID]],Customers!$A$2:$F$201,5,0)</f>
        <v>West</v>
      </c>
      <c r="U418" t="str">
        <f>VLOOKUP(Table1[[#This Row],[Customer ID]],Customers!$A$2:$F$201,6,0)</f>
        <v>Corporate</v>
      </c>
      <c r="V418" t="str">
        <f>TEXT(Table1[[#This Row],[Order Date]],"MMM")</f>
        <v>Sep</v>
      </c>
      <c r="W418" t="str">
        <f>TEXT(Table1[[#This Row],[Order Date]],"yyyy")</f>
        <v>2024</v>
      </c>
    </row>
    <row r="419" spans="1:23" x14ac:dyDescent="0.25">
      <c r="A419" s="2" t="s">
        <v>642</v>
      </c>
      <c r="B419" s="4">
        <v>45562</v>
      </c>
      <c r="C419" s="2" t="s">
        <v>56</v>
      </c>
      <c r="D419" s="2" t="str">
        <f>TEXT(Table1[[#This Row],[Order Date]],"mmmm")</f>
        <v>September</v>
      </c>
      <c r="E419" s="2" t="s">
        <v>29</v>
      </c>
      <c r="F419" s="2">
        <v>2</v>
      </c>
      <c r="G419" s="5">
        <v>0.15</v>
      </c>
      <c r="H419" s="2" t="s">
        <v>25</v>
      </c>
      <c r="I419" s="2" t="s">
        <v>38</v>
      </c>
      <c r="J419" s="2" t="s">
        <v>21</v>
      </c>
      <c r="K419">
        <f>VLOOKUP(E419,Products!$A$2:$E$23,5,0)</f>
        <v>599</v>
      </c>
      <c r="L419">
        <f>VLOOKUP(E419,Products!$A$2:$E$23,4,0)</f>
        <v>350</v>
      </c>
      <c r="M419" s="2">
        <f>K419*F419-Table1[[#This Row],[discount_amount]]</f>
        <v>1018.3</v>
      </c>
      <c r="N419">
        <f t="shared" si="13"/>
        <v>700</v>
      </c>
      <c r="O419">
        <f t="shared" si="12"/>
        <v>318.29999999999995</v>
      </c>
      <c r="P419">
        <f>Table1[[#This Row],[Quantity]]*Table1[[#This Row],[unit_price]]*Table1[[#This Row],[Discount]]</f>
        <v>179.7</v>
      </c>
      <c r="Q419" t="str">
        <f>VLOOKUP(E419,Products!$A$2:$E$23,2,0)</f>
        <v>USB Flash Drive 64GB</v>
      </c>
      <c r="R419" t="str">
        <f>VLOOKUP(Table1[[#This Row],[Product ID]],Products!$A$2:$E$23,3,0)</f>
        <v>Electronics</v>
      </c>
      <c r="S419" t="str">
        <f>VLOOKUP(C419,Customers!$A$2:$F$201,4,0)</f>
        <v>Maharashtra</v>
      </c>
      <c r="T419" t="str">
        <f>VLOOKUP(Table1[[#This Row],[Customer ID]],Customers!$A$2:$F$201,5,0)</f>
        <v>West</v>
      </c>
      <c r="U419" t="str">
        <f>VLOOKUP(Table1[[#This Row],[Customer ID]],Customers!$A$2:$F$201,6,0)</f>
        <v>Consumer</v>
      </c>
      <c r="V419" t="str">
        <f>TEXT(Table1[[#This Row],[Order Date]],"MMM")</f>
        <v>Sep</v>
      </c>
      <c r="W419" t="str">
        <f>TEXT(Table1[[#This Row],[Order Date]],"yyyy")</f>
        <v>2024</v>
      </c>
    </row>
    <row r="420" spans="1:23" x14ac:dyDescent="0.25">
      <c r="A420" s="2" t="s">
        <v>643</v>
      </c>
      <c r="B420" s="4">
        <v>45562</v>
      </c>
      <c r="C420" s="2" t="s">
        <v>535</v>
      </c>
      <c r="D420" s="2" t="str">
        <f>TEXT(Table1[[#This Row],[Order Date]],"mmmm")</f>
        <v>September</v>
      </c>
      <c r="E420" s="2" t="s">
        <v>29</v>
      </c>
      <c r="F420" s="2">
        <v>10</v>
      </c>
      <c r="G420" s="5">
        <v>0.05</v>
      </c>
      <c r="H420" s="2" t="s">
        <v>25</v>
      </c>
      <c r="I420" s="2" t="s">
        <v>20</v>
      </c>
      <c r="J420" s="2" t="s">
        <v>21</v>
      </c>
      <c r="K420">
        <f>VLOOKUP(E420,Products!$A$2:$E$23,5,0)</f>
        <v>599</v>
      </c>
      <c r="L420">
        <f>VLOOKUP(E420,Products!$A$2:$E$23,4,0)</f>
        <v>350</v>
      </c>
      <c r="M420" s="2">
        <f>K420*F420-Table1[[#This Row],[discount_amount]]</f>
        <v>5690.5</v>
      </c>
      <c r="N420">
        <f t="shared" si="13"/>
        <v>3500</v>
      </c>
      <c r="O420">
        <f t="shared" si="12"/>
        <v>2190.5</v>
      </c>
      <c r="P420">
        <f>Table1[[#This Row],[Quantity]]*Table1[[#This Row],[unit_price]]*Table1[[#This Row],[Discount]]</f>
        <v>299.5</v>
      </c>
      <c r="Q420" t="str">
        <f>VLOOKUP(E420,Products!$A$2:$E$23,2,0)</f>
        <v>USB Flash Drive 64GB</v>
      </c>
      <c r="R420" t="str">
        <f>VLOOKUP(Table1[[#This Row],[Product ID]],Products!$A$2:$E$23,3,0)</f>
        <v>Electronics</v>
      </c>
      <c r="S420" t="str">
        <f>VLOOKUP(C420,Customers!$A$2:$F$201,4,0)</f>
        <v>Maharashtra</v>
      </c>
      <c r="T420" t="str">
        <f>VLOOKUP(Table1[[#This Row],[Customer ID]],Customers!$A$2:$F$201,5,0)</f>
        <v>Central</v>
      </c>
      <c r="U420" t="str">
        <f>VLOOKUP(Table1[[#This Row],[Customer ID]],Customers!$A$2:$F$201,6,0)</f>
        <v>Consumer</v>
      </c>
      <c r="V420" t="str">
        <f>TEXT(Table1[[#This Row],[Order Date]],"MMM")</f>
        <v>Sep</v>
      </c>
      <c r="W420" t="str">
        <f>TEXT(Table1[[#This Row],[Order Date]],"yyyy")</f>
        <v>2024</v>
      </c>
    </row>
    <row r="421" spans="1:23" x14ac:dyDescent="0.25">
      <c r="A421" s="2" t="s">
        <v>644</v>
      </c>
      <c r="B421" s="4">
        <v>45563</v>
      </c>
      <c r="C421" s="2" t="s">
        <v>158</v>
      </c>
      <c r="D421" s="2" t="str">
        <f>TEXT(Table1[[#This Row],[Order Date]],"mmmm")</f>
        <v>September</v>
      </c>
      <c r="E421" s="2" t="s">
        <v>91</v>
      </c>
      <c r="F421" s="2">
        <v>1</v>
      </c>
      <c r="G421" s="5">
        <v>0.05</v>
      </c>
      <c r="H421" s="2" t="s">
        <v>25</v>
      </c>
      <c r="I421" s="2" t="s">
        <v>20</v>
      </c>
      <c r="J421" s="2" t="s">
        <v>21</v>
      </c>
      <c r="K421">
        <f>VLOOKUP(E421,Products!$A$2:$E$23,5,0)</f>
        <v>1199</v>
      </c>
      <c r="L421">
        <f>VLOOKUP(E421,Products!$A$2:$E$23,4,0)</f>
        <v>600</v>
      </c>
      <c r="M421" s="2">
        <f>K421*F421-Table1[[#This Row],[discount_amount]]</f>
        <v>1139.05</v>
      </c>
      <c r="N421">
        <f t="shared" si="13"/>
        <v>600</v>
      </c>
      <c r="O421">
        <f t="shared" si="12"/>
        <v>539.04999999999995</v>
      </c>
      <c r="P421">
        <f>Table1[[#This Row],[Quantity]]*Table1[[#This Row],[unit_price]]*Table1[[#This Row],[Discount]]</f>
        <v>59.95</v>
      </c>
      <c r="Q421" t="str">
        <f>VLOOKUP(E421,Products!$A$2:$E$23,2,0)</f>
        <v>Formal Shirt</v>
      </c>
      <c r="R421" t="str">
        <f>VLOOKUP(Table1[[#This Row],[Product ID]],Products!$A$2:$E$23,3,0)</f>
        <v>Clothing</v>
      </c>
      <c r="S421" t="str">
        <f>VLOOKUP(C421,Customers!$A$2:$F$201,4,0)</f>
        <v>Kerala</v>
      </c>
      <c r="T421" t="str">
        <f>VLOOKUP(Table1[[#This Row],[Customer ID]],Customers!$A$2:$F$201,5,0)</f>
        <v>South</v>
      </c>
      <c r="U421" t="str">
        <f>VLOOKUP(Table1[[#This Row],[Customer ID]],Customers!$A$2:$F$201,6,0)</f>
        <v>Consumer</v>
      </c>
      <c r="V421" t="str">
        <f>TEXT(Table1[[#This Row],[Order Date]],"MMM")</f>
        <v>Sep</v>
      </c>
      <c r="W421" t="str">
        <f>TEXT(Table1[[#This Row],[Order Date]],"yyyy")</f>
        <v>2024</v>
      </c>
    </row>
    <row r="422" spans="1:23" x14ac:dyDescent="0.25">
      <c r="A422" s="2" t="s">
        <v>645</v>
      </c>
      <c r="B422" s="4">
        <v>45563</v>
      </c>
      <c r="C422" s="2" t="s">
        <v>144</v>
      </c>
      <c r="D422" s="2" t="str">
        <f>TEXT(Table1[[#This Row],[Order Date]],"mmmm")</f>
        <v>September</v>
      </c>
      <c r="E422" s="2" t="s">
        <v>57</v>
      </c>
      <c r="F422" s="2">
        <v>2</v>
      </c>
      <c r="G422" s="5">
        <v>0</v>
      </c>
      <c r="H422" s="2" t="s">
        <v>25</v>
      </c>
      <c r="I422" s="2" t="s">
        <v>26</v>
      </c>
      <c r="J422" s="2" t="s">
        <v>21</v>
      </c>
      <c r="K422">
        <f>VLOOKUP(E422,Products!$A$2:$E$23,5,0)</f>
        <v>1599</v>
      </c>
      <c r="L422">
        <f>VLOOKUP(E422,Products!$A$2:$E$23,4,0)</f>
        <v>800</v>
      </c>
      <c r="M422" s="2">
        <f>K422*F422-Table1[[#This Row],[discount_amount]]</f>
        <v>3198</v>
      </c>
      <c r="N422">
        <f t="shared" si="13"/>
        <v>1600</v>
      </c>
      <c r="O422">
        <f t="shared" si="12"/>
        <v>1598</v>
      </c>
      <c r="P422">
        <f>Table1[[#This Row],[Quantity]]*Table1[[#This Row],[unit_price]]*Table1[[#This Row],[Discount]]</f>
        <v>0</v>
      </c>
      <c r="Q422" t="str">
        <f>VLOOKUP(E422,Products!$A$2:$E$23,2,0)</f>
        <v>Hoodie</v>
      </c>
      <c r="R422" t="str">
        <f>VLOOKUP(Table1[[#This Row],[Product ID]],Products!$A$2:$E$23,3,0)</f>
        <v>Clothing</v>
      </c>
      <c r="S422" t="str">
        <f>VLOOKUP(C422,Customers!$A$2:$F$201,4,0)</f>
        <v>Maharashtra</v>
      </c>
      <c r="T422" t="str">
        <f>VLOOKUP(Table1[[#This Row],[Customer ID]],Customers!$A$2:$F$201,5,0)</f>
        <v>West</v>
      </c>
      <c r="U422" t="str">
        <f>VLOOKUP(Table1[[#This Row],[Customer ID]],Customers!$A$2:$F$201,6,0)</f>
        <v>Corporate</v>
      </c>
      <c r="V422" t="str">
        <f>TEXT(Table1[[#This Row],[Order Date]],"MMM")</f>
        <v>Sep</v>
      </c>
      <c r="W422" t="str">
        <f>TEXT(Table1[[#This Row],[Order Date]],"yyyy")</f>
        <v>2024</v>
      </c>
    </row>
    <row r="423" spans="1:23" x14ac:dyDescent="0.25">
      <c r="A423" s="2" t="s">
        <v>646</v>
      </c>
      <c r="B423" s="4">
        <v>45564</v>
      </c>
      <c r="C423" s="2" t="s">
        <v>205</v>
      </c>
      <c r="D423" s="2" t="str">
        <f>TEXT(Table1[[#This Row],[Order Date]],"mmmm")</f>
        <v>September</v>
      </c>
      <c r="E423" s="2" t="s">
        <v>66</v>
      </c>
      <c r="F423" s="2">
        <v>10</v>
      </c>
      <c r="G423" s="5">
        <v>0.05</v>
      </c>
      <c r="H423" s="2" t="s">
        <v>25</v>
      </c>
      <c r="I423" s="2" t="s">
        <v>38</v>
      </c>
      <c r="J423" s="2" t="s">
        <v>21</v>
      </c>
      <c r="K423">
        <f>VLOOKUP(E423,Products!$A$2:$E$23,5,0)</f>
        <v>1299</v>
      </c>
      <c r="L423">
        <f>VLOOKUP(E423,Products!$A$2:$E$23,4,0)</f>
        <v>800</v>
      </c>
      <c r="M423" s="2">
        <f>K423*F423-Table1[[#This Row],[discount_amount]]</f>
        <v>12340.5</v>
      </c>
      <c r="N423">
        <f t="shared" si="13"/>
        <v>8000</v>
      </c>
      <c r="O423">
        <f t="shared" si="12"/>
        <v>4340.5</v>
      </c>
      <c r="P423">
        <f>Table1[[#This Row],[Quantity]]*Table1[[#This Row],[unit_price]]*Table1[[#This Row],[Discount]]</f>
        <v>649.5</v>
      </c>
      <c r="Q423" t="str">
        <f>VLOOKUP(E423,Products!$A$2:$E$23,2,0)</f>
        <v>Power Bank 10000mAh</v>
      </c>
      <c r="R423" t="str">
        <f>VLOOKUP(Table1[[#This Row],[Product ID]],Products!$A$2:$E$23,3,0)</f>
        <v>Electronics</v>
      </c>
      <c r="S423" t="str">
        <f>VLOOKUP(C423,Customers!$A$2:$F$201,4,0)</f>
        <v>Gujarat</v>
      </c>
      <c r="T423" t="str">
        <f>VLOOKUP(Table1[[#This Row],[Customer ID]],Customers!$A$2:$F$201,5,0)</f>
        <v>West</v>
      </c>
      <c r="U423" t="str">
        <f>VLOOKUP(Table1[[#This Row],[Customer ID]],Customers!$A$2:$F$201,6,0)</f>
        <v>Consumer</v>
      </c>
      <c r="V423" t="str">
        <f>TEXT(Table1[[#This Row],[Order Date]],"MMM")</f>
        <v>Sep</v>
      </c>
      <c r="W423" t="str">
        <f>TEXT(Table1[[#This Row],[Order Date]],"yyyy")</f>
        <v>2024</v>
      </c>
    </row>
    <row r="424" spans="1:23" x14ac:dyDescent="0.25">
      <c r="A424" s="2" t="s">
        <v>647</v>
      </c>
      <c r="B424" s="4">
        <v>45565</v>
      </c>
      <c r="C424" s="2" t="s">
        <v>221</v>
      </c>
      <c r="D424" s="2" t="str">
        <f>TEXT(Table1[[#This Row],[Order Date]],"mmmm")</f>
        <v>September</v>
      </c>
      <c r="E424" s="2" t="s">
        <v>45</v>
      </c>
      <c r="F424" s="2">
        <v>2</v>
      </c>
      <c r="G424" s="5">
        <v>0.1</v>
      </c>
      <c r="H424" s="2" t="s">
        <v>30</v>
      </c>
      <c r="I424" s="2" t="s">
        <v>46</v>
      </c>
      <c r="J424" s="2" t="s">
        <v>21</v>
      </c>
      <c r="K424">
        <f>VLOOKUP(E424,Products!$A$2:$E$23,5,0)</f>
        <v>899</v>
      </c>
      <c r="L424">
        <f>VLOOKUP(E424,Products!$A$2:$E$23,4,0)</f>
        <v>450</v>
      </c>
      <c r="M424" s="2">
        <f>K424*F424-Table1[[#This Row],[discount_amount]]</f>
        <v>1618.2</v>
      </c>
      <c r="N424">
        <f t="shared" si="13"/>
        <v>900</v>
      </c>
      <c r="O424">
        <f t="shared" si="12"/>
        <v>718.2</v>
      </c>
      <c r="P424">
        <f>Table1[[#This Row],[Quantity]]*Table1[[#This Row],[unit_price]]*Table1[[#This Row],[Discount]]</f>
        <v>179.8</v>
      </c>
      <c r="Q424" t="str">
        <f>VLOOKUP(E424,Products!$A$2:$E$23,2,0)</f>
        <v>Track Pants</v>
      </c>
      <c r="R424" t="str">
        <f>VLOOKUP(Table1[[#This Row],[Product ID]],Products!$A$2:$E$23,3,0)</f>
        <v>Clothing</v>
      </c>
      <c r="S424" t="str">
        <f>VLOOKUP(C424,Customers!$A$2:$F$201,4,0)</f>
        <v>Madhya Pradesh</v>
      </c>
      <c r="T424" t="str">
        <f>VLOOKUP(Table1[[#This Row],[Customer ID]],Customers!$A$2:$F$201,5,0)</f>
        <v>Central</v>
      </c>
      <c r="U424" t="str">
        <f>VLOOKUP(Table1[[#This Row],[Customer ID]],Customers!$A$2:$F$201,6,0)</f>
        <v>Home Office</v>
      </c>
      <c r="V424" t="str">
        <f>TEXT(Table1[[#This Row],[Order Date]],"MMM")</f>
        <v>Sep</v>
      </c>
      <c r="W424" t="str">
        <f>TEXT(Table1[[#This Row],[Order Date]],"yyyy")</f>
        <v>2024</v>
      </c>
    </row>
    <row r="425" spans="1:23" x14ac:dyDescent="0.25">
      <c r="A425" s="2" t="s">
        <v>648</v>
      </c>
      <c r="B425" s="4">
        <v>45565</v>
      </c>
      <c r="C425" s="2" t="s">
        <v>291</v>
      </c>
      <c r="D425" s="2" t="str">
        <f>TEXT(Table1[[#This Row],[Order Date]],"mmmm")</f>
        <v>September</v>
      </c>
      <c r="E425" s="2" t="s">
        <v>91</v>
      </c>
      <c r="F425" s="2">
        <v>2</v>
      </c>
      <c r="G425" s="5">
        <v>0.1</v>
      </c>
      <c r="H425" s="2" t="s">
        <v>19</v>
      </c>
      <c r="I425" s="2" t="s">
        <v>38</v>
      </c>
      <c r="J425" s="2" t="s">
        <v>21</v>
      </c>
      <c r="K425">
        <f>VLOOKUP(E425,Products!$A$2:$E$23,5,0)</f>
        <v>1199</v>
      </c>
      <c r="L425">
        <f>VLOOKUP(E425,Products!$A$2:$E$23,4,0)</f>
        <v>600</v>
      </c>
      <c r="M425" s="2">
        <f>K425*F425-Table1[[#This Row],[discount_amount]]</f>
        <v>2158.1999999999998</v>
      </c>
      <c r="N425">
        <f t="shared" si="13"/>
        <v>1200</v>
      </c>
      <c r="O425">
        <f t="shared" si="12"/>
        <v>958.19999999999982</v>
      </c>
      <c r="P425">
        <f>Table1[[#This Row],[Quantity]]*Table1[[#This Row],[unit_price]]*Table1[[#This Row],[Discount]]</f>
        <v>239.8</v>
      </c>
      <c r="Q425" t="str">
        <f>VLOOKUP(E425,Products!$A$2:$E$23,2,0)</f>
        <v>Formal Shirt</v>
      </c>
      <c r="R425" t="str">
        <f>VLOOKUP(Table1[[#This Row],[Product ID]],Products!$A$2:$E$23,3,0)</f>
        <v>Clothing</v>
      </c>
      <c r="S425" t="str">
        <f>VLOOKUP(C425,Customers!$A$2:$F$201,4,0)</f>
        <v>Rajasthan</v>
      </c>
      <c r="T425" t="str">
        <f>VLOOKUP(Table1[[#This Row],[Customer ID]],Customers!$A$2:$F$201,5,0)</f>
        <v>North</v>
      </c>
      <c r="U425" t="str">
        <f>VLOOKUP(Table1[[#This Row],[Customer ID]],Customers!$A$2:$F$201,6,0)</f>
        <v>Consumer</v>
      </c>
      <c r="V425" t="str">
        <f>TEXT(Table1[[#This Row],[Order Date]],"MMM")</f>
        <v>Sep</v>
      </c>
      <c r="W425" t="str">
        <f>TEXT(Table1[[#This Row],[Order Date]],"yyyy")</f>
        <v>2024</v>
      </c>
    </row>
    <row r="426" spans="1:23" x14ac:dyDescent="0.25">
      <c r="A426" s="2" t="s">
        <v>649</v>
      </c>
      <c r="B426" s="4">
        <v>45565</v>
      </c>
      <c r="C426" s="2" t="s">
        <v>228</v>
      </c>
      <c r="D426" s="2" t="str">
        <f>TEXT(Table1[[#This Row],[Order Date]],"mmmm")</f>
        <v>September</v>
      </c>
      <c r="E426" s="2" t="s">
        <v>73</v>
      </c>
      <c r="F426" s="2">
        <v>6</v>
      </c>
      <c r="G426" s="5">
        <v>0</v>
      </c>
      <c r="H426" s="2" t="s">
        <v>30</v>
      </c>
      <c r="I426" s="2" t="s">
        <v>38</v>
      </c>
      <c r="J426" s="2" t="s">
        <v>21</v>
      </c>
      <c r="K426">
        <f>VLOOKUP(E426,Products!$A$2:$E$23,5,0)</f>
        <v>6499</v>
      </c>
      <c r="L426">
        <f>VLOOKUP(E426,Products!$A$2:$E$23,4,0)</f>
        <v>4200</v>
      </c>
      <c r="M426" s="2">
        <f>K426*F426-Table1[[#This Row],[discount_amount]]</f>
        <v>38994</v>
      </c>
      <c r="N426">
        <f t="shared" si="13"/>
        <v>25200</v>
      </c>
      <c r="O426">
        <f t="shared" si="12"/>
        <v>13794</v>
      </c>
      <c r="P426">
        <f>Table1[[#This Row],[Quantity]]*Table1[[#This Row],[unit_price]]*Table1[[#This Row],[Discount]]</f>
        <v>0</v>
      </c>
      <c r="Q426" t="str">
        <f>VLOOKUP(E426,Products!$A$2:$E$23,2,0)</f>
        <v>Study Table</v>
      </c>
      <c r="R426" t="str">
        <f>VLOOKUP(Table1[[#This Row],[Product ID]],Products!$A$2:$E$23,3,0)</f>
        <v>Furniture</v>
      </c>
      <c r="S426" t="str">
        <f>VLOOKUP(C426,Customers!$A$2:$F$201,4,0)</f>
        <v>Odisha</v>
      </c>
      <c r="T426" t="str">
        <f>VLOOKUP(Table1[[#This Row],[Customer ID]],Customers!$A$2:$F$201,5,0)</f>
        <v>East</v>
      </c>
      <c r="U426" t="str">
        <f>VLOOKUP(Table1[[#This Row],[Customer ID]],Customers!$A$2:$F$201,6,0)</f>
        <v>Consumer</v>
      </c>
      <c r="V426" t="str">
        <f>TEXT(Table1[[#This Row],[Order Date]],"MMM")</f>
        <v>Sep</v>
      </c>
      <c r="W426" t="str">
        <f>TEXT(Table1[[#This Row],[Order Date]],"yyyy")</f>
        <v>2024</v>
      </c>
    </row>
    <row r="427" spans="1:23" x14ac:dyDescent="0.25">
      <c r="A427" s="2" t="s">
        <v>650</v>
      </c>
      <c r="B427" s="4">
        <v>45567</v>
      </c>
      <c r="C427" s="2" t="s">
        <v>102</v>
      </c>
      <c r="D427" s="2" t="str">
        <f>TEXT(Table1[[#This Row],[Order Date]],"mmmm")</f>
        <v>October</v>
      </c>
      <c r="E427" s="2" t="s">
        <v>45</v>
      </c>
      <c r="F427" s="2">
        <v>10</v>
      </c>
      <c r="G427" s="5">
        <v>0</v>
      </c>
      <c r="H427" s="2" t="s">
        <v>30</v>
      </c>
      <c r="I427" s="2" t="s">
        <v>38</v>
      </c>
      <c r="J427" s="2" t="s">
        <v>79</v>
      </c>
      <c r="K427">
        <f>VLOOKUP(E427,Products!$A$2:$E$23,5,0)</f>
        <v>899</v>
      </c>
      <c r="L427">
        <f>VLOOKUP(E427,Products!$A$2:$E$23,4,0)</f>
        <v>450</v>
      </c>
      <c r="M427" s="2">
        <f>K427*F427-Table1[[#This Row],[discount_amount]]</f>
        <v>8990</v>
      </c>
      <c r="N427">
        <f t="shared" si="13"/>
        <v>4500</v>
      </c>
      <c r="O427">
        <f t="shared" si="12"/>
        <v>4490</v>
      </c>
      <c r="P427">
        <f>Table1[[#This Row],[Quantity]]*Table1[[#This Row],[unit_price]]*Table1[[#This Row],[Discount]]</f>
        <v>0</v>
      </c>
      <c r="Q427" t="str">
        <f>VLOOKUP(E427,Products!$A$2:$E$23,2,0)</f>
        <v>Track Pants</v>
      </c>
      <c r="R427" t="str">
        <f>VLOOKUP(Table1[[#This Row],[Product ID]],Products!$A$2:$E$23,3,0)</f>
        <v>Clothing</v>
      </c>
      <c r="S427" t="str">
        <f>VLOOKUP(C427,Customers!$A$2:$F$201,4,0)</f>
        <v>Madhya Pradesh</v>
      </c>
      <c r="T427" t="str">
        <f>VLOOKUP(Table1[[#This Row],[Customer ID]],Customers!$A$2:$F$201,5,0)</f>
        <v>Central</v>
      </c>
      <c r="U427" t="str">
        <f>VLOOKUP(Table1[[#This Row],[Customer ID]],Customers!$A$2:$F$201,6,0)</f>
        <v>Consumer</v>
      </c>
      <c r="V427" t="str">
        <f>TEXT(Table1[[#This Row],[Order Date]],"MMM")</f>
        <v>Oct</v>
      </c>
      <c r="W427" t="str">
        <f>TEXT(Table1[[#This Row],[Order Date]],"yyyy")</f>
        <v>2024</v>
      </c>
    </row>
    <row r="428" spans="1:23" x14ac:dyDescent="0.25">
      <c r="A428" s="2" t="s">
        <v>651</v>
      </c>
      <c r="B428" s="4">
        <v>45570</v>
      </c>
      <c r="C428" s="2" t="s">
        <v>33</v>
      </c>
      <c r="D428" s="2" t="str">
        <f>TEXT(Table1[[#This Row],[Order Date]],"mmmm")</f>
        <v>October</v>
      </c>
      <c r="E428" s="2" t="s">
        <v>57</v>
      </c>
      <c r="F428" s="2">
        <v>2</v>
      </c>
      <c r="G428" s="5">
        <v>0.2</v>
      </c>
      <c r="H428" s="2" t="s">
        <v>19</v>
      </c>
      <c r="I428" s="2" t="s">
        <v>26</v>
      </c>
      <c r="J428" s="2" t="s">
        <v>21</v>
      </c>
      <c r="K428">
        <f>VLOOKUP(E428,Products!$A$2:$E$23,5,0)</f>
        <v>1599</v>
      </c>
      <c r="L428">
        <f>VLOOKUP(E428,Products!$A$2:$E$23,4,0)</f>
        <v>800</v>
      </c>
      <c r="M428" s="2">
        <f>K428*F428-Table1[[#This Row],[discount_amount]]</f>
        <v>2558.4</v>
      </c>
      <c r="N428">
        <f t="shared" si="13"/>
        <v>1600</v>
      </c>
      <c r="O428">
        <f t="shared" si="12"/>
        <v>958.40000000000009</v>
      </c>
      <c r="P428">
        <f>Table1[[#This Row],[Quantity]]*Table1[[#This Row],[unit_price]]*Table1[[#This Row],[Discount]]</f>
        <v>639.6</v>
      </c>
      <c r="Q428" t="str">
        <f>VLOOKUP(E428,Products!$A$2:$E$23,2,0)</f>
        <v>Hoodie</v>
      </c>
      <c r="R428" t="str">
        <f>VLOOKUP(Table1[[#This Row],[Product ID]],Products!$A$2:$E$23,3,0)</f>
        <v>Clothing</v>
      </c>
      <c r="S428" t="str">
        <f>VLOOKUP(C428,Customers!$A$2:$F$201,4,0)</f>
        <v>West Bengal</v>
      </c>
      <c r="T428" t="str">
        <f>VLOOKUP(Table1[[#This Row],[Customer ID]],Customers!$A$2:$F$201,5,0)</f>
        <v>East</v>
      </c>
      <c r="U428" t="str">
        <f>VLOOKUP(Table1[[#This Row],[Customer ID]],Customers!$A$2:$F$201,6,0)</f>
        <v>Consumer</v>
      </c>
      <c r="V428" t="str">
        <f>TEXT(Table1[[#This Row],[Order Date]],"MMM")</f>
        <v>Oct</v>
      </c>
      <c r="W428" t="str">
        <f>TEXT(Table1[[#This Row],[Order Date]],"yyyy")</f>
        <v>2024</v>
      </c>
    </row>
    <row r="429" spans="1:23" x14ac:dyDescent="0.25">
      <c r="A429" s="2" t="s">
        <v>652</v>
      </c>
      <c r="B429" s="4">
        <v>45570</v>
      </c>
      <c r="C429" s="2" t="s">
        <v>383</v>
      </c>
      <c r="D429" s="2" t="str">
        <f>TEXT(Table1[[#This Row],[Order Date]],"mmmm")</f>
        <v>October</v>
      </c>
      <c r="E429" s="2" t="s">
        <v>91</v>
      </c>
      <c r="F429" s="2">
        <v>2</v>
      </c>
      <c r="G429" s="5">
        <v>0.1</v>
      </c>
      <c r="H429" s="2" t="s">
        <v>25</v>
      </c>
      <c r="I429" s="2" t="s">
        <v>38</v>
      </c>
      <c r="J429" s="2" t="s">
        <v>21</v>
      </c>
      <c r="K429">
        <f>VLOOKUP(E429,Products!$A$2:$E$23,5,0)</f>
        <v>1199</v>
      </c>
      <c r="L429">
        <f>VLOOKUP(E429,Products!$A$2:$E$23,4,0)</f>
        <v>600</v>
      </c>
      <c r="M429" s="2">
        <f>K429*F429-Table1[[#This Row],[discount_amount]]</f>
        <v>2158.1999999999998</v>
      </c>
      <c r="N429">
        <f t="shared" si="13"/>
        <v>1200</v>
      </c>
      <c r="O429">
        <f t="shared" si="12"/>
        <v>958.19999999999982</v>
      </c>
      <c r="P429">
        <f>Table1[[#This Row],[Quantity]]*Table1[[#This Row],[unit_price]]*Table1[[#This Row],[Discount]]</f>
        <v>239.8</v>
      </c>
      <c r="Q429" t="str">
        <f>VLOOKUP(E429,Products!$A$2:$E$23,2,0)</f>
        <v>Formal Shirt</v>
      </c>
      <c r="R429" t="str">
        <f>VLOOKUP(Table1[[#This Row],[Product ID]],Products!$A$2:$E$23,3,0)</f>
        <v>Clothing</v>
      </c>
      <c r="S429" t="str">
        <f>VLOOKUP(C429,Customers!$A$2:$F$201,4,0)</f>
        <v>Bihar</v>
      </c>
      <c r="T429" t="str">
        <f>VLOOKUP(Table1[[#This Row],[Customer ID]],Customers!$A$2:$F$201,5,0)</f>
        <v>East</v>
      </c>
      <c r="U429" t="str">
        <f>VLOOKUP(Table1[[#This Row],[Customer ID]],Customers!$A$2:$F$201,6,0)</f>
        <v>Home Office</v>
      </c>
      <c r="V429" t="str">
        <f>TEXT(Table1[[#This Row],[Order Date]],"MMM")</f>
        <v>Oct</v>
      </c>
      <c r="W429" t="str">
        <f>TEXT(Table1[[#This Row],[Order Date]],"yyyy")</f>
        <v>2024</v>
      </c>
    </row>
    <row r="430" spans="1:23" x14ac:dyDescent="0.25">
      <c r="A430" s="2" t="s">
        <v>653</v>
      </c>
      <c r="B430" s="4">
        <v>45571</v>
      </c>
      <c r="C430" s="2" t="s">
        <v>654</v>
      </c>
      <c r="D430" s="2" t="str">
        <f>TEXT(Table1[[#This Row],[Order Date]],"mmmm")</f>
        <v>October</v>
      </c>
      <c r="E430" s="2" t="s">
        <v>60</v>
      </c>
      <c r="F430" s="2">
        <v>5</v>
      </c>
      <c r="G430" s="5">
        <v>0.05</v>
      </c>
      <c r="H430" s="2" t="s">
        <v>19</v>
      </c>
      <c r="I430" s="2" t="s">
        <v>20</v>
      </c>
      <c r="J430" s="2" t="s">
        <v>21</v>
      </c>
      <c r="K430">
        <f>VLOOKUP(E430,Products!$A$2:$E$23,5,0)</f>
        <v>449</v>
      </c>
      <c r="L430">
        <f>VLOOKUP(E430,Products!$A$2:$E$23,4,0)</f>
        <v>260</v>
      </c>
      <c r="M430" s="2">
        <f>K430*F430-Table1[[#This Row],[discount_amount]]</f>
        <v>2132.75</v>
      </c>
      <c r="N430">
        <f t="shared" si="13"/>
        <v>1300</v>
      </c>
      <c r="O430">
        <f t="shared" si="12"/>
        <v>832.75</v>
      </c>
      <c r="P430">
        <f>Table1[[#This Row],[Quantity]]*Table1[[#This Row],[unit_price]]*Table1[[#This Row],[Discount]]</f>
        <v>112.25</v>
      </c>
      <c r="Q430" t="str">
        <f>VLOOKUP(E430,Products!$A$2:$E$23,2,0)</f>
        <v>Desk Organizer</v>
      </c>
      <c r="R430" t="str">
        <f>VLOOKUP(Table1[[#This Row],[Product ID]],Products!$A$2:$E$23,3,0)</f>
        <v>Office Supplies</v>
      </c>
      <c r="S430" t="str">
        <f>VLOOKUP(C430,Customers!$A$2:$F$201,4,0)</f>
        <v>Telangana</v>
      </c>
      <c r="T430" t="str">
        <f>VLOOKUP(Table1[[#This Row],[Customer ID]],Customers!$A$2:$F$201,5,0)</f>
        <v>South</v>
      </c>
      <c r="U430" t="str">
        <f>VLOOKUP(Table1[[#This Row],[Customer ID]],Customers!$A$2:$F$201,6,0)</f>
        <v>Consumer</v>
      </c>
      <c r="V430" t="str">
        <f>TEXT(Table1[[#This Row],[Order Date]],"MMM")</f>
        <v>Oct</v>
      </c>
      <c r="W430" t="str">
        <f>TEXT(Table1[[#This Row],[Order Date]],"yyyy")</f>
        <v>2024</v>
      </c>
    </row>
    <row r="431" spans="1:23" x14ac:dyDescent="0.25">
      <c r="A431" s="2" t="s">
        <v>655</v>
      </c>
      <c r="B431" s="4">
        <v>45571</v>
      </c>
      <c r="C431" s="2" t="s">
        <v>656</v>
      </c>
      <c r="D431" s="2" t="str">
        <f>TEXT(Table1[[#This Row],[Order Date]],"mmmm")</f>
        <v>October</v>
      </c>
      <c r="E431" s="2" t="s">
        <v>111</v>
      </c>
      <c r="F431" s="2">
        <v>2</v>
      </c>
      <c r="G431" s="5">
        <v>0.15</v>
      </c>
      <c r="H431" s="2" t="s">
        <v>30</v>
      </c>
      <c r="I431" s="2" t="s">
        <v>38</v>
      </c>
      <c r="J431" s="2" t="s">
        <v>21</v>
      </c>
      <c r="K431">
        <f>VLOOKUP(E431,Products!$A$2:$E$23,5,0)</f>
        <v>240</v>
      </c>
      <c r="L431">
        <f>VLOOKUP(E431,Products!$A$2:$E$23,4,0)</f>
        <v>140</v>
      </c>
      <c r="M431" s="2">
        <f>K431*F431-Table1[[#This Row],[discount_amount]]</f>
        <v>408</v>
      </c>
      <c r="N431">
        <f t="shared" si="13"/>
        <v>280</v>
      </c>
      <c r="O431">
        <f t="shared" si="12"/>
        <v>128</v>
      </c>
      <c r="P431">
        <f>Table1[[#This Row],[Quantity]]*Table1[[#This Row],[unit_price]]*Table1[[#This Row],[Discount]]</f>
        <v>72</v>
      </c>
      <c r="Q431" t="str">
        <f>VLOOKUP(E431,Products!$A$2:$E$23,2,0)</f>
        <v>Whiteboard Marker Set</v>
      </c>
      <c r="R431" t="str">
        <f>VLOOKUP(Table1[[#This Row],[Product ID]],Products!$A$2:$E$23,3,0)</f>
        <v>Office Supplies</v>
      </c>
      <c r="S431" t="str">
        <f>VLOOKUP(C431,Customers!$A$2:$F$201,4,0)</f>
        <v>Kerala</v>
      </c>
      <c r="T431" t="str">
        <f>VLOOKUP(Table1[[#This Row],[Customer ID]],Customers!$A$2:$F$201,5,0)</f>
        <v>South</v>
      </c>
      <c r="U431" t="str">
        <f>VLOOKUP(Table1[[#This Row],[Customer ID]],Customers!$A$2:$F$201,6,0)</f>
        <v>Consumer</v>
      </c>
      <c r="V431" t="str">
        <f>TEXT(Table1[[#This Row],[Order Date]],"MMM")</f>
        <v>Oct</v>
      </c>
      <c r="W431" t="str">
        <f>TEXT(Table1[[#This Row],[Order Date]],"yyyy")</f>
        <v>2024</v>
      </c>
    </row>
    <row r="432" spans="1:23" x14ac:dyDescent="0.25">
      <c r="A432" s="2" t="s">
        <v>657</v>
      </c>
      <c r="B432" s="4">
        <v>45571</v>
      </c>
      <c r="C432" s="2" t="s">
        <v>98</v>
      </c>
      <c r="D432" s="2" t="str">
        <f>TEXT(Table1[[#This Row],[Order Date]],"mmmm")</f>
        <v>October</v>
      </c>
      <c r="E432" s="2" t="s">
        <v>60</v>
      </c>
      <c r="F432" s="2">
        <v>3</v>
      </c>
      <c r="G432" s="5">
        <v>0</v>
      </c>
      <c r="H432" s="2" t="s">
        <v>25</v>
      </c>
      <c r="I432" s="2" t="s">
        <v>38</v>
      </c>
      <c r="J432" s="2" t="s">
        <v>21</v>
      </c>
      <c r="K432">
        <f>VLOOKUP(E432,Products!$A$2:$E$23,5,0)</f>
        <v>449</v>
      </c>
      <c r="L432">
        <f>VLOOKUP(E432,Products!$A$2:$E$23,4,0)</f>
        <v>260</v>
      </c>
      <c r="M432" s="2">
        <f>K432*F432-Table1[[#This Row],[discount_amount]]</f>
        <v>1347</v>
      </c>
      <c r="N432">
        <f t="shared" si="13"/>
        <v>780</v>
      </c>
      <c r="O432">
        <f t="shared" si="12"/>
        <v>567</v>
      </c>
      <c r="P432">
        <f>Table1[[#This Row],[Quantity]]*Table1[[#This Row],[unit_price]]*Table1[[#This Row],[Discount]]</f>
        <v>0</v>
      </c>
      <c r="Q432" t="str">
        <f>VLOOKUP(E432,Products!$A$2:$E$23,2,0)</f>
        <v>Desk Organizer</v>
      </c>
      <c r="R432" t="str">
        <f>VLOOKUP(Table1[[#This Row],[Product ID]],Products!$A$2:$E$23,3,0)</f>
        <v>Office Supplies</v>
      </c>
      <c r="S432" t="str">
        <f>VLOOKUP(C432,Customers!$A$2:$F$201,4,0)</f>
        <v>Tamil Nadu</v>
      </c>
      <c r="T432" t="str">
        <f>VLOOKUP(Table1[[#This Row],[Customer ID]],Customers!$A$2:$F$201,5,0)</f>
        <v>South</v>
      </c>
      <c r="U432" t="str">
        <f>VLOOKUP(Table1[[#This Row],[Customer ID]],Customers!$A$2:$F$201,6,0)</f>
        <v>Consumer</v>
      </c>
      <c r="V432" t="str">
        <f>TEXT(Table1[[#This Row],[Order Date]],"MMM")</f>
        <v>Oct</v>
      </c>
      <c r="W432" t="str">
        <f>TEXT(Table1[[#This Row],[Order Date]],"yyyy")</f>
        <v>2024</v>
      </c>
    </row>
    <row r="433" spans="1:23" x14ac:dyDescent="0.25">
      <c r="A433" s="2" t="s">
        <v>658</v>
      </c>
      <c r="B433" s="4">
        <v>45571</v>
      </c>
      <c r="C433" s="2" t="s">
        <v>482</v>
      </c>
      <c r="D433" s="2" t="str">
        <f>TEXT(Table1[[#This Row],[Order Date]],"mmmm")</f>
        <v>October</v>
      </c>
      <c r="E433" s="2" t="s">
        <v>45</v>
      </c>
      <c r="F433" s="2">
        <v>5</v>
      </c>
      <c r="G433" s="5">
        <v>0.1</v>
      </c>
      <c r="H433" s="2" t="s">
        <v>19</v>
      </c>
      <c r="I433" s="2" t="s">
        <v>20</v>
      </c>
      <c r="J433" s="2" t="s">
        <v>21</v>
      </c>
      <c r="K433">
        <f>VLOOKUP(E433,Products!$A$2:$E$23,5,0)</f>
        <v>899</v>
      </c>
      <c r="L433">
        <f>VLOOKUP(E433,Products!$A$2:$E$23,4,0)</f>
        <v>450</v>
      </c>
      <c r="M433" s="2">
        <f>K433*F433-Table1[[#This Row],[discount_amount]]</f>
        <v>4045.5</v>
      </c>
      <c r="N433">
        <f t="shared" si="13"/>
        <v>2250</v>
      </c>
      <c r="O433">
        <f t="shared" si="12"/>
        <v>1795.5</v>
      </c>
      <c r="P433">
        <f>Table1[[#This Row],[Quantity]]*Table1[[#This Row],[unit_price]]*Table1[[#This Row],[Discount]]</f>
        <v>449.5</v>
      </c>
      <c r="Q433" t="str">
        <f>VLOOKUP(E433,Products!$A$2:$E$23,2,0)</f>
        <v>Track Pants</v>
      </c>
      <c r="R433" t="str">
        <f>VLOOKUP(Table1[[#This Row],[Product ID]],Products!$A$2:$E$23,3,0)</f>
        <v>Clothing</v>
      </c>
      <c r="S433" t="str">
        <f>VLOOKUP(C433,Customers!$A$2:$F$201,4,0)</f>
        <v>Chandigarh</v>
      </c>
      <c r="T433" t="str">
        <f>VLOOKUP(Table1[[#This Row],[Customer ID]],Customers!$A$2:$F$201,5,0)</f>
        <v>North</v>
      </c>
      <c r="U433" t="str">
        <f>VLOOKUP(Table1[[#This Row],[Customer ID]],Customers!$A$2:$F$201,6,0)</f>
        <v>Home Office</v>
      </c>
      <c r="V433" t="str">
        <f>TEXT(Table1[[#This Row],[Order Date]],"MMM")</f>
        <v>Oct</v>
      </c>
      <c r="W433" t="str">
        <f>TEXT(Table1[[#This Row],[Order Date]],"yyyy")</f>
        <v>2024</v>
      </c>
    </row>
    <row r="434" spans="1:23" x14ac:dyDescent="0.25">
      <c r="A434" s="2" t="s">
        <v>659</v>
      </c>
      <c r="B434" s="4">
        <v>45571</v>
      </c>
      <c r="C434" s="2" t="s">
        <v>415</v>
      </c>
      <c r="D434" s="2" t="str">
        <f>TEXT(Table1[[#This Row],[Order Date]],"mmmm")</f>
        <v>October</v>
      </c>
      <c r="E434" s="2" t="s">
        <v>63</v>
      </c>
      <c r="F434" s="2">
        <v>4</v>
      </c>
      <c r="G434" s="5">
        <v>0.1</v>
      </c>
      <c r="H434" s="2" t="s">
        <v>30</v>
      </c>
      <c r="I434" s="2" t="s">
        <v>46</v>
      </c>
      <c r="J434" s="2" t="s">
        <v>21</v>
      </c>
      <c r="K434">
        <f>VLOOKUP(E434,Products!$A$2:$E$23,5,0)</f>
        <v>5499</v>
      </c>
      <c r="L434">
        <f>VLOOKUP(E434,Products!$A$2:$E$23,4,0)</f>
        <v>3500</v>
      </c>
      <c r="M434" s="2">
        <f>K434*F434-Table1[[#This Row],[discount_amount]]</f>
        <v>19796.400000000001</v>
      </c>
      <c r="N434">
        <f t="shared" si="13"/>
        <v>14000</v>
      </c>
      <c r="O434">
        <f t="shared" si="12"/>
        <v>5796.4000000000015</v>
      </c>
      <c r="P434">
        <f>Table1[[#This Row],[Quantity]]*Table1[[#This Row],[unit_price]]*Table1[[#This Row],[Discount]]</f>
        <v>2199.6</v>
      </c>
      <c r="Q434" t="str">
        <f>VLOOKUP(E434,Products!$A$2:$E$23,2,0)</f>
        <v>Office Chair</v>
      </c>
      <c r="R434" t="str">
        <f>VLOOKUP(Table1[[#This Row],[Product ID]],Products!$A$2:$E$23,3,0)</f>
        <v>Furniture</v>
      </c>
      <c r="S434" t="str">
        <f>VLOOKUP(C434,Customers!$A$2:$F$201,4,0)</f>
        <v>Tamil Nadu</v>
      </c>
      <c r="T434" t="str">
        <f>VLOOKUP(Table1[[#This Row],[Customer ID]],Customers!$A$2:$F$201,5,0)</f>
        <v>South</v>
      </c>
      <c r="U434" t="str">
        <f>VLOOKUP(Table1[[#This Row],[Customer ID]],Customers!$A$2:$F$201,6,0)</f>
        <v>Consumer</v>
      </c>
      <c r="V434" t="str">
        <f>TEXT(Table1[[#This Row],[Order Date]],"MMM")</f>
        <v>Oct</v>
      </c>
      <c r="W434" t="str">
        <f>TEXT(Table1[[#This Row],[Order Date]],"yyyy")</f>
        <v>2024</v>
      </c>
    </row>
    <row r="435" spans="1:23" x14ac:dyDescent="0.25">
      <c r="A435" s="2" t="s">
        <v>660</v>
      </c>
      <c r="B435" s="4">
        <v>45572</v>
      </c>
      <c r="C435" s="2" t="s">
        <v>415</v>
      </c>
      <c r="D435" s="2" t="str">
        <f>TEXT(Table1[[#This Row],[Order Date]],"mmmm")</f>
        <v>October</v>
      </c>
      <c r="E435" s="2" t="s">
        <v>91</v>
      </c>
      <c r="F435" s="2">
        <v>2</v>
      </c>
      <c r="G435" s="5">
        <v>0.05</v>
      </c>
      <c r="H435" s="2" t="s">
        <v>25</v>
      </c>
      <c r="I435" s="2" t="s">
        <v>46</v>
      </c>
      <c r="J435" s="2" t="s">
        <v>21</v>
      </c>
      <c r="K435">
        <f>VLOOKUP(E435,Products!$A$2:$E$23,5,0)</f>
        <v>1199</v>
      </c>
      <c r="L435">
        <f>VLOOKUP(E435,Products!$A$2:$E$23,4,0)</f>
        <v>600</v>
      </c>
      <c r="M435" s="2">
        <f>K435*F435-Table1[[#This Row],[discount_amount]]</f>
        <v>2278.1</v>
      </c>
      <c r="N435">
        <f t="shared" si="13"/>
        <v>1200</v>
      </c>
      <c r="O435">
        <f t="shared" si="12"/>
        <v>1078.0999999999999</v>
      </c>
      <c r="P435">
        <f>Table1[[#This Row],[Quantity]]*Table1[[#This Row],[unit_price]]*Table1[[#This Row],[Discount]]</f>
        <v>119.9</v>
      </c>
      <c r="Q435" t="str">
        <f>VLOOKUP(E435,Products!$A$2:$E$23,2,0)</f>
        <v>Formal Shirt</v>
      </c>
      <c r="R435" t="str">
        <f>VLOOKUP(Table1[[#This Row],[Product ID]],Products!$A$2:$E$23,3,0)</f>
        <v>Clothing</v>
      </c>
      <c r="S435" t="str">
        <f>VLOOKUP(C435,Customers!$A$2:$F$201,4,0)</f>
        <v>Tamil Nadu</v>
      </c>
      <c r="T435" t="str">
        <f>VLOOKUP(Table1[[#This Row],[Customer ID]],Customers!$A$2:$F$201,5,0)</f>
        <v>South</v>
      </c>
      <c r="U435" t="str">
        <f>VLOOKUP(Table1[[#This Row],[Customer ID]],Customers!$A$2:$F$201,6,0)</f>
        <v>Consumer</v>
      </c>
      <c r="V435" t="str">
        <f>TEXT(Table1[[#This Row],[Order Date]],"MMM")</f>
        <v>Oct</v>
      </c>
      <c r="W435" t="str">
        <f>TEXT(Table1[[#This Row],[Order Date]],"yyyy")</f>
        <v>2024</v>
      </c>
    </row>
    <row r="436" spans="1:23" x14ac:dyDescent="0.25">
      <c r="A436" s="2" t="s">
        <v>661</v>
      </c>
      <c r="B436" s="4">
        <v>45573</v>
      </c>
      <c r="C436" s="2" t="s">
        <v>310</v>
      </c>
      <c r="D436" s="2" t="str">
        <f>TEXT(Table1[[#This Row],[Order Date]],"mmmm")</f>
        <v>October</v>
      </c>
      <c r="E436" s="2" t="s">
        <v>127</v>
      </c>
      <c r="F436" s="2">
        <v>3</v>
      </c>
      <c r="G436" s="5">
        <v>0.05</v>
      </c>
      <c r="H436" s="2" t="s">
        <v>25</v>
      </c>
      <c r="I436" s="2" t="s">
        <v>38</v>
      </c>
      <c r="J436" s="2" t="s">
        <v>21</v>
      </c>
      <c r="K436">
        <f>VLOOKUP(E436,Products!$A$2:$E$23,5,0)</f>
        <v>1999</v>
      </c>
      <c r="L436">
        <f>VLOOKUP(E436,Products!$A$2:$E$23,4,0)</f>
        <v>1200</v>
      </c>
      <c r="M436" s="2">
        <f>K436*F436-Table1[[#This Row],[discount_amount]]</f>
        <v>5697.15</v>
      </c>
      <c r="N436">
        <f t="shared" si="13"/>
        <v>3600</v>
      </c>
      <c r="O436">
        <f t="shared" si="12"/>
        <v>2097.1499999999996</v>
      </c>
      <c r="P436">
        <f>Table1[[#This Row],[Quantity]]*Table1[[#This Row],[unit_price]]*Table1[[#This Row],[Discount]]</f>
        <v>299.85000000000002</v>
      </c>
      <c r="Q436" t="str">
        <f>VLOOKUP(E436,Products!$A$2:$E$23,2,0)</f>
        <v>Bluetooth Speaker</v>
      </c>
      <c r="R436" t="str">
        <f>VLOOKUP(Table1[[#This Row],[Product ID]],Products!$A$2:$E$23,3,0)</f>
        <v>Electronics</v>
      </c>
      <c r="S436" t="str">
        <f>VLOOKUP(C436,Customers!$A$2:$F$201,4,0)</f>
        <v>Odisha</v>
      </c>
      <c r="T436" t="str">
        <f>VLOOKUP(Table1[[#This Row],[Customer ID]],Customers!$A$2:$F$201,5,0)</f>
        <v>East</v>
      </c>
      <c r="U436" t="str">
        <f>VLOOKUP(Table1[[#This Row],[Customer ID]],Customers!$A$2:$F$201,6,0)</f>
        <v>Consumer</v>
      </c>
      <c r="V436" t="str">
        <f>TEXT(Table1[[#This Row],[Order Date]],"MMM")</f>
        <v>Oct</v>
      </c>
      <c r="W436" t="str">
        <f>TEXT(Table1[[#This Row],[Order Date]],"yyyy")</f>
        <v>2024</v>
      </c>
    </row>
    <row r="437" spans="1:23" x14ac:dyDescent="0.25">
      <c r="A437" s="2" t="s">
        <v>662</v>
      </c>
      <c r="B437" s="4">
        <v>45573</v>
      </c>
      <c r="C437" s="2" t="s">
        <v>636</v>
      </c>
      <c r="D437" s="2" t="str">
        <f>TEXT(Table1[[#This Row],[Order Date]],"mmmm")</f>
        <v>October</v>
      </c>
      <c r="E437" s="2" t="s">
        <v>45</v>
      </c>
      <c r="F437" s="2">
        <v>1</v>
      </c>
      <c r="G437" s="5">
        <v>0.05</v>
      </c>
      <c r="H437" s="2" t="s">
        <v>19</v>
      </c>
      <c r="I437" s="2" t="s">
        <v>46</v>
      </c>
      <c r="J437" s="2" t="s">
        <v>42</v>
      </c>
      <c r="K437">
        <f>VLOOKUP(E437,Products!$A$2:$E$23,5,0)</f>
        <v>899</v>
      </c>
      <c r="L437">
        <f>VLOOKUP(E437,Products!$A$2:$E$23,4,0)</f>
        <v>450</v>
      </c>
      <c r="M437" s="2">
        <f>K437*F437-Table1[[#This Row],[discount_amount]]</f>
        <v>854.05</v>
      </c>
      <c r="N437">
        <f t="shared" si="13"/>
        <v>450</v>
      </c>
      <c r="O437">
        <f t="shared" si="12"/>
        <v>404.04999999999995</v>
      </c>
      <c r="P437">
        <f>Table1[[#This Row],[Quantity]]*Table1[[#This Row],[unit_price]]*Table1[[#This Row],[Discount]]</f>
        <v>44.95</v>
      </c>
      <c r="Q437" t="str">
        <f>VLOOKUP(E437,Products!$A$2:$E$23,2,0)</f>
        <v>Track Pants</v>
      </c>
      <c r="R437" t="str">
        <f>VLOOKUP(Table1[[#This Row],[Product ID]],Products!$A$2:$E$23,3,0)</f>
        <v>Clothing</v>
      </c>
      <c r="S437" t="str">
        <f>VLOOKUP(C437,Customers!$A$2:$F$201,4,0)</f>
        <v>Rajasthan</v>
      </c>
      <c r="T437" t="str">
        <f>VLOOKUP(Table1[[#This Row],[Customer ID]],Customers!$A$2:$F$201,5,0)</f>
        <v>North</v>
      </c>
      <c r="U437" t="str">
        <f>VLOOKUP(Table1[[#This Row],[Customer ID]],Customers!$A$2:$F$201,6,0)</f>
        <v>Home Office</v>
      </c>
      <c r="V437" t="str">
        <f>TEXT(Table1[[#This Row],[Order Date]],"MMM")</f>
        <v>Oct</v>
      </c>
      <c r="W437" t="str">
        <f>TEXT(Table1[[#This Row],[Order Date]],"yyyy")</f>
        <v>2024</v>
      </c>
    </row>
    <row r="438" spans="1:23" x14ac:dyDescent="0.25">
      <c r="A438" s="2" t="s">
        <v>663</v>
      </c>
      <c r="B438" s="4">
        <v>45573</v>
      </c>
      <c r="C438" s="2" t="s">
        <v>76</v>
      </c>
      <c r="D438" s="2" t="str">
        <f>TEXT(Table1[[#This Row],[Order Date]],"mmmm")</f>
        <v>October</v>
      </c>
      <c r="E438" s="2" t="s">
        <v>73</v>
      </c>
      <c r="F438" s="2">
        <v>4</v>
      </c>
      <c r="G438" s="5">
        <v>0.1</v>
      </c>
      <c r="H438" s="2" t="s">
        <v>25</v>
      </c>
      <c r="I438" s="2" t="s">
        <v>31</v>
      </c>
      <c r="J438" s="2" t="s">
        <v>21</v>
      </c>
      <c r="K438">
        <f>VLOOKUP(E438,Products!$A$2:$E$23,5,0)</f>
        <v>6499</v>
      </c>
      <c r="L438">
        <f>VLOOKUP(E438,Products!$A$2:$E$23,4,0)</f>
        <v>4200</v>
      </c>
      <c r="M438" s="2">
        <f>K438*F438-Table1[[#This Row],[discount_amount]]</f>
        <v>23396.400000000001</v>
      </c>
      <c r="N438">
        <f t="shared" si="13"/>
        <v>16800</v>
      </c>
      <c r="O438">
        <f t="shared" si="12"/>
        <v>6596.4000000000015</v>
      </c>
      <c r="P438">
        <f>Table1[[#This Row],[Quantity]]*Table1[[#This Row],[unit_price]]*Table1[[#This Row],[Discount]]</f>
        <v>2599.6000000000004</v>
      </c>
      <c r="Q438" t="str">
        <f>VLOOKUP(E438,Products!$A$2:$E$23,2,0)</f>
        <v>Study Table</v>
      </c>
      <c r="R438" t="str">
        <f>VLOOKUP(Table1[[#This Row],[Product ID]],Products!$A$2:$E$23,3,0)</f>
        <v>Furniture</v>
      </c>
      <c r="S438" t="str">
        <f>VLOOKUP(C438,Customers!$A$2:$F$201,4,0)</f>
        <v>West Bengal</v>
      </c>
      <c r="T438" t="str">
        <f>VLOOKUP(Table1[[#This Row],[Customer ID]],Customers!$A$2:$F$201,5,0)</f>
        <v>East</v>
      </c>
      <c r="U438" t="str">
        <f>VLOOKUP(Table1[[#This Row],[Customer ID]],Customers!$A$2:$F$201,6,0)</f>
        <v>Corporate</v>
      </c>
      <c r="V438" t="str">
        <f>TEXT(Table1[[#This Row],[Order Date]],"MMM")</f>
        <v>Oct</v>
      </c>
      <c r="W438" t="str">
        <f>TEXT(Table1[[#This Row],[Order Date]],"yyyy")</f>
        <v>2024</v>
      </c>
    </row>
    <row r="439" spans="1:23" x14ac:dyDescent="0.25">
      <c r="A439" s="2" t="s">
        <v>664</v>
      </c>
      <c r="B439" s="4">
        <v>45574</v>
      </c>
      <c r="C439" s="2" t="s">
        <v>310</v>
      </c>
      <c r="D439" s="2" t="str">
        <f>TEXT(Table1[[#This Row],[Order Date]],"mmmm")</f>
        <v>October</v>
      </c>
      <c r="E439" s="2" t="s">
        <v>18</v>
      </c>
      <c r="F439" s="2">
        <v>4</v>
      </c>
      <c r="G439" s="5">
        <v>0.05</v>
      </c>
      <c r="H439" s="2" t="s">
        <v>19</v>
      </c>
      <c r="I439" s="2" t="s">
        <v>20</v>
      </c>
      <c r="J439" s="2" t="s">
        <v>21</v>
      </c>
      <c r="K439">
        <f>VLOOKUP(E439,Products!$A$2:$E$23,5,0)</f>
        <v>4299</v>
      </c>
      <c r="L439">
        <f>VLOOKUP(E439,Products!$A$2:$E$23,4,0)</f>
        <v>2800</v>
      </c>
      <c r="M439" s="2">
        <f>K439*F439-Table1[[#This Row],[discount_amount]]</f>
        <v>16336.2</v>
      </c>
      <c r="N439">
        <f t="shared" si="13"/>
        <v>11200</v>
      </c>
      <c r="O439">
        <f t="shared" si="12"/>
        <v>5136.2000000000007</v>
      </c>
      <c r="P439">
        <f>Table1[[#This Row],[Quantity]]*Table1[[#This Row],[unit_price]]*Table1[[#This Row],[Discount]]</f>
        <v>859.80000000000007</v>
      </c>
      <c r="Q439" t="str">
        <f>VLOOKUP(E439,Products!$A$2:$E$23,2,0)</f>
        <v>Bookshelf</v>
      </c>
      <c r="R439" t="str">
        <f>VLOOKUP(Table1[[#This Row],[Product ID]],Products!$A$2:$E$23,3,0)</f>
        <v>Furniture</v>
      </c>
      <c r="S439" t="str">
        <f>VLOOKUP(C439,Customers!$A$2:$F$201,4,0)</f>
        <v>Odisha</v>
      </c>
      <c r="T439" t="str">
        <f>VLOOKUP(Table1[[#This Row],[Customer ID]],Customers!$A$2:$F$201,5,0)</f>
        <v>East</v>
      </c>
      <c r="U439" t="str">
        <f>VLOOKUP(Table1[[#This Row],[Customer ID]],Customers!$A$2:$F$201,6,0)</f>
        <v>Consumer</v>
      </c>
      <c r="V439" t="str">
        <f>TEXT(Table1[[#This Row],[Order Date]],"MMM")</f>
        <v>Oct</v>
      </c>
      <c r="W439" t="str">
        <f>TEXT(Table1[[#This Row],[Order Date]],"yyyy")</f>
        <v>2024</v>
      </c>
    </row>
    <row r="440" spans="1:23" x14ac:dyDescent="0.25">
      <c r="A440" s="2" t="s">
        <v>665</v>
      </c>
      <c r="B440" s="4">
        <v>45574</v>
      </c>
      <c r="C440" s="2" t="s">
        <v>160</v>
      </c>
      <c r="D440" s="2" t="str">
        <f>TEXT(Table1[[#This Row],[Order Date]],"mmmm")</f>
        <v>October</v>
      </c>
      <c r="E440" s="2" t="s">
        <v>66</v>
      </c>
      <c r="F440" s="2">
        <v>1</v>
      </c>
      <c r="G440" s="5">
        <v>0.05</v>
      </c>
      <c r="H440" s="2" t="s">
        <v>25</v>
      </c>
      <c r="I440" s="2" t="s">
        <v>20</v>
      </c>
      <c r="J440" s="2" t="s">
        <v>79</v>
      </c>
      <c r="K440">
        <f>VLOOKUP(E440,Products!$A$2:$E$23,5,0)</f>
        <v>1299</v>
      </c>
      <c r="L440">
        <f>VLOOKUP(E440,Products!$A$2:$E$23,4,0)</f>
        <v>800</v>
      </c>
      <c r="M440" s="2">
        <f>K440*F440-Table1[[#This Row],[discount_amount]]</f>
        <v>1234.05</v>
      </c>
      <c r="N440">
        <f t="shared" si="13"/>
        <v>800</v>
      </c>
      <c r="O440">
        <f t="shared" si="12"/>
        <v>434.04999999999995</v>
      </c>
      <c r="P440">
        <f>Table1[[#This Row],[Quantity]]*Table1[[#This Row],[unit_price]]*Table1[[#This Row],[Discount]]</f>
        <v>64.95</v>
      </c>
      <c r="Q440" t="str">
        <f>VLOOKUP(E440,Products!$A$2:$E$23,2,0)</f>
        <v>Power Bank 10000mAh</v>
      </c>
      <c r="R440" t="str">
        <f>VLOOKUP(Table1[[#This Row],[Product ID]],Products!$A$2:$E$23,3,0)</f>
        <v>Electronics</v>
      </c>
      <c r="S440" t="str">
        <f>VLOOKUP(C440,Customers!$A$2:$F$201,4,0)</f>
        <v>Gujarat</v>
      </c>
      <c r="T440" t="str">
        <f>VLOOKUP(Table1[[#This Row],[Customer ID]],Customers!$A$2:$F$201,5,0)</f>
        <v>West</v>
      </c>
      <c r="U440" t="str">
        <f>VLOOKUP(Table1[[#This Row],[Customer ID]],Customers!$A$2:$F$201,6,0)</f>
        <v>Consumer</v>
      </c>
      <c r="V440" t="str">
        <f>TEXT(Table1[[#This Row],[Order Date]],"MMM")</f>
        <v>Oct</v>
      </c>
      <c r="W440" t="str">
        <f>TEXT(Table1[[#This Row],[Order Date]],"yyyy")</f>
        <v>2024</v>
      </c>
    </row>
    <row r="441" spans="1:23" x14ac:dyDescent="0.25">
      <c r="A441" s="2" t="s">
        <v>666</v>
      </c>
      <c r="B441" s="4">
        <v>45575</v>
      </c>
      <c r="C441" s="2" t="s">
        <v>129</v>
      </c>
      <c r="D441" s="2" t="str">
        <f>TEXT(Table1[[#This Row],[Order Date]],"mmmm")</f>
        <v>October</v>
      </c>
      <c r="E441" s="2" t="s">
        <v>66</v>
      </c>
      <c r="F441" s="2">
        <v>1</v>
      </c>
      <c r="G441" s="5">
        <v>0.05</v>
      </c>
      <c r="H441" s="2" t="s">
        <v>30</v>
      </c>
      <c r="I441" s="2" t="s">
        <v>31</v>
      </c>
      <c r="J441" s="2" t="s">
        <v>21</v>
      </c>
      <c r="K441">
        <f>VLOOKUP(E441,Products!$A$2:$E$23,5,0)</f>
        <v>1299</v>
      </c>
      <c r="L441">
        <f>VLOOKUP(E441,Products!$A$2:$E$23,4,0)</f>
        <v>800</v>
      </c>
      <c r="M441" s="2">
        <f>K441*F441-Table1[[#This Row],[discount_amount]]</f>
        <v>1234.05</v>
      </c>
      <c r="N441">
        <f t="shared" si="13"/>
        <v>800</v>
      </c>
      <c r="O441">
        <f t="shared" si="12"/>
        <v>434.04999999999995</v>
      </c>
      <c r="P441">
        <f>Table1[[#This Row],[Quantity]]*Table1[[#This Row],[unit_price]]*Table1[[#This Row],[Discount]]</f>
        <v>64.95</v>
      </c>
      <c r="Q441" t="str">
        <f>VLOOKUP(E441,Products!$A$2:$E$23,2,0)</f>
        <v>Power Bank 10000mAh</v>
      </c>
      <c r="R441" t="str">
        <f>VLOOKUP(Table1[[#This Row],[Product ID]],Products!$A$2:$E$23,3,0)</f>
        <v>Electronics</v>
      </c>
      <c r="S441" t="str">
        <f>VLOOKUP(C441,Customers!$A$2:$F$201,4,0)</f>
        <v>Telangana</v>
      </c>
      <c r="T441" t="str">
        <f>VLOOKUP(Table1[[#This Row],[Customer ID]],Customers!$A$2:$F$201,5,0)</f>
        <v>South</v>
      </c>
      <c r="U441" t="str">
        <f>VLOOKUP(Table1[[#This Row],[Customer ID]],Customers!$A$2:$F$201,6,0)</f>
        <v>Consumer</v>
      </c>
      <c r="V441" t="str">
        <f>TEXT(Table1[[#This Row],[Order Date]],"MMM")</f>
        <v>Oct</v>
      </c>
      <c r="W441" t="str">
        <f>TEXT(Table1[[#This Row],[Order Date]],"yyyy")</f>
        <v>2024</v>
      </c>
    </row>
    <row r="442" spans="1:23" x14ac:dyDescent="0.25">
      <c r="A442" s="2" t="s">
        <v>667</v>
      </c>
      <c r="B442" s="4">
        <v>45576</v>
      </c>
      <c r="C442" s="2" t="s">
        <v>567</v>
      </c>
      <c r="D442" s="2" t="str">
        <f>TEXT(Table1[[#This Row],[Order Date]],"mmmm")</f>
        <v>October</v>
      </c>
      <c r="E442" s="2" t="s">
        <v>60</v>
      </c>
      <c r="F442" s="2">
        <v>1</v>
      </c>
      <c r="G442" s="5">
        <v>0.05</v>
      </c>
      <c r="H442" s="2" t="s">
        <v>25</v>
      </c>
      <c r="I442" s="2" t="s">
        <v>31</v>
      </c>
      <c r="J442" s="2" t="s">
        <v>21</v>
      </c>
      <c r="K442">
        <f>VLOOKUP(E442,Products!$A$2:$E$23,5,0)</f>
        <v>449</v>
      </c>
      <c r="L442">
        <f>VLOOKUP(E442,Products!$A$2:$E$23,4,0)</f>
        <v>260</v>
      </c>
      <c r="M442" s="2">
        <f>K442*F442-Table1[[#This Row],[discount_amount]]</f>
        <v>426.55</v>
      </c>
      <c r="N442">
        <f t="shared" si="13"/>
        <v>260</v>
      </c>
      <c r="O442">
        <f t="shared" si="12"/>
        <v>166.55</v>
      </c>
      <c r="P442">
        <f>Table1[[#This Row],[Quantity]]*Table1[[#This Row],[unit_price]]*Table1[[#This Row],[Discount]]</f>
        <v>22.450000000000003</v>
      </c>
      <c r="Q442" t="str">
        <f>VLOOKUP(E442,Products!$A$2:$E$23,2,0)</f>
        <v>Desk Organizer</v>
      </c>
      <c r="R442" t="str">
        <f>VLOOKUP(Table1[[#This Row],[Product ID]],Products!$A$2:$E$23,3,0)</f>
        <v>Office Supplies</v>
      </c>
      <c r="S442" t="str">
        <f>VLOOKUP(C442,Customers!$A$2:$F$201,4,0)</f>
        <v>Gujarat</v>
      </c>
      <c r="T442" t="str">
        <f>VLOOKUP(Table1[[#This Row],[Customer ID]],Customers!$A$2:$F$201,5,0)</f>
        <v>West</v>
      </c>
      <c r="U442" t="str">
        <f>VLOOKUP(Table1[[#This Row],[Customer ID]],Customers!$A$2:$F$201,6,0)</f>
        <v>Consumer</v>
      </c>
      <c r="V442" t="str">
        <f>TEXT(Table1[[#This Row],[Order Date]],"MMM")</f>
        <v>Oct</v>
      </c>
      <c r="W442" t="str">
        <f>TEXT(Table1[[#This Row],[Order Date]],"yyyy")</f>
        <v>2024</v>
      </c>
    </row>
    <row r="443" spans="1:23" x14ac:dyDescent="0.25">
      <c r="A443" s="2" t="s">
        <v>668</v>
      </c>
      <c r="B443" s="4">
        <v>45577</v>
      </c>
      <c r="C443" s="2" t="s">
        <v>144</v>
      </c>
      <c r="D443" s="2" t="str">
        <f>TEXT(Table1[[#This Row],[Order Date]],"mmmm")</f>
        <v>October</v>
      </c>
      <c r="E443" s="2" t="s">
        <v>49</v>
      </c>
      <c r="F443" s="2">
        <v>10</v>
      </c>
      <c r="G443" s="5">
        <v>0.05</v>
      </c>
      <c r="H443" s="2" t="s">
        <v>25</v>
      </c>
      <c r="I443" s="2" t="s">
        <v>31</v>
      </c>
      <c r="J443" s="2" t="s">
        <v>79</v>
      </c>
      <c r="K443">
        <f>VLOOKUP(E443,Products!$A$2:$E$23,5,0)</f>
        <v>700</v>
      </c>
      <c r="L443">
        <f>VLOOKUP(E443,Products!$A$2:$E$23,4,0)</f>
        <v>450</v>
      </c>
      <c r="M443" s="2">
        <f>K443*F443-Table1[[#This Row],[discount_amount]]</f>
        <v>6650</v>
      </c>
      <c r="N443">
        <f t="shared" si="13"/>
        <v>4500</v>
      </c>
      <c r="O443">
        <f t="shared" si="12"/>
        <v>2150</v>
      </c>
      <c r="P443">
        <f>Table1[[#This Row],[Quantity]]*Table1[[#This Row],[unit_price]]*Table1[[#This Row],[Discount]]</f>
        <v>350</v>
      </c>
      <c r="Q443" t="str">
        <f>VLOOKUP(E443,Products!$A$2:$E$23,2,0)</f>
        <v>Wireless Mouse</v>
      </c>
      <c r="R443" t="str">
        <f>VLOOKUP(Table1[[#This Row],[Product ID]],Products!$A$2:$E$23,3,0)</f>
        <v>Electronics</v>
      </c>
      <c r="S443" t="str">
        <f>VLOOKUP(C443,Customers!$A$2:$F$201,4,0)</f>
        <v>Maharashtra</v>
      </c>
      <c r="T443" t="str">
        <f>VLOOKUP(Table1[[#This Row],[Customer ID]],Customers!$A$2:$F$201,5,0)</f>
        <v>West</v>
      </c>
      <c r="U443" t="str">
        <f>VLOOKUP(Table1[[#This Row],[Customer ID]],Customers!$A$2:$F$201,6,0)</f>
        <v>Corporate</v>
      </c>
      <c r="V443" t="str">
        <f>TEXT(Table1[[#This Row],[Order Date]],"MMM")</f>
        <v>Oct</v>
      </c>
      <c r="W443" t="str">
        <f>TEXT(Table1[[#This Row],[Order Date]],"yyyy")</f>
        <v>2024</v>
      </c>
    </row>
    <row r="444" spans="1:23" x14ac:dyDescent="0.25">
      <c r="A444" s="2" t="s">
        <v>669</v>
      </c>
      <c r="B444" s="4">
        <v>45578</v>
      </c>
      <c r="C444" s="2" t="s">
        <v>482</v>
      </c>
      <c r="D444" s="2" t="str">
        <f>TEXT(Table1[[#This Row],[Order Date]],"mmmm")</f>
        <v>October</v>
      </c>
      <c r="E444" s="2" t="s">
        <v>135</v>
      </c>
      <c r="F444" s="2">
        <v>6</v>
      </c>
      <c r="G444" s="5">
        <v>0</v>
      </c>
      <c r="H444" s="2" t="s">
        <v>25</v>
      </c>
      <c r="I444" s="2" t="s">
        <v>31</v>
      </c>
      <c r="J444" s="2" t="s">
        <v>21</v>
      </c>
      <c r="K444">
        <f>VLOOKUP(E444,Products!$A$2:$E$23,5,0)</f>
        <v>220</v>
      </c>
      <c r="L444">
        <f>VLOOKUP(E444,Products!$A$2:$E$23,4,0)</f>
        <v>120</v>
      </c>
      <c r="M444" s="2">
        <f>K444*F444-Table1[[#This Row],[discount_amount]]</f>
        <v>1320</v>
      </c>
      <c r="N444">
        <f t="shared" si="13"/>
        <v>720</v>
      </c>
      <c r="O444">
        <f t="shared" si="12"/>
        <v>600</v>
      </c>
      <c r="P444">
        <f>Table1[[#This Row],[Quantity]]*Table1[[#This Row],[unit_price]]*Table1[[#This Row],[Discount]]</f>
        <v>0</v>
      </c>
      <c r="Q444" t="str">
        <f>VLOOKUP(E444,Products!$A$2:$E$23,2,0)</f>
        <v>Stapler</v>
      </c>
      <c r="R444" t="str">
        <f>VLOOKUP(Table1[[#This Row],[Product ID]],Products!$A$2:$E$23,3,0)</f>
        <v>Office Supplies</v>
      </c>
      <c r="S444" t="str">
        <f>VLOOKUP(C444,Customers!$A$2:$F$201,4,0)</f>
        <v>Chandigarh</v>
      </c>
      <c r="T444" t="str">
        <f>VLOOKUP(Table1[[#This Row],[Customer ID]],Customers!$A$2:$F$201,5,0)</f>
        <v>North</v>
      </c>
      <c r="U444" t="str">
        <f>VLOOKUP(Table1[[#This Row],[Customer ID]],Customers!$A$2:$F$201,6,0)</f>
        <v>Home Office</v>
      </c>
      <c r="V444" t="str">
        <f>TEXT(Table1[[#This Row],[Order Date]],"MMM")</f>
        <v>Oct</v>
      </c>
      <c r="W444" t="str">
        <f>TEXT(Table1[[#This Row],[Order Date]],"yyyy")</f>
        <v>2024</v>
      </c>
    </row>
    <row r="445" spans="1:23" x14ac:dyDescent="0.25">
      <c r="A445" s="2" t="s">
        <v>670</v>
      </c>
      <c r="B445" s="4">
        <v>45580</v>
      </c>
      <c r="C445" s="2" t="s">
        <v>322</v>
      </c>
      <c r="D445" s="2" t="str">
        <f>TEXT(Table1[[#This Row],[Order Date]],"mmmm")</f>
        <v>October</v>
      </c>
      <c r="E445" s="2" t="s">
        <v>155</v>
      </c>
      <c r="F445" s="2">
        <v>2</v>
      </c>
      <c r="G445" s="5">
        <v>0.05</v>
      </c>
      <c r="H445" s="2" t="s">
        <v>30</v>
      </c>
      <c r="I445" s="2" t="s">
        <v>26</v>
      </c>
      <c r="J445" s="2" t="s">
        <v>21</v>
      </c>
      <c r="K445">
        <f>VLOOKUP(E445,Products!$A$2:$E$23,5,0)</f>
        <v>1599</v>
      </c>
      <c r="L445">
        <f>VLOOKUP(E445,Products!$A$2:$E$23,4,0)</f>
        <v>900</v>
      </c>
      <c r="M445" s="2">
        <f>K445*F445-Table1[[#This Row],[discount_amount]]</f>
        <v>3038.1</v>
      </c>
      <c r="N445">
        <f t="shared" si="13"/>
        <v>1800</v>
      </c>
      <c r="O445">
        <f t="shared" si="12"/>
        <v>1238.0999999999999</v>
      </c>
      <c r="P445">
        <f>Table1[[#This Row],[Quantity]]*Table1[[#This Row],[unit_price]]*Table1[[#This Row],[Discount]]</f>
        <v>159.9</v>
      </c>
      <c r="Q445" t="str">
        <f>VLOOKUP(E445,Products!$A$2:$E$23,2,0)</f>
        <v>Headphones</v>
      </c>
      <c r="R445" t="str">
        <f>VLOOKUP(Table1[[#This Row],[Product ID]],Products!$A$2:$E$23,3,0)</f>
        <v>Electronics</v>
      </c>
      <c r="S445" t="str">
        <f>VLOOKUP(C445,Customers!$A$2:$F$201,4,0)</f>
        <v>Chandigarh</v>
      </c>
      <c r="T445" t="str">
        <f>VLOOKUP(Table1[[#This Row],[Customer ID]],Customers!$A$2:$F$201,5,0)</f>
        <v>North</v>
      </c>
      <c r="U445" t="str">
        <f>VLOOKUP(Table1[[#This Row],[Customer ID]],Customers!$A$2:$F$201,6,0)</f>
        <v>Consumer</v>
      </c>
      <c r="V445" t="str">
        <f>TEXT(Table1[[#This Row],[Order Date]],"MMM")</f>
        <v>Oct</v>
      </c>
      <c r="W445" t="str">
        <f>TEXT(Table1[[#This Row],[Order Date]],"yyyy")</f>
        <v>2024</v>
      </c>
    </row>
    <row r="446" spans="1:23" x14ac:dyDescent="0.25">
      <c r="A446" s="2" t="s">
        <v>671</v>
      </c>
      <c r="B446" s="4">
        <v>45581</v>
      </c>
      <c r="C446" s="2" t="s">
        <v>383</v>
      </c>
      <c r="D446" s="2" t="str">
        <f>TEXT(Table1[[#This Row],[Order Date]],"mmmm")</f>
        <v>October</v>
      </c>
      <c r="E446" s="2" t="s">
        <v>37</v>
      </c>
      <c r="F446" s="2">
        <v>5</v>
      </c>
      <c r="G446" s="5">
        <v>0</v>
      </c>
      <c r="H446" s="2" t="s">
        <v>30</v>
      </c>
      <c r="I446" s="2" t="s">
        <v>31</v>
      </c>
      <c r="J446" s="2" t="s">
        <v>21</v>
      </c>
      <c r="K446">
        <f>VLOOKUP(E446,Products!$A$2:$E$23,5,0)</f>
        <v>1799</v>
      </c>
      <c r="L446">
        <f>VLOOKUP(E446,Products!$A$2:$E$23,4,0)</f>
        <v>900</v>
      </c>
      <c r="M446" s="2">
        <f>K446*F446-Table1[[#This Row],[discount_amount]]</f>
        <v>8995</v>
      </c>
      <c r="N446">
        <f t="shared" si="13"/>
        <v>4500</v>
      </c>
      <c r="O446">
        <f t="shared" si="12"/>
        <v>4495</v>
      </c>
      <c r="P446">
        <f>Table1[[#This Row],[Quantity]]*Table1[[#This Row],[unit_price]]*Table1[[#This Row],[Discount]]</f>
        <v>0</v>
      </c>
      <c r="Q446" t="str">
        <f>VLOOKUP(E446,Products!$A$2:$E$23,2,0)</f>
        <v>Denim Jeans</v>
      </c>
      <c r="R446" t="str">
        <f>VLOOKUP(Table1[[#This Row],[Product ID]],Products!$A$2:$E$23,3,0)</f>
        <v>Clothing</v>
      </c>
      <c r="S446" t="str">
        <f>VLOOKUP(C446,Customers!$A$2:$F$201,4,0)</f>
        <v>Bihar</v>
      </c>
      <c r="T446" t="str">
        <f>VLOOKUP(Table1[[#This Row],[Customer ID]],Customers!$A$2:$F$201,5,0)</f>
        <v>East</v>
      </c>
      <c r="U446" t="str">
        <f>VLOOKUP(Table1[[#This Row],[Customer ID]],Customers!$A$2:$F$201,6,0)</f>
        <v>Home Office</v>
      </c>
      <c r="V446" t="str">
        <f>TEXT(Table1[[#This Row],[Order Date]],"MMM")</f>
        <v>Oct</v>
      </c>
      <c r="W446" t="str">
        <f>TEXT(Table1[[#This Row],[Order Date]],"yyyy")</f>
        <v>2024</v>
      </c>
    </row>
    <row r="447" spans="1:23" x14ac:dyDescent="0.25">
      <c r="A447" s="2" t="s">
        <v>672</v>
      </c>
      <c r="B447" s="4">
        <v>45581</v>
      </c>
      <c r="C447" s="2" t="s">
        <v>183</v>
      </c>
      <c r="D447" s="2" t="str">
        <f>TEXT(Table1[[#This Row],[Order Date]],"mmmm")</f>
        <v>October</v>
      </c>
      <c r="E447" s="2" t="s">
        <v>60</v>
      </c>
      <c r="F447" s="2">
        <v>10</v>
      </c>
      <c r="G447" s="5">
        <v>0</v>
      </c>
      <c r="H447" s="2" t="s">
        <v>19</v>
      </c>
      <c r="I447" s="2" t="s">
        <v>20</v>
      </c>
      <c r="J447" s="2" t="s">
        <v>21</v>
      </c>
      <c r="K447">
        <f>VLOOKUP(E447,Products!$A$2:$E$23,5,0)</f>
        <v>449</v>
      </c>
      <c r="L447">
        <f>VLOOKUP(E447,Products!$A$2:$E$23,4,0)</f>
        <v>260</v>
      </c>
      <c r="M447" s="2">
        <f>K447*F447-Table1[[#This Row],[discount_amount]]</f>
        <v>4490</v>
      </c>
      <c r="N447">
        <f t="shared" si="13"/>
        <v>2600</v>
      </c>
      <c r="O447">
        <f t="shared" si="12"/>
        <v>1890</v>
      </c>
      <c r="P447">
        <f>Table1[[#This Row],[Quantity]]*Table1[[#This Row],[unit_price]]*Table1[[#This Row],[Discount]]</f>
        <v>0</v>
      </c>
      <c r="Q447" t="str">
        <f>VLOOKUP(E447,Products!$A$2:$E$23,2,0)</f>
        <v>Desk Organizer</v>
      </c>
      <c r="R447" t="str">
        <f>VLOOKUP(Table1[[#This Row],[Product ID]],Products!$A$2:$E$23,3,0)</f>
        <v>Office Supplies</v>
      </c>
      <c r="S447" t="str">
        <f>VLOOKUP(C447,Customers!$A$2:$F$201,4,0)</f>
        <v>Madhya Pradesh</v>
      </c>
      <c r="T447" t="str">
        <f>VLOOKUP(Table1[[#This Row],[Customer ID]],Customers!$A$2:$F$201,5,0)</f>
        <v>Central</v>
      </c>
      <c r="U447" t="str">
        <f>VLOOKUP(Table1[[#This Row],[Customer ID]],Customers!$A$2:$F$201,6,0)</f>
        <v>Corporate</v>
      </c>
      <c r="V447" t="str">
        <f>TEXT(Table1[[#This Row],[Order Date]],"MMM")</f>
        <v>Oct</v>
      </c>
      <c r="W447" t="str">
        <f>TEXT(Table1[[#This Row],[Order Date]],"yyyy")</f>
        <v>2024</v>
      </c>
    </row>
    <row r="448" spans="1:23" x14ac:dyDescent="0.25">
      <c r="A448" s="2" t="s">
        <v>673</v>
      </c>
      <c r="B448" s="4">
        <v>45581</v>
      </c>
      <c r="C448" s="2" t="s">
        <v>160</v>
      </c>
      <c r="D448" s="2" t="str">
        <f>TEXT(Table1[[#This Row],[Order Date]],"mmmm")</f>
        <v>October</v>
      </c>
      <c r="E448" s="2" t="s">
        <v>41</v>
      </c>
      <c r="F448" s="2">
        <v>2</v>
      </c>
      <c r="G448" s="5">
        <v>0.1</v>
      </c>
      <c r="H448" s="2" t="s">
        <v>25</v>
      </c>
      <c r="I448" s="2" t="s">
        <v>20</v>
      </c>
      <c r="J448" s="2" t="s">
        <v>21</v>
      </c>
      <c r="K448">
        <f>VLOOKUP(E448,Products!$A$2:$E$23,5,0)</f>
        <v>320</v>
      </c>
      <c r="L448">
        <f>VLOOKUP(E448,Products!$A$2:$E$23,4,0)</f>
        <v>220</v>
      </c>
      <c r="M448" s="2">
        <f>K448*F448-Table1[[#This Row],[discount_amount]]</f>
        <v>576</v>
      </c>
      <c r="N448">
        <f t="shared" si="13"/>
        <v>440</v>
      </c>
      <c r="O448">
        <f t="shared" si="12"/>
        <v>136</v>
      </c>
      <c r="P448">
        <f>Table1[[#This Row],[Quantity]]*Table1[[#This Row],[unit_price]]*Table1[[#This Row],[Discount]]</f>
        <v>64</v>
      </c>
      <c r="Q448" t="str">
        <f>VLOOKUP(E448,Products!$A$2:$E$23,2,0)</f>
        <v>A4 Paper Ream</v>
      </c>
      <c r="R448" t="str">
        <f>VLOOKUP(Table1[[#This Row],[Product ID]],Products!$A$2:$E$23,3,0)</f>
        <v>Office Supplies</v>
      </c>
      <c r="S448" t="str">
        <f>VLOOKUP(C448,Customers!$A$2:$F$201,4,0)</f>
        <v>Gujarat</v>
      </c>
      <c r="T448" t="str">
        <f>VLOOKUP(Table1[[#This Row],[Customer ID]],Customers!$A$2:$F$201,5,0)</f>
        <v>West</v>
      </c>
      <c r="U448" t="str">
        <f>VLOOKUP(Table1[[#This Row],[Customer ID]],Customers!$A$2:$F$201,6,0)</f>
        <v>Consumer</v>
      </c>
      <c r="V448" t="str">
        <f>TEXT(Table1[[#This Row],[Order Date]],"MMM")</f>
        <v>Oct</v>
      </c>
      <c r="W448" t="str">
        <f>TEXT(Table1[[#This Row],[Order Date]],"yyyy")</f>
        <v>2024</v>
      </c>
    </row>
    <row r="449" spans="1:23" x14ac:dyDescent="0.25">
      <c r="A449" s="2" t="s">
        <v>674</v>
      </c>
      <c r="B449" s="4">
        <v>45581</v>
      </c>
      <c r="C449" s="2" t="s">
        <v>117</v>
      </c>
      <c r="D449" s="2" t="str">
        <f>TEXT(Table1[[#This Row],[Order Date]],"mmmm")</f>
        <v>October</v>
      </c>
      <c r="E449" s="2" t="s">
        <v>91</v>
      </c>
      <c r="F449" s="2">
        <v>6</v>
      </c>
      <c r="G449" s="5">
        <v>0</v>
      </c>
      <c r="H449" s="2" t="s">
        <v>25</v>
      </c>
      <c r="I449" s="2" t="s">
        <v>31</v>
      </c>
      <c r="J449" s="2" t="s">
        <v>21</v>
      </c>
      <c r="K449">
        <f>VLOOKUP(E449,Products!$A$2:$E$23,5,0)</f>
        <v>1199</v>
      </c>
      <c r="L449">
        <f>VLOOKUP(E449,Products!$A$2:$E$23,4,0)</f>
        <v>600</v>
      </c>
      <c r="M449" s="2">
        <f>K449*F449-Table1[[#This Row],[discount_amount]]</f>
        <v>7194</v>
      </c>
      <c r="N449">
        <f t="shared" si="13"/>
        <v>3600</v>
      </c>
      <c r="O449">
        <f t="shared" si="12"/>
        <v>3594</v>
      </c>
      <c r="P449">
        <f>Table1[[#This Row],[Quantity]]*Table1[[#This Row],[unit_price]]*Table1[[#This Row],[Discount]]</f>
        <v>0</v>
      </c>
      <c r="Q449" t="str">
        <f>VLOOKUP(E449,Products!$A$2:$E$23,2,0)</f>
        <v>Formal Shirt</v>
      </c>
      <c r="R449" t="str">
        <f>VLOOKUP(Table1[[#This Row],[Product ID]],Products!$A$2:$E$23,3,0)</f>
        <v>Clothing</v>
      </c>
      <c r="S449" t="str">
        <f>VLOOKUP(C449,Customers!$A$2:$F$201,4,0)</f>
        <v>Gujarat</v>
      </c>
      <c r="T449" t="str">
        <f>VLOOKUP(Table1[[#This Row],[Customer ID]],Customers!$A$2:$F$201,5,0)</f>
        <v>West</v>
      </c>
      <c r="U449" t="str">
        <f>VLOOKUP(Table1[[#This Row],[Customer ID]],Customers!$A$2:$F$201,6,0)</f>
        <v>Consumer</v>
      </c>
      <c r="V449" t="str">
        <f>TEXT(Table1[[#This Row],[Order Date]],"MMM")</f>
        <v>Oct</v>
      </c>
      <c r="W449" t="str">
        <f>TEXT(Table1[[#This Row],[Order Date]],"yyyy")</f>
        <v>2024</v>
      </c>
    </row>
    <row r="450" spans="1:23" x14ac:dyDescent="0.25">
      <c r="A450" s="2" t="s">
        <v>675</v>
      </c>
      <c r="B450" s="4">
        <v>45582</v>
      </c>
      <c r="C450" s="2" t="s">
        <v>676</v>
      </c>
      <c r="D450" s="2" t="str">
        <f>TEXT(Table1[[#This Row],[Order Date]],"mmmm")</f>
        <v>October</v>
      </c>
      <c r="E450" s="2" t="s">
        <v>111</v>
      </c>
      <c r="F450" s="2">
        <v>8</v>
      </c>
      <c r="G450" s="5">
        <v>0.05</v>
      </c>
      <c r="H450" s="2" t="s">
        <v>19</v>
      </c>
      <c r="I450" s="2" t="s">
        <v>31</v>
      </c>
      <c r="J450" s="2" t="s">
        <v>21</v>
      </c>
      <c r="K450">
        <f>VLOOKUP(E450,Products!$A$2:$E$23,5,0)</f>
        <v>240</v>
      </c>
      <c r="L450">
        <f>VLOOKUP(E450,Products!$A$2:$E$23,4,0)</f>
        <v>140</v>
      </c>
      <c r="M450" s="2">
        <f>K450*F450-Table1[[#This Row],[discount_amount]]</f>
        <v>1824</v>
      </c>
      <c r="N450">
        <f t="shared" si="13"/>
        <v>1120</v>
      </c>
      <c r="O450">
        <f t="shared" ref="O450:O513" si="14">M450-N450</f>
        <v>704</v>
      </c>
      <c r="P450">
        <f>Table1[[#This Row],[Quantity]]*Table1[[#This Row],[unit_price]]*Table1[[#This Row],[Discount]]</f>
        <v>96</v>
      </c>
      <c r="Q450" t="str">
        <f>VLOOKUP(E450,Products!$A$2:$E$23,2,0)</f>
        <v>Whiteboard Marker Set</v>
      </c>
      <c r="R450" t="str">
        <f>VLOOKUP(Table1[[#This Row],[Product ID]],Products!$A$2:$E$23,3,0)</f>
        <v>Office Supplies</v>
      </c>
      <c r="S450" t="str">
        <f>VLOOKUP(C450,Customers!$A$2:$F$201,4,0)</f>
        <v>Tamil Nadu</v>
      </c>
      <c r="T450" t="str">
        <f>VLOOKUP(Table1[[#This Row],[Customer ID]],Customers!$A$2:$F$201,5,0)</f>
        <v>South</v>
      </c>
      <c r="U450" t="str">
        <f>VLOOKUP(Table1[[#This Row],[Customer ID]],Customers!$A$2:$F$201,6,0)</f>
        <v>Consumer</v>
      </c>
      <c r="V450" t="str">
        <f>TEXT(Table1[[#This Row],[Order Date]],"MMM")</f>
        <v>Oct</v>
      </c>
      <c r="W450" t="str">
        <f>TEXT(Table1[[#This Row],[Order Date]],"yyyy")</f>
        <v>2024</v>
      </c>
    </row>
    <row r="451" spans="1:23" x14ac:dyDescent="0.25">
      <c r="A451" s="2" t="s">
        <v>677</v>
      </c>
      <c r="B451" s="4">
        <v>45582</v>
      </c>
      <c r="C451" s="2" t="s">
        <v>144</v>
      </c>
      <c r="D451" s="2" t="str">
        <f>TEXT(Table1[[#This Row],[Order Date]],"mmmm")</f>
        <v>October</v>
      </c>
      <c r="E451" s="2" t="s">
        <v>41</v>
      </c>
      <c r="F451" s="2">
        <v>10</v>
      </c>
      <c r="G451" s="5">
        <v>0</v>
      </c>
      <c r="H451" s="2" t="s">
        <v>30</v>
      </c>
      <c r="I451" s="2" t="s">
        <v>46</v>
      </c>
      <c r="J451" s="2" t="s">
        <v>79</v>
      </c>
      <c r="K451">
        <f>VLOOKUP(E451,Products!$A$2:$E$23,5,0)</f>
        <v>320</v>
      </c>
      <c r="L451">
        <f>VLOOKUP(E451,Products!$A$2:$E$23,4,0)</f>
        <v>220</v>
      </c>
      <c r="M451" s="2">
        <f>K451*F451-Table1[[#This Row],[discount_amount]]</f>
        <v>3200</v>
      </c>
      <c r="N451">
        <f t="shared" ref="N451:N514" si="15">F451*L451</f>
        <v>2200</v>
      </c>
      <c r="O451">
        <f t="shared" si="14"/>
        <v>1000</v>
      </c>
      <c r="P451">
        <f>Table1[[#This Row],[Quantity]]*Table1[[#This Row],[unit_price]]*Table1[[#This Row],[Discount]]</f>
        <v>0</v>
      </c>
      <c r="Q451" t="str">
        <f>VLOOKUP(E451,Products!$A$2:$E$23,2,0)</f>
        <v>A4 Paper Ream</v>
      </c>
      <c r="R451" t="str">
        <f>VLOOKUP(Table1[[#This Row],[Product ID]],Products!$A$2:$E$23,3,0)</f>
        <v>Office Supplies</v>
      </c>
      <c r="S451" t="str">
        <f>VLOOKUP(C451,Customers!$A$2:$F$201,4,0)</f>
        <v>Maharashtra</v>
      </c>
      <c r="T451" t="str">
        <f>VLOOKUP(Table1[[#This Row],[Customer ID]],Customers!$A$2:$F$201,5,0)</f>
        <v>West</v>
      </c>
      <c r="U451" t="str">
        <f>VLOOKUP(Table1[[#This Row],[Customer ID]],Customers!$A$2:$F$201,6,0)</f>
        <v>Corporate</v>
      </c>
      <c r="V451" t="str">
        <f>TEXT(Table1[[#This Row],[Order Date]],"MMM")</f>
        <v>Oct</v>
      </c>
      <c r="W451" t="str">
        <f>TEXT(Table1[[#This Row],[Order Date]],"yyyy")</f>
        <v>2024</v>
      </c>
    </row>
    <row r="452" spans="1:23" x14ac:dyDescent="0.25">
      <c r="A452" s="2" t="s">
        <v>678</v>
      </c>
      <c r="B452" s="4">
        <v>45583</v>
      </c>
      <c r="C452" s="2" t="s">
        <v>490</v>
      </c>
      <c r="D452" s="2" t="str">
        <f>TEXT(Table1[[#This Row],[Order Date]],"mmmm")</f>
        <v>October</v>
      </c>
      <c r="E452" s="2" t="s">
        <v>54</v>
      </c>
      <c r="F452" s="2">
        <v>2</v>
      </c>
      <c r="G452" s="5">
        <v>0</v>
      </c>
      <c r="H452" s="2" t="s">
        <v>19</v>
      </c>
      <c r="I452" s="2" t="s">
        <v>31</v>
      </c>
      <c r="J452" s="2" t="s">
        <v>21</v>
      </c>
      <c r="K452">
        <f>VLOOKUP(E452,Products!$A$2:$E$23,5,0)</f>
        <v>299</v>
      </c>
      <c r="L452">
        <f>VLOOKUP(E452,Products!$A$2:$E$23,4,0)</f>
        <v>180</v>
      </c>
      <c r="M452" s="2">
        <f>K452*F452-Table1[[#This Row],[discount_amount]]</f>
        <v>598</v>
      </c>
      <c r="N452">
        <f t="shared" si="15"/>
        <v>360</v>
      </c>
      <c r="O452">
        <f t="shared" si="14"/>
        <v>238</v>
      </c>
      <c r="P452">
        <f>Table1[[#This Row],[Quantity]]*Table1[[#This Row],[unit_price]]*Table1[[#This Row],[Discount]]</f>
        <v>0</v>
      </c>
      <c r="Q452" t="str">
        <f>VLOOKUP(E452,Products!$A$2:$E$23,2,0)</f>
        <v>Notebook Pack of 5</v>
      </c>
      <c r="R452" t="str">
        <f>VLOOKUP(Table1[[#This Row],[Product ID]],Products!$A$2:$E$23,3,0)</f>
        <v>Office Supplies</v>
      </c>
      <c r="S452" t="str">
        <f>VLOOKUP(C452,Customers!$A$2:$F$201,4,0)</f>
        <v>West Bengal</v>
      </c>
      <c r="T452" t="str">
        <f>VLOOKUP(Table1[[#This Row],[Customer ID]],Customers!$A$2:$F$201,5,0)</f>
        <v>East</v>
      </c>
      <c r="U452" t="str">
        <f>VLOOKUP(Table1[[#This Row],[Customer ID]],Customers!$A$2:$F$201,6,0)</f>
        <v>Consumer</v>
      </c>
      <c r="V452" t="str">
        <f>TEXT(Table1[[#This Row],[Order Date]],"MMM")</f>
        <v>Oct</v>
      </c>
      <c r="W452" t="str">
        <f>TEXT(Table1[[#This Row],[Order Date]],"yyyy")</f>
        <v>2024</v>
      </c>
    </row>
    <row r="453" spans="1:23" x14ac:dyDescent="0.25">
      <c r="A453" s="2" t="s">
        <v>679</v>
      </c>
      <c r="B453" s="4">
        <v>45583</v>
      </c>
      <c r="C453" s="2" t="s">
        <v>389</v>
      </c>
      <c r="D453" s="2" t="str">
        <f>TEXT(Table1[[#This Row],[Order Date]],"mmmm")</f>
        <v>October</v>
      </c>
      <c r="E453" s="2" t="s">
        <v>37</v>
      </c>
      <c r="F453" s="2">
        <v>1</v>
      </c>
      <c r="G453" s="5">
        <v>0</v>
      </c>
      <c r="H453" s="2" t="s">
        <v>30</v>
      </c>
      <c r="I453" s="2" t="s">
        <v>46</v>
      </c>
      <c r="J453" s="2" t="s">
        <v>21</v>
      </c>
      <c r="K453">
        <f>VLOOKUP(E453,Products!$A$2:$E$23,5,0)</f>
        <v>1799</v>
      </c>
      <c r="L453">
        <f>VLOOKUP(E453,Products!$A$2:$E$23,4,0)</f>
        <v>900</v>
      </c>
      <c r="M453" s="2">
        <f>K453*F453-Table1[[#This Row],[discount_amount]]</f>
        <v>1799</v>
      </c>
      <c r="N453">
        <f t="shared" si="15"/>
        <v>900</v>
      </c>
      <c r="O453">
        <f t="shared" si="14"/>
        <v>899</v>
      </c>
      <c r="P453">
        <f>Table1[[#This Row],[Quantity]]*Table1[[#This Row],[unit_price]]*Table1[[#This Row],[Discount]]</f>
        <v>0</v>
      </c>
      <c r="Q453" t="str">
        <f>VLOOKUP(E453,Products!$A$2:$E$23,2,0)</f>
        <v>Denim Jeans</v>
      </c>
      <c r="R453" t="str">
        <f>VLOOKUP(Table1[[#This Row],[Product ID]],Products!$A$2:$E$23,3,0)</f>
        <v>Clothing</v>
      </c>
      <c r="S453" t="str">
        <f>VLOOKUP(C453,Customers!$A$2:$F$201,4,0)</f>
        <v>Kerala</v>
      </c>
      <c r="T453" t="str">
        <f>VLOOKUP(Table1[[#This Row],[Customer ID]],Customers!$A$2:$F$201,5,0)</f>
        <v>South</v>
      </c>
      <c r="U453" t="str">
        <f>VLOOKUP(Table1[[#This Row],[Customer ID]],Customers!$A$2:$F$201,6,0)</f>
        <v>Home Office</v>
      </c>
      <c r="V453" t="str">
        <f>TEXT(Table1[[#This Row],[Order Date]],"MMM")</f>
        <v>Oct</v>
      </c>
      <c r="W453" t="str">
        <f>TEXT(Table1[[#This Row],[Order Date]],"yyyy")</f>
        <v>2024</v>
      </c>
    </row>
    <row r="454" spans="1:23" x14ac:dyDescent="0.25">
      <c r="A454" s="2" t="s">
        <v>680</v>
      </c>
      <c r="B454" s="4">
        <v>45583</v>
      </c>
      <c r="C454" s="2" t="s">
        <v>214</v>
      </c>
      <c r="D454" s="2" t="str">
        <f>TEXT(Table1[[#This Row],[Order Date]],"mmmm")</f>
        <v>October</v>
      </c>
      <c r="E454" s="2" t="s">
        <v>111</v>
      </c>
      <c r="F454" s="2">
        <v>5</v>
      </c>
      <c r="G454" s="5">
        <v>0</v>
      </c>
      <c r="H454" s="2" t="s">
        <v>30</v>
      </c>
      <c r="I454" s="2" t="s">
        <v>31</v>
      </c>
      <c r="J454" s="2" t="s">
        <v>21</v>
      </c>
      <c r="K454">
        <f>VLOOKUP(E454,Products!$A$2:$E$23,5,0)</f>
        <v>240</v>
      </c>
      <c r="L454">
        <f>VLOOKUP(E454,Products!$A$2:$E$23,4,0)</f>
        <v>140</v>
      </c>
      <c r="M454" s="2">
        <f>K454*F454-Table1[[#This Row],[discount_amount]]</f>
        <v>1200</v>
      </c>
      <c r="N454">
        <f t="shared" si="15"/>
        <v>700</v>
      </c>
      <c r="O454">
        <f t="shared" si="14"/>
        <v>500</v>
      </c>
      <c r="P454">
        <f>Table1[[#This Row],[Quantity]]*Table1[[#This Row],[unit_price]]*Table1[[#This Row],[Discount]]</f>
        <v>0</v>
      </c>
      <c r="Q454" t="str">
        <f>VLOOKUP(E454,Products!$A$2:$E$23,2,0)</f>
        <v>Whiteboard Marker Set</v>
      </c>
      <c r="R454" t="str">
        <f>VLOOKUP(Table1[[#This Row],[Product ID]],Products!$A$2:$E$23,3,0)</f>
        <v>Office Supplies</v>
      </c>
      <c r="S454" t="str">
        <f>VLOOKUP(C454,Customers!$A$2:$F$201,4,0)</f>
        <v>Maharashtra</v>
      </c>
      <c r="T454" t="str">
        <f>VLOOKUP(Table1[[#This Row],[Customer ID]],Customers!$A$2:$F$201,5,0)</f>
        <v>Central</v>
      </c>
      <c r="U454" t="str">
        <f>VLOOKUP(Table1[[#This Row],[Customer ID]],Customers!$A$2:$F$201,6,0)</f>
        <v>Consumer</v>
      </c>
      <c r="V454" t="str">
        <f>TEXT(Table1[[#This Row],[Order Date]],"MMM")</f>
        <v>Oct</v>
      </c>
      <c r="W454" t="str">
        <f>TEXT(Table1[[#This Row],[Order Date]],"yyyy")</f>
        <v>2024</v>
      </c>
    </row>
    <row r="455" spans="1:23" x14ac:dyDescent="0.25">
      <c r="A455" s="2" t="s">
        <v>681</v>
      </c>
      <c r="B455" s="4">
        <v>45584</v>
      </c>
      <c r="C455" s="2" t="s">
        <v>520</v>
      </c>
      <c r="D455" s="2" t="str">
        <f>TEXT(Table1[[#This Row],[Order Date]],"mmmm")</f>
        <v>October</v>
      </c>
      <c r="E455" s="2" t="s">
        <v>127</v>
      </c>
      <c r="F455" s="2">
        <v>5</v>
      </c>
      <c r="G455" s="5">
        <v>0.05</v>
      </c>
      <c r="H455" s="2" t="s">
        <v>25</v>
      </c>
      <c r="I455" s="2" t="s">
        <v>31</v>
      </c>
      <c r="J455" s="2" t="s">
        <v>21</v>
      </c>
      <c r="K455">
        <f>VLOOKUP(E455,Products!$A$2:$E$23,5,0)</f>
        <v>1999</v>
      </c>
      <c r="L455">
        <f>VLOOKUP(E455,Products!$A$2:$E$23,4,0)</f>
        <v>1200</v>
      </c>
      <c r="M455" s="2">
        <f>K455*F455-Table1[[#This Row],[discount_amount]]</f>
        <v>9495.25</v>
      </c>
      <c r="N455">
        <f t="shared" si="15"/>
        <v>6000</v>
      </c>
      <c r="O455">
        <f t="shared" si="14"/>
        <v>3495.25</v>
      </c>
      <c r="P455">
        <f>Table1[[#This Row],[Quantity]]*Table1[[#This Row],[unit_price]]*Table1[[#This Row],[Discount]]</f>
        <v>499.75</v>
      </c>
      <c r="Q455" t="str">
        <f>VLOOKUP(E455,Products!$A$2:$E$23,2,0)</f>
        <v>Bluetooth Speaker</v>
      </c>
      <c r="R455" t="str">
        <f>VLOOKUP(Table1[[#This Row],[Product ID]],Products!$A$2:$E$23,3,0)</f>
        <v>Electronics</v>
      </c>
      <c r="S455" t="str">
        <f>VLOOKUP(C455,Customers!$A$2:$F$201,4,0)</f>
        <v>Karnataka</v>
      </c>
      <c r="T455" t="str">
        <f>VLOOKUP(Table1[[#This Row],[Customer ID]],Customers!$A$2:$F$201,5,0)</f>
        <v>South</v>
      </c>
      <c r="U455" t="str">
        <f>VLOOKUP(Table1[[#This Row],[Customer ID]],Customers!$A$2:$F$201,6,0)</f>
        <v>Home Office</v>
      </c>
      <c r="V455" t="str">
        <f>TEXT(Table1[[#This Row],[Order Date]],"MMM")</f>
        <v>Oct</v>
      </c>
      <c r="W455" t="str">
        <f>TEXT(Table1[[#This Row],[Order Date]],"yyyy")</f>
        <v>2024</v>
      </c>
    </row>
    <row r="456" spans="1:23" x14ac:dyDescent="0.25">
      <c r="A456" s="2" t="s">
        <v>682</v>
      </c>
      <c r="B456" s="4">
        <v>45585</v>
      </c>
      <c r="C456" s="2" t="s">
        <v>144</v>
      </c>
      <c r="D456" s="2" t="str">
        <f>TEXT(Table1[[#This Row],[Order Date]],"mmmm")</f>
        <v>October</v>
      </c>
      <c r="E456" s="2" t="s">
        <v>127</v>
      </c>
      <c r="F456" s="2">
        <v>4</v>
      </c>
      <c r="G456" s="5">
        <v>0.05</v>
      </c>
      <c r="H456" s="2" t="s">
        <v>25</v>
      </c>
      <c r="I456" s="2" t="s">
        <v>31</v>
      </c>
      <c r="J456" s="2" t="s">
        <v>21</v>
      </c>
      <c r="K456">
        <f>VLOOKUP(E456,Products!$A$2:$E$23,5,0)</f>
        <v>1999</v>
      </c>
      <c r="L456">
        <f>VLOOKUP(E456,Products!$A$2:$E$23,4,0)</f>
        <v>1200</v>
      </c>
      <c r="M456" s="2">
        <f>K456*F456-Table1[[#This Row],[discount_amount]]</f>
        <v>7596.2</v>
      </c>
      <c r="N456">
        <f t="shared" si="15"/>
        <v>4800</v>
      </c>
      <c r="O456">
        <f t="shared" si="14"/>
        <v>2796.2</v>
      </c>
      <c r="P456">
        <f>Table1[[#This Row],[Quantity]]*Table1[[#This Row],[unit_price]]*Table1[[#This Row],[Discount]]</f>
        <v>399.8</v>
      </c>
      <c r="Q456" t="str">
        <f>VLOOKUP(E456,Products!$A$2:$E$23,2,0)</f>
        <v>Bluetooth Speaker</v>
      </c>
      <c r="R456" t="str">
        <f>VLOOKUP(Table1[[#This Row],[Product ID]],Products!$A$2:$E$23,3,0)</f>
        <v>Electronics</v>
      </c>
      <c r="S456" t="str">
        <f>VLOOKUP(C456,Customers!$A$2:$F$201,4,0)</f>
        <v>Maharashtra</v>
      </c>
      <c r="T456" t="str">
        <f>VLOOKUP(Table1[[#This Row],[Customer ID]],Customers!$A$2:$F$201,5,0)</f>
        <v>West</v>
      </c>
      <c r="U456" t="str">
        <f>VLOOKUP(Table1[[#This Row],[Customer ID]],Customers!$A$2:$F$201,6,0)</f>
        <v>Corporate</v>
      </c>
      <c r="V456" t="str">
        <f>TEXT(Table1[[#This Row],[Order Date]],"MMM")</f>
        <v>Oct</v>
      </c>
      <c r="W456" t="str">
        <f>TEXT(Table1[[#This Row],[Order Date]],"yyyy")</f>
        <v>2024</v>
      </c>
    </row>
    <row r="457" spans="1:23" x14ac:dyDescent="0.25">
      <c r="A457" s="2" t="s">
        <v>683</v>
      </c>
      <c r="B457" s="4">
        <v>45585</v>
      </c>
      <c r="C457" s="2" t="s">
        <v>684</v>
      </c>
      <c r="D457" s="2" t="str">
        <f>TEXT(Table1[[#This Row],[Order Date]],"mmmm")</f>
        <v>October</v>
      </c>
      <c r="E457" s="2" t="s">
        <v>34</v>
      </c>
      <c r="F457" s="2">
        <v>2</v>
      </c>
      <c r="G457" s="5">
        <v>0.05</v>
      </c>
      <c r="H457" s="2" t="s">
        <v>25</v>
      </c>
      <c r="I457" s="2" t="s">
        <v>46</v>
      </c>
      <c r="J457" s="2" t="s">
        <v>21</v>
      </c>
      <c r="K457">
        <f>VLOOKUP(E457,Products!$A$2:$E$23,5,0)</f>
        <v>4599</v>
      </c>
      <c r="L457">
        <f>VLOOKUP(E457,Products!$A$2:$E$23,4,0)</f>
        <v>3000</v>
      </c>
      <c r="M457" s="2">
        <f>K457*F457-Table1[[#This Row],[discount_amount]]</f>
        <v>8738.1</v>
      </c>
      <c r="N457">
        <f t="shared" si="15"/>
        <v>6000</v>
      </c>
      <c r="O457">
        <f t="shared" si="14"/>
        <v>2738.1000000000004</v>
      </c>
      <c r="P457">
        <f>Table1[[#This Row],[Quantity]]*Table1[[#This Row],[unit_price]]*Table1[[#This Row],[Discount]]</f>
        <v>459.90000000000003</v>
      </c>
      <c r="Q457" t="str">
        <f>VLOOKUP(E457,Products!$A$2:$E$23,2,0)</f>
        <v>Filing Cabinet</v>
      </c>
      <c r="R457" t="str">
        <f>VLOOKUP(Table1[[#This Row],[Product ID]],Products!$A$2:$E$23,3,0)</f>
        <v>Furniture</v>
      </c>
      <c r="S457" t="str">
        <f>VLOOKUP(C457,Customers!$A$2:$F$201,4,0)</f>
        <v>Gujarat</v>
      </c>
      <c r="T457" t="str">
        <f>VLOOKUP(Table1[[#This Row],[Customer ID]],Customers!$A$2:$F$201,5,0)</f>
        <v>West</v>
      </c>
      <c r="U457" t="str">
        <f>VLOOKUP(Table1[[#This Row],[Customer ID]],Customers!$A$2:$F$201,6,0)</f>
        <v>Home Office</v>
      </c>
      <c r="V457" t="str">
        <f>TEXT(Table1[[#This Row],[Order Date]],"MMM")</f>
        <v>Oct</v>
      </c>
      <c r="W457" t="str">
        <f>TEXT(Table1[[#This Row],[Order Date]],"yyyy")</f>
        <v>2024</v>
      </c>
    </row>
    <row r="458" spans="1:23" x14ac:dyDescent="0.25">
      <c r="A458" s="2" t="s">
        <v>685</v>
      </c>
      <c r="B458" s="4">
        <v>45585</v>
      </c>
      <c r="C458" s="2" t="s">
        <v>126</v>
      </c>
      <c r="D458" s="2" t="str">
        <f>TEXT(Table1[[#This Row],[Order Date]],"mmmm")</f>
        <v>October</v>
      </c>
      <c r="E458" s="2" t="s">
        <v>45</v>
      </c>
      <c r="F458" s="2">
        <v>4</v>
      </c>
      <c r="G458" s="5">
        <v>0.1</v>
      </c>
      <c r="H458" s="2" t="s">
        <v>30</v>
      </c>
      <c r="I458" s="2" t="s">
        <v>26</v>
      </c>
      <c r="J458" s="2" t="s">
        <v>42</v>
      </c>
      <c r="K458">
        <f>VLOOKUP(E458,Products!$A$2:$E$23,5,0)</f>
        <v>899</v>
      </c>
      <c r="L458">
        <f>VLOOKUP(E458,Products!$A$2:$E$23,4,0)</f>
        <v>450</v>
      </c>
      <c r="M458" s="2">
        <f>K458*F458-Table1[[#This Row],[discount_amount]]</f>
        <v>3236.4</v>
      </c>
      <c r="N458">
        <f t="shared" si="15"/>
        <v>1800</v>
      </c>
      <c r="O458">
        <f t="shared" si="14"/>
        <v>1436.4</v>
      </c>
      <c r="P458">
        <f>Table1[[#This Row],[Quantity]]*Table1[[#This Row],[unit_price]]*Table1[[#This Row],[Discount]]</f>
        <v>359.6</v>
      </c>
      <c r="Q458" t="str">
        <f>VLOOKUP(E458,Products!$A$2:$E$23,2,0)</f>
        <v>Track Pants</v>
      </c>
      <c r="R458" t="str">
        <f>VLOOKUP(Table1[[#This Row],[Product ID]],Products!$A$2:$E$23,3,0)</f>
        <v>Clothing</v>
      </c>
      <c r="S458" t="str">
        <f>VLOOKUP(C458,Customers!$A$2:$F$201,4,0)</f>
        <v>Tamil Nadu</v>
      </c>
      <c r="T458" t="str">
        <f>VLOOKUP(Table1[[#This Row],[Customer ID]],Customers!$A$2:$F$201,5,0)</f>
        <v>South</v>
      </c>
      <c r="U458" t="str">
        <f>VLOOKUP(Table1[[#This Row],[Customer ID]],Customers!$A$2:$F$201,6,0)</f>
        <v>Consumer</v>
      </c>
      <c r="V458" t="str">
        <f>TEXT(Table1[[#This Row],[Order Date]],"MMM")</f>
        <v>Oct</v>
      </c>
      <c r="W458" t="str">
        <f>TEXT(Table1[[#This Row],[Order Date]],"yyyy")</f>
        <v>2024</v>
      </c>
    </row>
    <row r="459" spans="1:23" x14ac:dyDescent="0.25">
      <c r="A459" s="2" t="s">
        <v>686</v>
      </c>
      <c r="B459" s="4">
        <v>45586</v>
      </c>
      <c r="C459" s="2" t="s">
        <v>252</v>
      </c>
      <c r="D459" s="2" t="str">
        <f>TEXT(Table1[[#This Row],[Order Date]],"mmmm")</f>
        <v>October</v>
      </c>
      <c r="E459" s="2" t="s">
        <v>118</v>
      </c>
      <c r="F459" s="2">
        <v>5</v>
      </c>
      <c r="G459" s="5">
        <v>0.05</v>
      </c>
      <c r="H459" s="2" t="s">
        <v>25</v>
      </c>
      <c r="I459" s="2" t="s">
        <v>38</v>
      </c>
      <c r="J459" s="2" t="s">
        <v>21</v>
      </c>
      <c r="K459">
        <f>VLOOKUP(E459,Products!$A$2:$E$23,5,0)</f>
        <v>150</v>
      </c>
      <c r="L459">
        <f>VLOOKUP(E459,Products!$A$2:$E$23,4,0)</f>
        <v>90</v>
      </c>
      <c r="M459" s="2">
        <f>K459*F459-Table1[[#This Row],[discount_amount]]</f>
        <v>712.5</v>
      </c>
      <c r="N459">
        <f t="shared" si="15"/>
        <v>450</v>
      </c>
      <c r="O459">
        <f t="shared" si="14"/>
        <v>262.5</v>
      </c>
      <c r="P459">
        <f>Table1[[#This Row],[Quantity]]*Table1[[#This Row],[unit_price]]*Table1[[#This Row],[Discount]]</f>
        <v>37.5</v>
      </c>
      <c r="Q459" t="str">
        <f>VLOOKUP(E459,Products!$A$2:$E$23,2,0)</f>
        <v>Gel Pen Box</v>
      </c>
      <c r="R459" t="str">
        <f>VLOOKUP(Table1[[#This Row],[Product ID]],Products!$A$2:$E$23,3,0)</f>
        <v>Office Supplies</v>
      </c>
      <c r="S459" t="str">
        <f>VLOOKUP(C459,Customers!$A$2:$F$201,4,0)</f>
        <v>Chandigarh</v>
      </c>
      <c r="T459" t="str">
        <f>VLOOKUP(Table1[[#This Row],[Customer ID]],Customers!$A$2:$F$201,5,0)</f>
        <v>North</v>
      </c>
      <c r="U459" t="str">
        <f>VLOOKUP(Table1[[#This Row],[Customer ID]],Customers!$A$2:$F$201,6,0)</f>
        <v>Consumer</v>
      </c>
      <c r="V459" t="str">
        <f>TEXT(Table1[[#This Row],[Order Date]],"MMM")</f>
        <v>Oct</v>
      </c>
      <c r="W459" t="str">
        <f>TEXT(Table1[[#This Row],[Order Date]],"yyyy")</f>
        <v>2024</v>
      </c>
    </row>
    <row r="460" spans="1:23" x14ac:dyDescent="0.25">
      <c r="A460" s="2" t="s">
        <v>687</v>
      </c>
      <c r="B460" s="4">
        <v>45586</v>
      </c>
      <c r="C460" s="2" t="s">
        <v>331</v>
      </c>
      <c r="D460" s="2" t="str">
        <f>TEXT(Table1[[#This Row],[Order Date]],"mmmm")</f>
        <v>October</v>
      </c>
      <c r="E460" s="2" t="s">
        <v>29</v>
      </c>
      <c r="F460" s="2">
        <v>6</v>
      </c>
      <c r="G460" s="5">
        <v>0.1</v>
      </c>
      <c r="H460" s="2" t="s">
        <v>19</v>
      </c>
      <c r="I460" s="2" t="s">
        <v>26</v>
      </c>
      <c r="J460" s="2" t="s">
        <v>79</v>
      </c>
      <c r="K460">
        <f>VLOOKUP(E460,Products!$A$2:$E$23,5,0)</f>
        <v>599</v>
      </c>
      <c r="L460">
        <f>VLOOKUP(E460,Products!$A$2:$E$23,4,0)</f>
        <v>350</v>
      </c>
      <c r="M460" s="2">
        <f>K460*F460-Table1[[#This Row],[discount_amount]]</f>
        <v>3234.6</v>
      </c>
      <c r="N460">
        <f t="shared" si="15"/>
        <v>2100</v>
      </c>
      <c r="O460">
        <f t="shared" si="14"/>
        <v>1134.5999999999999</v>
      </c>
      <c r="P460">
        <f>Table1[[#This Row],[Quantity]]*Table1[[#This Row],[unit_price]]*Table1[[#This Row],[Discount]]</f>
        <v>359.40000000000003</v>
      </c>
      <c r="Q460" t="str">
        <f>VLOOKUP(E460,Products!$A$2:$E$23,2,0)</f>
        <v>USB Flash Drive 64GB</v>
      </c>
      <c r="R460" t="str">
        <f>VLOOKUP(Table1[[#This Row],[Product ID]],Products!$A$2:$E$23,3,0)</f>
        <v>Electronics</v>
      </c>
      <c r="S460" t="str">
        <f>VLOOKUP(C460,Customers!$A$2:$F$201,4,0)</f>
        <v>West Bengal</v>
      </c>
      <c r="T460" t="str">
        <f>VLOOKUP(Table1[[#This Row],[Customer ID]],Customers!$A$2:$F$201,5,0)</f>
        <v>East</v>
      </c>
      <c r="U460" t="str">
        <f>VLOOKUP(Table1[[#This Row],[Customer ID]],Customers!$A$2:$F$201,6,0)</f>
        <v>Home Office</v>
      </c>
      <c r="V460" t="str">
        <f>TEXT(Table1[[#This Row],[Order Date]],"MMM")</f>
        <v>Oct</v>
      </c>
      <c r="W460" t="str">
        <f>TEXT(Table1[[#This Row],[Order Date]],"yyyy")</f>
        <v>2024</v>
      </c>
    </row>
    <row r="461" spans="1:23" x14ac:dyDescent="0.25">
      <c r="A461" s="2" t="s">
        <v>688</v>
      </c>
      <c r="B461" s="4">
        <v>45586</v>
      </c>
      <c r="C461" s="2" t="s">
        <v>509</v>
      </c>
      <c r="D461" s="2" t="str">
        <f>TEXT(Table1[[#This Row],[Order Date]],"mmmm")</f>
        <v>October</v>
      </c>
      <c r="E461" s="2" t="s">
        <v>18</v>
      </c>
      <c r="F461" s="2">
        <v>2</v>
      </c>
      <c r="G461" s="5">
        <v>0.15</v>
      </c>
      <c r="H461" s="2" t="s">
        <v>19</v>
      </c>
      <c r="I461" s="2" t="s">
        <v>46</v>
      </c>
      <c r="J461" s="2" t="s">
        <v>21</v>
      </c>
      <c r="K461">
        <f>VLOOKUP(E461,Products!$A$2:$E$23,5,0)</f>
        <v>4299</v>
      </c>
      <c r="L461">
        <f>VLOOKUP(E461,Products!$A$2:$E$23,4,0)</f>
        <v>2800</v>
      </c>
      <c r="M461" s="2">
        <f>K461*F461-Table1[[#This Row],[discount_amount]]</f>
        <v>7308.3</v>
      </c>
      <c r="N461">
        <f t="shared" si="15"/>
        <v>5600</v>
      </c>
      <c r="O461">
        <f t="shared" si="14"/>
        <v>1708.3000000000002</v>
      </c>
      <c r="P461">
        <f>Table1[[#This Row],[Quantity]]*Table1[[#This Row],[unit_price]]*Table1[[#This Row],[Discount]]</f>
        <v>1289.7</v>
      </c>
      <c r="Q461" t="str">
        <f>VLOOKUP(E461,Products!$A$2:$E$23,2,0)</f>
        <v>Bookshelf</v>
      </c>
      <c r="R461" t="str">
        <f>VLOOKUP(Table1[[#This Row],[Product ID]],Products!$A$2:$E$23,3,0)</f>
        <v>Furniture</v>
      </c>
      <c r="S461" t="str">
        <f>VLOOKUP(C461,Customers!$A$2:$F$201,4,0)</f>
        <v>Madhya Pradesh</v>
      </c>
      <c r="T461" t="str">
        <f>VLOOKUP(Table1[[#This Row],[Customer ID]],Customers!$A$2:$F$201,5,0)</f>
        <v>Central</v>
      </c>
      <c r="U461" t="str">
        <f>VLOOKUP(Table1[[#This Row],[Customer ID]],Customers!$A$2:$F$201,6,0)</f>
        <v>Consumer</v>
      </c>
      <c r="V461" t="str">
        <f>TEXT(Table1[[#This Row],[Order Date]],"MMM")</f>
        <v>Oct</v>
      </c>
      <c r="W461" t="str">
        <f>TEXT(Table1[[#This Row],[Order Date]],"yyyy")</f>
        <v>2024</v>
      </c>
    </row>
    <row r="462" spans="1:23" x14ac:dyDescent="0.25">
      <c r="A462" s="2" t="s">
        <v>689</v>
      </c>
      <c r="B462" s="4">
        <v>45586</v>
      </c>
      <c r="C462" s="2" t="s">
        <v>297</v>
      </c>
      <c r="D462" s="2" t="str">
        <f>TEXT(Table1[[#This Row],[Order Date]],"mmmm")</f>
        <v>October</v>
      </c>
      <c r="E462" s="2" t="s">
        <v>135</v>
      </c>
      <c r="F462" s="2">
        <v>2</v>
      </c>
      <c r="G462" s="5">
        <v>0</v>
      </c>
      <c r="H462" s="2" t="s">
        <v>30</v>
      </c>
      <c r="I462" s="2" t="s">
        <v>31</v>
      </c>
      <c r="J462" s="2" t="s">
        <v>21</v>
      </c>
      <c r="K462">
        <f>VLOOKUP(E462,Products!$A$2:$E$23,5,0)</f>
        <v>220</v>
      </c>
      <c r="L462">
        <f>VLOOKUP(E462,Products!$A$2:$E$23,4,0)</f>
        <v>120</v>
      </c>
      <c r="M462" s="2">
        <f>K462*F462-Table1[[#This Row],[discount_amount]]</f>
        <v>440</v>
      </c>
      <c r="N462">
        <f t="shared" si="15"/>
        <v>240</v>
      </c>
      <c r="O462">
        <f t="shared" si="14"/>
        <v>200</v>
      </c>
      <c r="P462">
        <f>Table1[[#This Row],[Quantity]]*Table1[[#This Row],[unit_price]]*Table1[[#This Row],[Discount]]</f>
        <v>0</v>
      </c>
      <c r="Q462" t="str">
        <f>VLOOKUP(E462,Products!$A$2:$E$23,2,0)</f>
        <v>Stapler</v>
      </c>
      <c r="R462" t="str">
        <f>VLOOKUP(Table1[[#This Row],[Product ID]],Products!$A$2:$E$23,3,0)</f>
        <v>Office Supplies</v>
      </c>
      <c r="S462" t="str">
        <f>VLOOKUP(C462,Customers!$A$2:$F$201,4,0)</f>
        <v>Maharashtra</v>
      </c>
      <c r="T462" t="str">
        <f>VLOOKUP(Table1[[#This Row],[Customer ID]],Customers!$A$2:$F$201,5,0)</f>
        <v>West</v>
      </c>
      <c r="U462" t="str">
        <f>VLOOKUP(Table1[[#This Row],[Customer ID]],Customers!$A$2:$F$201,6,0)</f>
        <v>Consumer</v>
      </c>
      <c r="V462" t="str">
        <f>TEXT(Table1[[#This Row],[Order Date]],"MMM")</f>
        <v>Oct</v>
      </c>
      <c r="W462" t="str">
        <f>TEXT(Table1[[#This Row],[Order Date]],"yyyy")</f>
        <v>2024</v>
      </c>
    </row>
    <row r="463" spans="1:23" x14ac:dyDescent="0.25">
      <c r="A463" s="2" t="s">
        <v>690</v>
      </c>
      <c r="B463" s="4">
        <v>45587</v>
      </c>
      <c r="C463" s="2" t="s">
        <v>115</v>
      </c>
      <c r="D463" s="2" t="str">
        <f>TEXT(Table1[[#This Row],[Order Date]],"mmmm")</f>
        <v>October</v>
      </c>
      <c r="E463" s="2" t="s">
        <v>18</v>
      </c>
      <c r="F463" s="2">
        <v>6</v>
      </c>
      <c r="G463" s="5">
        <v>0.05</v>
      </c>
      <c r="H463" s="2" t="s">
        <v>19</v>
      </c>
      <c r="I463" s="2" t="s">
        <v>46</v>
      </c>
      <c r="J463" s="2" t="s">
        <v>21</v>
      </c>
      <c r="K463">
        <f>VLOOKUP(E463,Products!$A$2:$E$23,5,0)</f>
        <v>4299</v>
      </c>
      <c r="L463">
        <f>VLOOKUP(E463,Products!$A$2:$E$23,4,0)</f>
        <v>2800</v>
      </c>
      <c r="M463" s="2">
        <f>K463*F463-Table1[[#This Row],[discount_amount]]</f>
        <v>24504.3</v>
      </c>
      <c r="N463">
        <f t="shared" si="15"/>
        <v>16800</v>
      </c>
      <c r="O463">
        <f t="shared" si="14"/>
        <v>7704.2999999999993</v>
      </c>
      <c r="P463">
        <f>Table1[[#This Row],[Quantity]]*Table1[[#This Row],[unit_price]]*Table1[[#This Row],[Discount]]</f>
        <v>1289.7</v>
      </c>
      <c r="Q463" t="str">
        <f>VLOOKUP(E463,Products!$A$2:$E$23,2,0)</f>
        <v>Bookshelf</v>
      </c>
      <c r="R463" t="str">
        <f>VLOOKUP(Table1[[#This Row],[Product ID]],Products!$A$2:$E$23,3,0)</f>
        <v>Furniture</v>
      </c>
      <c r="S463" t="str">
        <f>VLOOKUP(C463,Customers!$A$2:$F$201,4,0)</f>
        <v>Bihar</v>
      </c>
      <c r="T463" t="str">
        <f>VLOOKUP(Table1[[#This Row],[Customer ID]],Customers!$A$2:$F$201,5,0)</f>
        <v>East</v>
      </c>
      <c r="U463" t="str">
        <f>VLOOKUP(Table1[[#This Row],[Customer ID]],Customers!$A$2:$F$201,6,0)</f>
        <v>Consumer</v>
      </c>
      <c r="V463" t="str">
        <f>TEXT(Table1[[#This Row],[Order Date]],"MMM")</f>
        <v>Oct</v>
      </c>
      <c r="W463" t="str">
        <f>TEXT(Table1[[#This Row],[Order Date]],"yyyy")</f>
        <v>2024</v>
      </c>
    </row>
    <row r="464" spans="1:23" x14ac:dyDescent="0.25">
      <c r="A464" s="2" t="s">
        <v>691</v>
      </c>
      <c r="B464" s="4">
        <v>45587</v>
      </c>
      <c r="C464" s="2" t="s">
        <v>144</v>
      </c>
      <c r="D464" s="2" t="str">
        <f>TEXT(Table1[[#This Row],[Order Date]],"mmmm")</f>
        <v>October</v>
      </c>
      <c r="E464" s="2" t="s">
        <v>24</v>
      </c>
      <c r="F464" s="2">
        <v>12</v>
      </c>
      <c r="G464" s="5">
        <v>0.05</v>
      </c>
      <c r="H464" s="2" t="s">
        <v>30</v>
      </c>
      <c r="I464" s="2" t="s">
        <v>20</v>
      </c>
      <c r="J464" s="2" t="s">
        <v>21</v>
      </c>
      <c r="K464">
        <f>VLOOKUP(E464,Products!$A$2:$E$23,5,0)</f>
        <v>899</v>
      </c>
      <c r="L464">
        <f>VLOOKUP(E464,Products!$A$2:$E$23,4,0)</f>
        <v>500</v>
      </c>
      <c r="M464" s="2">
        <f>K464*F464-Table1[[#This Row],[discount_amount]]</f>
        <v>10248.6</v>
      </c>
      <c r="N464">
        <f t="shared" si="15"/>
        <v>6000</v>
      </c>
      <c r="O464">
        <f t="shared" si="14"/>
        <v>4248.6000000000004</v>
      </c>
      <c r="P464">
        <f>Table1[[#This Row],[Quantity]]*Table1[[#This Row],[unit_price]]*Table1[[#This Row],[Discount]]</f>
        <v>539.4</v>
      </c>
      <c r="Q464" t="str">
        <f>VLOOKUP(E464,Products!$A$2:$E$23,2,0)</f>
        <v>Monitor Stand</v>
      </c>
      <c r="R464" t="str">
        <f>VLOOKUP(Table1[[#This Row],[Product ID]],Products!$A$2:$E$23,3,0)</f>
        <v>Furniture</v>
      </c>
      <c r="S464" t="str">
        <f>VLOOKUP(C464,Customers!$A$2:$F$201,4,0)</f>
        <v>Maharashtra</v>
      </c>
      <c r="T464" t="str">
        <f>VLOOKUP(Table1[[#This Row],[Customer ID]],Customers!$A$2:$F$201,5,0)</f>
        <v>West</v>
      </c>
      <c r="U464" t="str">
        <f>VLOOKUP(Table1[[#This Row],[Customer ID]],Customers!$A$2:$F$201,6,0)</f>
        <v>Corporate</v>
      </c>
      <c r="V464" t="str">
        <f>TEXT(Table1[[#This Row],[Order Date]],"MMM")</f>
        <v>Oct</v>
      </c>
      <c r="W464" t="str">
        <f>TEXT(Table1[[#This Row],[Order Date]],"yyyy")</f>
        <v>2024</v>
      </c>
    </row>
    <row r="465" spans="1:23" x14ac:dyDescent="0.25">
      <c r="A465" s="2" t="s">
        <v>692</v>
      </c>
      <c r="B465" s="4">
        <v>45587</v>
      </c>
      <c r="C465" s="2" t="s">
        <v>237</v>
      </c>
      <c r="D465" s="2" t="str">
        <f>TEXT(Table1[[#This Row],[Order Date]],"mmmm")</f>
        <v>October</v>
      </c>
      <c r="E465" s="2" t="s">
        <v>155</v>
      </c>
      <c r="F465" s="2">
        <v>1</v>
      </c>
      <c r="G465" s="5">
        <v>0.05</v>
      </c>
      <c r="H465" s="2" t="s">
        <v>25</v>
      </c>
      <c r="I465" s="2" t="s">
        <v>46</v>
      </c>
      <c r="J465" s="2" t="s">
        <v>42</v>
      </c>
      <c r="K465">
        <f>VLOOKUP(E465,Products!$A$2:$E$23,5,0)</f>
        <v>1599</v>
      </c>
      <c r="L465">
        <f>VLOOKUP(E465,Products!$A$2:$E$23,4,0)</f>
        <v>900</v>
      </c>
      <c r="M465" s="2">
        <f>K465*F465-Table1[[#This Row],[discount_amount]]</f>
        <v>1519.05</v>
      </c>
      <c r="N465">
        <f t="shared" si="15"/>
        <v>900</v>
      </c>
      <c r="O465">
        <f t="shared" si="14"/>
        <v>619.04999999999995</v>
      </c>
      <c r="P465">
        <f>Table1[[#This Row],[Quantity]]*Table1[[#This Row],[unit_price]]*Table1[[#This Row],[Discount]]</f>
        <v>79.95</v>
      </c>
      <c r="Q465" t="str">
        <f>VLOOKUP(E465,Products!$A$2:$E$23,2,0)</f>
        <v>Headphones</v>
      </c>
      <c r="R465" t="str">
        <f>VLOOKUP(Table1[[#This Row],[Product ID]],Products!$A$2:$E$23,3,0)</f>
        <v>Electronics</v>
      </c>
      <c r="S465" t="str">
        <f>VLOOKUP(C465,Customers!$A$2:$F$201,4,0)</f>
        <v>Madhya Pradesh</v>
      </c>
      <c r="T465" t="str">
        <f>VLOOKUP(Table1[[#This Row],[Customer ID]],Customers!$A$2:$F$201,5,0)</f>
        <v>Central</v>
      </c>
      <c r="U465" t="str">
        <f>VLOOKUP(Table1[[#This Row],[Customer ID]],Customers!$A$2:$F$201,6,0)</f>
        <v>Consumer</v>
      </c>
      <c r="V465" t="str">
        <f>TEXT(Table1[[#This Row],[Order Date]],"MMM")</f>
        <v>Oct</v>
      </c>
      <c r="W465" t="str">
        <f>TEXT(Table1[[#This Row],[Order Date]],"yyyy")</f>
        <v>2024</v>
      </c>
    </row>
    <row r="466" spans="1:23" x14ac:dyDescent="0.25">
      <c r="A466" s="2" t="s">
        <v>693</v>
      </c>
      <c r="B466" s="4">
        <v>45587</v>
      </c>
      <c r="C466" s="2" t="s">
        <v>76</v>
      </c>
      <c r="D466" s="2" t="str">
        <f>TEXT(Table1[[#This Row],[Order Date]],"mmmm")</f>
        <v>October</v>
      </c>
      <c r="E466" s="2" t="s">
        <v>24</v>
      </c>
      <c r="F466" s="2">
        <v>8</v>
      </c>
      <c r="G466" s="5">
        <v>0.05</v>
      </c>
      <c r="H466" s="2" t="s">
        <v>19</v>
      </c>
      <c r="I466" s="2" t="s">
        <v>46</v>
      </c>
      <c r="J466" s="2" t="s">
        <v>21</v>
      </c>
      <c r="K466">
        <f>VLOOKUP(E466,Products!$A$2:$E$23,5,0)</f>
        <v>899</v>
      </c>
      <c r="L466">
        <f>VLOOKUP(E466,Products!$A$2:$E$23,4,0)</f>
        <v>500</v>
      </c>
      <c r="M466" s="2">
        <f>K466*F466-Table1[[#This Row],[discount_amount]]</f>
        <v>6832.4</v>
      </c>
      <c r="N466">
        <f t="shared" si="15"/>
        <v>4000</v>
      </c>
      <c r="O466">
        <f t="shared" si="14"/>
        <v>2832.3999999999996</v>
      </c>
      <c r="P466">
        <f>Table1[[#This Row],[Quantity]]*Table1[[#This Row],[unit_price]]*Table1[[#This Row],[Discount]]</f>
        <v>359.6</v>
      </c>
      <c r="Q466" t="str">
        <f>VLOOKUP(E466,Products!$A$2:$E$23,2,0)</f>
        <v>Monitor Stand</v>
      </c>
      <c r="R466" t="str">
        <f>VLOOKUP(Table1[[#This Row],[Product ID]],Products!$A$2:$E$23,3,0)</f>
        <v>Furniture</v>
      </c>
      <c r="S466" t="str">
        <f>VLOOKUP(C466,Customers!$A$2:$F$201,4,0)</f>
        <v>West Bengal</v>
      </c>
      <c r="T466" t="str">
        <f>VLOOKUP(Table1[[#This Row],[Customer ID]],Customers!$A$2:$F$201,5,0)</f>
        <v>East</v>
      </c>
      <c r="U466" t="str">
        <f>VLOOKUP(Table1[[#This Row],[Customer ID]],Customers!$A$2:$F$201,6,0)</f>
        <v>Corporate</v>
      </c>
      <c r="V466" t="str">
        <f>TEXT(Table1[[#This Row],[Order Date]],"MMM")</f>
        <v>Oct</v>
      </c>
      <c r="W466" t="str">
        <f>TEXT(Table1[[#This Row],[Order Date]],"yyyy")</f>
        <v>2024</v>
      </c>
    </row>
    <row r="467" spans="1:23" x14ac:dyDescent="0.25">
      <c r="A467" s="2" t="s">
        <v>694</v>
      </c>
      <c r="B467" s="4">
        <v>45588</v>
      </c>
      <c r="C467" s="2" t="s">
        <v>572</v>
      </c>
      <c r="D467" s="2" t="str">
        <f>TEXT(Table1[[#This Row],[Order Date]],"mmmm")</f>
        <v>October</v>
      </c>
      <c r="E467" s="2" t="s">
        <v>34</v>
      </c>
      <c r="F467" s="2">
        <v>10</v>
      </c>
      <c r="G467" s="5">
        <v>0.1</v>
      </c>
      <c r="H467" s="2" t="s">
        <v>25</v>
      </c>
      <c r="I467" s="2" t="s">
        <v>46</v>
      </c>
      <c r="J467" s="2" t="s">
        <v>21</v>
      </c>
      <c r="K467">
        <f>VLOOKUP(E467,Products!$A$2:$E$23,5,0)</f>
        <v>4599</v>
      </c>
      <c r="L467">
        <f>VLOOKUP(E467,Products!$A$2:$E$23,4,0)</f>
        <v>3000</v>
      </c>
      <c r="M467" s="2">
        <f>K467*F467-Table1[[#This Row],[discount_amount]]</f>
        <v>41391</v>
      </c>
      <c r="N467">
        <f t="shared" si="15"/>
        <v>30000</v>
      </c>
      <c r="O467">
        <f t="shared" si="14"/>
        <v>11391</v>
      </c>
      <c r="P467">
        <f>Table1[[#This Row],[Quantity]]*Table1[[#This Row],[unit_price]]*Table1[[#This Row],[Discount]]</f>
        <v>4599</v>
      </c>
      <c r="Q467" t="str">
        <f>VLOOKUP(E467,Products!$A$2:$E$23,2,0)</f>
        <v>Filing Cabinet</v>
      </c>
      <c r="R467" t="str">
        <f>VLOOKUP(Table1[[#This Row],[Product ID]],Products!$A$2:$E$23,3,0)</f>
        <v>Furniture</v>
      </c>
      <c r="S467" t="str">
        <f>VLOOKUP(C467,Customers!$A$2:$F$201,4,0)</f>
        <v>Telangana</v>
      </c>
      <c r="T467" t="str">
        <f>VLOOKUP(Table1[[#This Row],[Customer ID]],Customers!$A$2:$F$201,5,0)</f>
        <v>South</v>
      </c>
      <c r="U467" t="str">
        <f>VLOOKUP(Table1[[#This Row],[Customer ID]],Customers!$A$2:$F$201,6,0)</f>
        <v>Consumer</v>
      </c>
      <c r="V467" t="str">
        <f>TEXT(Table1[[#This Row],[Order Date]],"MMM")</f>
        <v>Oct</v>
      </c>
      <c r="W467" t="str">
        <f>TEXT(Table1[[#This Row],[Order Date]],"yyyy")</f>
        <v>2024</v>
      </c>
    </row>
    <row r="468" spans="1:23" x14ac:dyDescent="0.25">
      <c r="A468" s="2" t="s">
        <v>695</v>
      </c>
      <c r="B468" s="4">
        <v>45588</v>
      </c>
      <c r="C468" s="2" t="s">
        <v>235</v>
      </c>
      <c r="D468" s="2" t="str">
        <f>TEXT(Table1[[#This Row],[Order Date]],"mmmm")</f>
        <v>October</v>
      </c>
      <c r="E468" s="2" t="s">
        <v>111</v>
      </c>
      <c r="F468" s="2">
        <v>4</v>
      </c>
      <c r="G468" s="5">
        <v>0.15</v>
      </c>
      <c r="H468" s="2" t="s">
        <v>25</v>
      </c>
      <c r="I468" s="2" t="s">
        <v>46</v>
      </c>
      <c r="J468" s="2" t="s">
        <v>21</v>
      </c>
      <c r="K468">
        <f>VLOOKUP(E468,Products!$A$2:$E$23,5,0)</f>
        <v>240</v>
      </c>
      <c r="L468">
        <f>VLOOKUP(E468,Products!$A$2:$E$23,4,0)</f>
        <v>140</v>
      </c>
      <c r="M468" s="2">
        <f>K468*F468-Table1[[#This Row],[discount_amount]]</f>
        <v>816</v>
      </c>
      <c r="N468">
        <f t="shared" si="15"/>
        <v>560</v>
      </c>
      <c r="O468">
        <f t="shared" si="14"/>
        <v>256</v>
      </c>
      <c r="P468">
        <f>Table1[[#This Row],[Quantity]]*Table1[[#This Row],[unit_price]]*Table1[[#This Row],[Discount]]</f>
        <v>144</v>
      </c>
      <c r="Q468" t="str">
        <f>VLOOKUP(E468,Products!$A$2:$E$23,2,0)</f>
        <v>Whiteboard Marker Set</v>
      </c>
      <c r="R468" t="str">
        <f>VLOOKUP(Table1[[#This Row],[Product ID]],Products!$A$2:$E$23,3,0)</f>
        <v>Office Supplies</v>
      </c>
      <c r="S468" t="str">
        <f>VLOOKUP(C468,Customers!$A$2:$F$201,4,0)</f>
        <v>Bihar</v>
      </c>
      <c r="T468" t="str">
        <f>VLOOKUP(Table1[[#This Row],[Customer ID]],Customers!$A$2:$F$201,5,0)</f>
        <v>East</v>
      </c>
      <c r="U468" t="str">
        <f>VLOOKUP(Table1[[#This Row],[Customer ID]],Customers!$A$2:$F$201,6,0)</f>
        <v>Home Office</v>
      </c>
      <c r="V468" t="str">
        <f>TEXT(Table1[[#This Row],[Order Date]],"MMM")</f>
        <v>Oct</v>
      </c>
      <c r="W468" t="str">
        <f>TEXT(Table1[[#This Row],[Order Date]],"yyyy")</f>
        <v>2024</v>
      </c>
    </row>
    <row r="469" spans="1:23" x14ac:dyDescent="0.25">
      <c r="A469" s="2" t="s">
        <v>696</v>
      </c>
      <c r="B469" s="4">
        <v>45590</v>
      </c>
      <c r="C469" s="2" t="s">
        <v>335</v>
      </c>
      <c r="D469" s="2" t="str">
        <f>TEXT(Table1[[#This Row],[Order Date]],"mmmm")</f>
        <v>October</v>
      </c>
      <c r="E469" s="2" t="s">
        <v>111</v>
      </c>
      <c r="F469" s="2">
        <v>2</v>
      </c>
      <c r="G469" s="5">
        <v>0.1</v>
      </c>
      <c r="H469" s="2" t="s">
        <v>30</v>
      </c>
      <c r="I469" s="2" t="s">
        <v>46</v>
      </c>
      <c r="J469" s="2" t="s">
        <v>79</v>
      </c>
      <c r="K469">
        <f>VLOOKUP(E469,Products!$A$2:$E$23,5,0)</f>
        <v>240</v>
      </c>
      <c r="L469">
        <f>VLOOKUP(E469,Products!$A$2:$E$23,4,0)</f>
        <v>140</v>
      </c>
      <c r="M469" s="2">
        <f>K469*F469-Table1[[#This Row],[discount_amount]]</f>
        <v>432</v>
      </c>
      <c r="N469">
        <f t="shared" si="15"/>
        <v>280</v>
      </c>
      <c r="O469">
        <f t="shared" si="14"/>
        <v>152</v>
      </c>
      <c r="P469">
        <f>Table1[[#This Row],[Quantity]]*Table1[[#This Row],[unit_price]]*Table1[[#This Row],[Discount]]</f>
        <v>48</v>
      </c>
      <c r="Q469" t="str">
        <f>VLOOKUP(E469,Products!$A$2:$E$23,2,0)</f>
        <v>Whiteboard Marker Set</v>
      </c>
      <c r="R469" t="str">
        <f>VLOOKUP(Table1[[#This Row],[Product ID]],Products!$A$2:$E$23,3,0)</f>
        <v>Office Supplies</v>
      </c>
      <c r="S469" t="str">
        <f>VLOOKUP(C469,Customers!$A$2:$F$201,4,0)</f>
        <v>Chandigarh</v>
      </c>
      <c r="T469" t="str">
        <f>VLOOKUP(Table1[[#This Row],[Customer ID]],Customers!$A$2:$F$201,5,0)</f>
        <v>North</v>
      </c>
      <c r="U469" t="str">
        <f>VLOOKUP(Table1[[#This Row],[Customer ID]],Customers!$A$2:$F$201,6,0)</f>
        <v>Consumer</v>
      </c>
      <c r="V469" t="str">
        <f>TEXT(Table1[[#This Row],[Order Date]],"MMM")</f>
        <v>Oct</v>
      </c>
      <c r="W469" t="str">
        <f>TEXT(Table1[[#This Row],[Order Date]],"yyyy")</f>
        <v>2024</v>
      </c>
    </row>
    <row r="470" spans="1:23" x14ac:dyDescent="0.25">
      <c r="A470" s="2" t="s">
        <v>697</v>
      </c>
      <c r="B470" s="4">
        <v>45590</v>
      </c>
      <c r="C470" s="2" t="s">
        <v>180</v>
      </c>
      <c r="D470" s="2" t="str">
        <f>TEXT(Table1[[#This Row],[Order Date]],"mmmm")</f>
        <v>October</v>
      </c>
      <c r="E470" s="2" t="s">
        <v>63</v>
      </c>
      <c r="F470" s="2">
        <v>4</v>
      </c>
      <c r="G470" s="5">
        <v>0.1</v>
      </c>
      <c r="H470" s="2" t="s">
        <v>30</v>
      </c>
      <c r="I470" s="2" t="s">
        <v>20</v>
      </c>
      <c r="J470" s="2" t="s">
        <v>21</v>
      </c>
      <c r="K470">
        <f>VLOOKUP(E470,Products!$A$2:$E$23,5,0)</f>
        <v>5499</v>
      </c>
      <c r="L470">
        <f>VLOOKUP(E470,Products!$A$2:$E$23,4,0)</f>
        <v>3500</v>
      </c>
      <c r="M470" s="2">
        <f>K470*F470-Table1[[#This Row],[discount_amount]]</f>
        <v>19796.400000000001</v>
      </c>
      <c r="N470">
        <f t="shared" si="15"/>
        <v>14000</v>
      </c>
      <c r="O470">
        <f t="shared" si="14"/>
        <v>5796.4000000000015</v>
      </c>
      <c r="P470">
        <f>Table1[[#This Row],[Quantity]]*Table1[[#This Row],[unit_price]]*Table1[[#This Row],[Discount]]</f>
        <v>2199.6</v>
      </c>
      <c r="Q470" t="str">
        <f>VLOOKUP(E470,Products!$A$2:$E$23,2,0)</f>
        <v>Office Chair</v>
      </c>
      <c r="R470" t="str">
        <f>VLOOKUP(Table1[[#This Row],[Product ID]],Products!$A$2:$E$23,3,0)</f>
        <v>Furniture</v>
      </c>
      <c r="S470" t="str">
        <f>VLOOKUP(C470,Customers!$A$2:$F$201,4,0)</f>
        <v>Delhi</v>
      </c>
      <c r="T470" t="str">
        <f>VLOOKUP(Table1[[#This Row],[Customer ID]],Customers!$A$2:$F$201,5,0)</f>
        <v>North</v>
      </c>
      <c r="U470" t="str">
        <f>VLOOKUP(Table1[[#This Row],[Customer ID]],Customers!$A$2:$F$201,6,0)</f>
        <v>Consumer</v>
      </c>
      <c r="V470" t="str">
        <f>TEXT(Table1[[#This Row],[Order Date]],"MMM")</f>
        <v>Oct</v>
      </c>
      <c r="W470" t="str">
        <f>TEXT(Table1[[#This Row],[Order Date]],"yyyy")</f>
        <v>2024</v>
      </c>
    </row>
    <row r="471" spans="1:23" x14ac:dyDescent="0.25">
      <c r="A471" s="2" t="s">
        <v>698</v>
      </c>
      <c r="B471" s="4">
        <v>45590</v>
      </c>
      <c r="C471" s="2" t="s">
        <v>605</v>
      </c>
      <c r="D471" s="2" t="str">
        <f>TEXT(Table1[[#This Row],[Order Date]],"mmmm")</f>
        <v>October</v>
      </c>
      <c r="E471" s="2" t="s">
        <v>37</v>
      </c>
      <c r="F471" s="2">
        <v>10</v>
      </c>
      <c r="G471" s="5">
        <v>0.1</v>
      </c>
      <c r="H471" s="2" t="s">
        <v>19</v>
      </c>
      <c r="I471" s="2" t="s">
        <v>20</v>
      </c>
      <c r="J471" s="2" t="s">
        <v>21</v>
      </c>
      <c r="K471">
        <f>VLOOKUP(E471,Products!$A$2:$E$23,5,0)</f>
        <v>1799</v>
      </c>
      <c r="L471">
        <f>VLOOKUP(E471,Products!$A$2:$E$23,4,0)</f>
        <v>900</v>
      </c>
      <c r="M471" s="2">
        <f>K471*F471-Table1[[#This Row],[discount_amount]]</f>
        <v>16191</v>
      </c>
      <c r="N471">
        <f t="shared" si="15"/>
        <v>9000</v>
      </c>
      <c r="O471">
        <f t="shared" si="14"/>
        <v>7191</v>
      </c>
      <c r="P471">
        <f>Table1[[#This Row],[Quantity]]*Table1[[#This Row],[unit_price]]*Table1[[#This Row],[Discount]]</f>
        <v>1799</v>
      </c>
      <c r="Q471" t="str">
        <f>VLOOKUP(E471,Products!$A$2:$E$23,2,0)</f>
        <v>Denim Jeans</v>
      </c>
      <c r="R471" t="str">
        <f>VLOOKUP(Table1[[#This Row],[Product ID]],Products!$A$2:$E$23,3,0)</f>
        <v>Clothing</v>
      </c>
      <c r="S471" t="str">
        <f>VLOOKUP(C471,Customers!$A$2:$F$201,4,0)</f>
        <v>Rajasthan</v>
      </c>
      <c r="T471" t="str">
        <f>VLOOKUP(Table1[[#This Row],[Customer ID]],Customers!$A$2:$F$201,5,0)</f>
        <v>North</v>
      </c>
      <c r="U471" t="str">
        <f>VLOOKUP(Table1[[#This Row],[Customer ID]],Customers!$A$2:$F$201,6,0)</f>
        <v>Consumer</v>
      </c>
      <c r="V471" t="str">
        <f>TEXT(Table1[[#This Row],[Order Date]],"MMM")</f>
        <v>Oct</v>
      </c>
      <c r="W471" t="str">
        <f>TEXT(Table1[[#This Row],[Order Date]],"yyyy")</f>
        <v>2024</v>
      </c>
    </row>
    <row r="472" spans="1:23" x14ac:dyDescent="0.25">
      <c r="A472" s="2" t="s">
        <v>699</v>
      </c>
      <c r="B472" s="4">
        <v>45591</v>
      </c>
      <c r="C472" s="2" t="s">
        <v>329</v>
      </c>
      <c r="D472" s="2" t="str">
        <f>TEXT(Table1[[#This Row],[Order Date]],"mmmm")</f>
        <v>October</v>
      </c>
      <c r="E472" s="2" t="s">
        <v>91</v>
      </c>
      <c r="F472" s="2">
        <v>6</v>
      </c>
      <c r="G472" s="5">
        <v>0.2</v>
      </c>
      <c r="H472" s="2" t="s">
        <v>19</v>
      </c>
      <c r="I472" s="2" t="s">
        <v>20</v>
      </c>
      <c r="J472" s="2" t="s">
        <v>79</v>
      </c>
      <c r="K472">
        <f>VLOOKUP(E472,Products!$A$2:$E$23,5,0)</f>
        <v>1199</v>
      </c>
      <c r="L472">
        <f>VLOOKUP(E472,Products!$A$2:$E$23,4,0)</f>
        <v>600</v>
      </c>
      <c r="M472" s="2">
        <f>K472*F472-Table1[[#This Row],[discount_amount]]</f>
        <v>5755.2</v>
      </c>
      <c r="N472">
        <f t="shared" si="15"/>
        <v>3600</v>
      </c>
      <c r="O472">
        <f t="shared" si="14"/>
        <v>2155.1999999999998</v>
      </c>
      <c r="P472">
        <f>Table1[[#This Row],[Quantity]]*Table1[[#This Row],[unit_price]]*Table1[[#This Row],[Discount]]</f>
        <v>1438.8000000000002</v>
      </c>
      <c r="Q472" t="str">
        <f>VLOOKUP(E472,Products!$A$2:$E$23,2,0)</f>
        <v>Formal Shirt</v>
      </c>
      <c r="R472" t="str">
        <f>VLOOKUP(Table1[[#This Row],[Product ID]],Products!$A$2:$E$23,3,0)</f>
        <v>Clothing</v>
      </c>
      <c r="S472" t="str">
        <f>VLOOKUP(C472,Customers!$A$2:$F$201,4,0)</f>
        <v>Maharashtra</v>
      </c>
      <c r="T472" t="str">
        <f>VLOOKUP(Table1[[#This Row],[Customer ID]],Customers!$A$2:$F$201,5,0)</f>
        <v>West</v>
      </c>
      <c r="U472" t="str">
        <f>VLOOKUP(Table1[[#This Row],[Customer ID]],Customers!$A$2:$F$201,6,0)</f>
        <v>Consumer</v>
      </c>
      <c r="V472" t="str">
        <f>TEXT(Table1[[#This Row],[Order Date]],"MMM")</f>
        <v>Oct</v>
      </c>
      <c r="W472" t="str">
        <f>TEXT(Table1[[#This Row],[Order Date]],"yyyy")</f>
        <v>2024</v>
      </c>
    </row>
    <row r="473" spans="1:23" x14ac:dyDescent="0.25">
      <c r="A473" s="2" t="s">
        <v>700</v>
      </c>
      <c r="B473" s="4">
        <v>45592</v>
      </c>
      <c r="C473" s="2" t="s">
        <v>567</v>
      </c>
      <c r="D473" s="2" t="str">
        <f>TEXT(Table1[[#This Row],[Order Date]],"mmmm")</f>
        <v>October</v>
      </c>
      <c r="E473" s="2" t="s">
        <v>73</v>
      </c>
      <c r="F473" s="2">
        <v>2</v>
      </c>
      <c r="G473" s="5">
        <v>0.05</v>
      </c>
      <c r="H473" s="2" t="s">
        <v>25</v>
      </c>
      <c r="I473" s="2" t="s">
        <v>38</v>
      </c>
      <c r="J473" s="2" t="s">
        <v>21</v>
      </c>
      <c r="K473">
        <f>VLOOKUP(E473,Products!$A$2:$E$23,5,0)</f>
        <v>6499</v>
      </c>
      <c r="L473">
        <f>VLOOKUP(E473,Products!$A$2:$E$23,4,0)</f>
        <v>4200</v>
      </c>
      <c r="M473" s="2">
        <f>K473*F473-Table1[[#This Row],[discount_amount]]</f>
        <v>12348.1</v>
      </c>
      <c r="N473">
        <f t="shared" si="15"/>
        <v>8400</v>
      </c>
      <c r="O473">
        <f t="shared" si="14"/>
        <v>3948.1000000000004</v>
      </c>
      <c r="P473">
        <f>Table1[[#This Row],[Quantity]]*Table1[[#This Row],[unit_price]]*Table1[[#This Row],[Discount]]</f>
        <v>649.90000000000009</v>
      </c>
      <c r="Q473" t="str">
        <f>VLOOKUP(E473,Products!$A$2:$E$23,2,0)</f>
        <v>Study Table</v>
      </c>
      <c r="R473" t="str">
        <f>VLOOKUP(Table1[[#This Row],[Product ID]],Products!$A$2:$E$23,3,0)</f>
        <v>Furniture</v>
      </c>
      <c r="S473" t="str">
        <f>VLOOKUP(C473,Customers!$A$2:$F$201,4,0)</f>
        <v>Gujarat</v>
      </c>
      <c r="T473" t="str">
        <f>VLOOKUP(Table1[[#This Row],[Customer ID]],Customers!$A$2:$F$201,5,0)</f>
        <v>West</v>
      </c>
      <c r="U473" t="str">
        <f>VLOOKUP(Table1[[#This Row],[Customer ID]],Customers!$A$2:$F$201,6,0)</f>
        <v>Consumer</v>
      </c>
      <c r="V473" t="str">
        <f>TEXT(Table1[[#This Row],[Order Date]],"MMM")</f>
        <v>Oct</v>
      </c>
      <c r="W473" t="str">
        <f>TEXT(Table1[[#This Row],[Order Date]],"yyyy")</f>
        <v>2024</v>
      </c>
    </row>
    <row r="474" spans="1:23" x14ac:dyDescent="0.25">
      <c r="A474" s="2" t="s">
        <v>701</v>
      </c>
      <c r="B474" s="4">
        <v>45592</v>
      </c>
      <c r="C474" s="2" t="s">
        <v>68</v>
      </c>
      <c r="D474" s="2" t="str">
        <f>TEXT(Table1[[#This Row],[Order Date]],"mmmm")</f>
        <v>October</v>
      </c>
      <c r="E474" s="2" t="s">
        <v>60</v>
      </c>
      <c r="F474" s="2">
        <v>10</v>
      </c>
      <c r="G474" s="5">
        <v>0.1</v>
      </c>
      <c r="H474" s="2" t="s">
        <v>30</v>
      </c>
      <c r="I474" s="2" t="s">
        <v>31</v>
      </c>
      <c r="J474" s="2" t="s">
        <v>21</v>
      </c>
      <c r="K474">
        <f>VLOOKUP(E474,Products!$A$2:$E$23,5,0)</f>
        <v>449</v>
      </c>
      <c r="L474">
        <f>VLOOKUP(E474,Products!$A$2:$E$23,4,0)</f>
        <v>260</v>
      </c>
      <c r="M474" s="2">
        <f>K474*F474-Table1[[#This Row],[discount_amount]]</f>
        <v>4041</v>
      </c>
      <c r="N474">
        <f t="shared" si="15"/>
        <v>2600</v>
      </c>
      <c r="O474">
        <f t="shared" si="14"/>
        <v>1441</v>
      </c>
      <c r="P474">
        <f>Table1[[#This Row],[Quantity]]*Table1[[#This Row],[unit_price]]*Table1[[#This Row],[Discount]]</f>
        <v>449</v>
      </c>
      <c r="Q474" t="str">
        <f>VLOOKUP(E474,Products!$A$2:$E$23,2,0)</f>
        <v>Desk Organizer</v>
      </c>
      <c r="R474" t="str">
        <f>VLOOKUP(Table1[[#This Row],[Product ID]],Products!$A$2:$E$23,3,0)</f>
        <v>Office Supplies</v>
      </c>
      <c r="S474" t="str">
        <f>VLOOKUP(C474,Customers!$A$2:$F$201,4,0)</f>
        <v>Chandigarh</v>
      </c>
      <c r="T474" t="str">
        <f>VLOOKUP(Table1[[#This Row],[Customer ID]],Customers!$A$2:$F$201,5,0)</f>
        <v>North</v>
      </c>
      <c r="U474" t="str">
        <f>VLOOKUP(Table1[[#This Row],[Customer ID]],Customers!$A$2:$F$201,6,0)</f>
        <v>Consumer</v>
      </c>
      <c r="V474" t="str">
        <f>TEXT(Table1[[#This Row],[Order Date]],"MMM")</f>
        <v>Oct</v>
      </c>
      <c r="W474" t="str">
        <f>TEXT(Table1[[#This Row],[Order Date]],"yyyy")</f>
        <v>2024</v>
      </c>
    </row>
    <row r="475" spans="1:23" x14ac:dyDescent="0.25">
      <c r="A475" s="2" t="s">
        <v>702</v>
      </c>
      <c r="B475" s="4">
        <v>45593</v>
      </c>
      <c r="C475" s="2" t="s">
        <v>235</v>
      </c>
      <c r="D475" s="2" t="str">
        <f>TEXT(Table1[[#This Row],[Order Date]],"mmmm")</f>
        <v>October</v>
      </c>
      <c r="E475" s="2" t="s">
        <v>54</v>
      </c>
      <c r="F475" s="2">
        <v>1</v>
      </c>
      <c r="G475" s="5">
        <v>0.1</v>
      </c>
      <c r="H475" s="2" t="s">
        <v>30</v>
      </c>
      <c r="I475" s="2" t="s">
        <v>26</v>
      </c>
      <c r="J475" s="2" t="s">
        <v>21</v>
      </c>
      <c r="K475">
        <f>VLOOKUP(E475,Products!$A$2:$E$23,5,0)</f>
        <v>299</v>
      </c>
      <c r="L475">
        <f>VLOOKUP(E475,Products!$A$2:$E$23,4,0)</f>
        <v>180</v>
      </c>
      <c r="M475" s="2">
        <f>K475*F475-Table1[[#This Row],[discount_amount]]</f>
        <v>269.10000000000002</v>
      </c>
      <c r="N475">
        <f t="shared" si="15"/>
        <v>180</v>
      </c>
      <c r="O475">
        <f t="shared" si="14"/>
        <v>89.100000000000023</v>
      </c>
      <c r="P475">
        <f>Table1[[#This Row],[Quantity]]*Table1[[#This Row],[unit_price]]*Table1[[#This Row],[Discount]]</f>
        <v>29.900000000000002</v>
      </c>
      <c r="Q475" t="str">
        <f>VLOOKUP(E475,Products!$A$2:$E$23,2,0)</f>
        <v>Notebook Pack of 5</v>
      </c>
      <c r="R475" t="str">
        <f>VLOOKUP(Table1[[#This Row],[Product ID]],Products!$A$2:$E$23,3,0)</f>
        <v>Office Supplies</v>
      </c>
      <c r="S475" t="str">
        <f>VLOOKUP(C475,Customers!$A$2:$F$201,4,0)</f>
        <v>Bihar</v>
      </c>
      <c r="T475" t="str">
        <f>VLOOKUP(Table1[[#This Row],[Customer ID]],Customers!$A$2:$F$201,5,0)</f>
        <v>East</v>
      </c>
      <c r="U475" t="str">
        <f>VLOOKUP(Table1[[#This Row],[Customer ID]],Customers!$A$2:$F$201,6,0)</f>
        <v>Home Office</v>
      </c>
      <c r="V475" t="str">
        <f>TEXT(Table1[[#This Row],[Order Date]],"MMM")</f>
        <v>Oct</v>
      </c>
      <c r="W475" t="str">
        <f>TEXT(Table1[[#This Row],[Order Date]],"yyyy")</f>
        <v>2024</v>
      </c>
    </row>
    <row r="476" spans="1:23" x14ac:dyDescent="0.25">
      <c r="A476" s="2" t="s">
        <v>703</v>
      </c>
      <c r="B476" s="4">
        <v>45594</v>
      </c>
      <c r="C476" s="2" t="s">
        <v>62</v>
      </c>
      <c r="D476" s="2" t="str">
        <f>TEXT(Table1[[#This Row],[Order Date]],"mmmm")</f>
        <v>October</v>
      </c>
      <c r="E476" s="2" t="s">
        <v>41</v>
      </c>
      <c r="F476" s="2">
        <v>3</v>
      </c>
      <c r="G476" s="5">
        <v>0.05</v>
      </c>
      <c r="H476" s="2" t="s">
        <v>19</v>
      </c>
      <c r="I476" s="2" t="s">
        <v>31</v>
      </c>
      <c r="J476" s="2" t="s">
        <v>21</v>
      </c>
      <c r="K476">
        <f>VLOOKUP(E476,Products!$A$2:$E$23,5,0)</f>
        <v>320</v>
      </c>
      <c r="L476">
        <f>VLOOKUP(E476,Products!$A$2:$E$23,4,0)</f>
        <v>220</v>
      </c>
      <c r="M476" s="2">
        <f>K476*F476-Table1[[#This Row],[discount_amount]]</f>
        <v>912</v>
      </c>
      <c r="N476">
        <f t="shared" si="15"/>
        <v>660</v>
      </c>
      <c r="O476">
        <f t="shared" si="14"/>
        <v>252</v>
      </c>
      <c r="P476">
        <f>Table1[[#This Row],[Quantity]]*Table1[[#This Row],[unit_price]]*Table1[[#This Row],[Discount]]</f>
        <v>48</v>
      </c>
      <c r="Q476" t="str">
        <f>VLOOKUP(E476,Products!$A$2:$E$23,2,0)</f>
        <v>A4 Paper Ream</v>
      </c>
      <c r="R476" t="str">
        <f>VLOOKUP(Table1[[#This Row],[Product ID]],Products!$A$2:$E$23,3,0)</f>
        <v>Office Supplies</v>
      </c>
      <c r="S476" t="str">
        <f>VLOOKUP(C476,Customers!$A$2:$F$201,4,0)</f>
        <v>Maharashtra</v>
      </c>
      <c r="T476" t="str">
        <f>VLOOKUP(Table1[[#This Row],[Customer ID]],Customers!$A$2:$F$201,5,0)</f>
        <v>West</v>
      </c>
      <c r="U476" t="str">
        <f>VLOOKUP(Table1[[#This Row],[Customer ID]],Customers!$A$2:$F$201,6,0)</f>
        <v>Consumer</v>
      </c>
      <c r="V476" t="str">
        <f>TEXT(Table1[[#This Row],[Order Date]],"MMM")</f>
        <v>Oct</v>
      </c>
      <c r="W476" t="str">
        <f>TEXT(Table1[[#This Row],[Order Date]],"yyyy")</f>
        <v>2024</v>
      </c>
    </row>
    <row r="477" spans="1:23" x14ac:dyDescent="0.25">
      <c r="A477" s="2" t="s">
        <v>704</v>
      </c>
      <c r="B477" s="4">
        <v>45594</v>
      </c>
      <c r="C477" s="2" t="s">
        <v>117</v>
      </c>
      <c r="D477" s="2" t="str">
        <f>TEXT(Table1[[#This Row],[Order Date]],"mmmm")</f>
        <v>October</v>
      </c>
      <c r="E477" s="2" t="s">
        <v>24</v>
      </c>
      <c r="F477" s="2">
        <v>2</v>
      </c>
      <c r="G477" s="5">
        <v>0.05</v>
      </c>
      <c r="H477" s="2" t="s">
        <v>19</v>
      </c>
      <c r="I477" s="2" t="s">
        <v>26</v>
      </c>
      <c r="J477" s="2" t="s">
        <v>21</v>
      </c>
      <c r="K477">
        <f>VLOOKUP(E477,Products!$A$2:$E$23,5,0)</f>
        <v>899</v>
      </c>
      <c r="L477">
        <f>VLOOKUP(E477,Products!$A$2:$E$23,4,0)</f>
        <v>500</v>
      </c>
      <c r="M477" s="2">
        <f>K477*F477-Table1[[#This Row],[discount_amount]]</f>
        <v>1708.1</v>
      </c>
      <c r="N477">
        <f t="shared" si="15"/>
        <v>1000</v>
      </c>
      <c r="O477">
        <f t="shared" si="14"/>
        <v>708.09999999999991</v>
      </c>
      <c r="P477">
        <f>Table1[[#This Row],[Quantity]]*Table1[[#This Row],[unit_price]]*Table1[[#This Row],[Discount]]</f>
        <v>89.9</v>
      </c>
      <c r="Q477" t="str">
        <f>VLOOKUP(E477,Products!$A$2:$E$23,2,0)</f>
        <v>Monitor Stand</v>
      </c>
      <c r="R477" t="str">
        <f>VLOOKUP(Table1[[#This Row],[Product ID]],Products!$A$2:$E$23,3,0)</f>
        <v>Furniture</v>
      </c>
      <c r="S477" t="str">
        <f>VLOOKUP(C477,Customers!$A$2:$F$201,4,0)</f>
        <v>Gujarat</v>
      </c>
      <c r="T477" t="str">
        <f>VLOOKUP(Table1[[#This Row],[Customer ID]],Customers!$A$2:$F$201,5,0)</f>
        <v>West</v>
      </c>
      <c r="U477" t="str">
        <f>VLOOKUP(Table1[[#This Row],[Customer ID]],Customers!$A$2:$F$201,6,0)</f>
        <v>Consumer</v>
      </c>
      <c r="V477" t="str">
        <f>TEXT(Table1[[#This Row],[Order Date]],"MMM")</f>
        <v>Oct</v>
      </c>
      <c r="W477" t="str">
        <f>TEXT(Table1[[#This Row],[Order Date]],"yyyy")</f>
        <v>2024</v>
      </c>
    </row>
    <row r="478" spans="1:23" x14ac:dyDescent="0.25">
      <c r="A478" s="2" t="s">
        <v>705</v>
      </c>
      <c r="B478" s="4">
        <v>45594</v>
      </c>
      <c r="C478" s="2" t="s">
        <v>56</v>
      </c>
      <c r="D478" s="2" t="str">
        <f>TEXT(Table1[[#This Row],[Order Date]],"mmmm")</f>
        <v>October</v>
      </c>
      <c r="E478" s="2" t="s">
        <v>118</v>
      </c>
      <c r="F478" s="2">
        <v>6</v>
      </c>
      <c r="G478" s="5">
        <v>0.05</v>
      </c>
      <c r="H478" s="2" t="s">
        <v>25</v>
      </c>
      <c r="I478" s="2" t="s">
        <v>46</v>
      </c>
      <c r="J478" s="2" t="s">
        <v>42</v>
      </c>
      <c r="K478">
        <f>VLOOKUP(E478,Products!$A$2:$E$23,5,0)</f>
        <v>150</v>
      </c>
      <c r="L478">
        <f>VLOOKUP(E478,Products!$A$2:$E$23,4,0)</f>
        <v>90</v>
      </c>
      <c r="M478" s="2">
        <f>K478*F478-Table1[[#This Row],[discount_amount]]</f>
        <v>855</v>
      </c>
      <c r="N478">
        <f t="shared" si="15"/>
        <v>540</v>
      </c>
      <c r="O478">
        <f t="shared" si="14"/>
        <v>315</v>
      </c>
      <c r="P478">
        <f>Table1[[#This Row],[Quantity]]*Table1[[#This Row],[unit_price]]*Table1[[#This Row],[Discount]]</f>
        <v>45</v>
      </c>
      <c r="Q478" t="str">
        <f>VLOOKUP(E478,Products!$A$2:$E$23,2,0)</f>
        <v>Gel Pen Box</v>
      </c>
      <c r="R478" t="str">
        <f>VLOOKUP(Table1[[#This Row],[Product ID]],Products!$A$2:$E$23,3,0)</f>
        <v>Office Supplies</v>
      </c>
      <c r="S478" t="str">
        <f>VLOOKUP(C478,Customers!$A$2:$F$201,4,0)</f>
        <v>Maharashtra</v>
      </c>
      <c r="T478" t="str">
        <f>VLOOKUP(Table1[[#This Row],[Customer ID]],Customers!$A$2:$F$201,5,0)</f>
        <v>West</v>
      </c>
      <c r="U478" t="str">
        <f>VLOOKUP(Table1[[#This Row],[Customer ID]],Customers!$A$2:$F$201,6,0)</f>
        <v>Consumer</v>
      </c>
      <c r="V478" t="str">
        <f>TEXT(Table1[[#This Row],[Order Date]],"MMM")</f>
        <v>Oct</v>
      </c>
      <c r="W478" t="str">
        <f>TEXT(Table1[[#This Row],[Order Date]],"yyyy")</f>
        <v>2024</v>
      </c>
    </row>
    <row r="479" spans="1:23" x14ac:dyDescent="0.25">
      <c r="A479" s="2" t="s">
        <v>706</v>
      </c>
      <c r="B479" s="4">
        <v>45594</v>
      </c>
      <c r="C479" s="2" t="s">
        <v>108</v>
      </c>
      <c r="D479" s="2" t="str">
        <f>TEXT(Table1[[#This Row],[Order Date]],"mmmm")</f>
        <v>October</v>
      </c>
      <c r="E479" s="2" t="s">
        <v>155</v>
      </c>
      <c r="F479" s="2">
        <v>3</v>
      </c>
      <c r="G479" s="5">
        <v>0.05</v>
      </c>
      <c r="H479" s="2" t="s">
        <v>30</v>
      </c>
      <c r="I479" s="2" t="s">
        <v>46</v>
      </c>
      <c r="J479" s="2" t="s">
        <v>21</v>
      </c>
      <c r="K479">
        <f>VLOOKUP(E479,Products!$A$2:$E$23,5,0)</f>
        <v>1599</v>
      </c>
      <c r="L479">
        <f>VLOOKUP(E479,Products!$A$2:$E$23,4,0)</f>
        <v>900</v>
      </c>
      <c r="M479" s="2">
        <f>K479*F479-Table1[[#This Row],[discount_amount]]</f>
        <v>4557.1499999999996</v>
      </c>
      <c r="N479">
        <f t="shared" si="15"/>
        <v>2700</v>
      </c>
      <c r="O479">
        <f t="shared" si="14"/>
        <v>1857.1499999999996</v>
      </c>
      <c r="P479">
        <f>Table1[[#This Row],[Quantity]]*Table1[[#This Row],[unit_price]]*Table1[[#This Row],[Discount]]</f>
        <v>239.85000000000002</v>
      </c>
      <c r="Q479" t="str">
        <f>VLOOKUP(E479,Products!$A$2:$E$23,2,0)</f>
        <v>Headphones</v>
      </c>
      <c r="R479" t="str">
        <f>VLOOKUP(Table1[[#This Row],[Product ID]],Products!$A$2:$E$23,3,0)</f>
        <v>Electronics</v>
      </c>
      <c r="S479" t="str">
        <f>VLOOKUP(C479,Customers!$A$2:$F$201,4,0)</f>
        <v>West Bengal</v>
      </c>
      <c r="T479" t="str">
        <f>VLOOKUP(Table1[[#This Row],[Customer ID]],Customers!$A$2:$F$201,5,0)</f>
        <v>East</v>
      </c>
      <c r="U479" t="str">
        <f>VLOOKUP(Table1[[#This Row],[Customer ID]],Customers!$A$2:$F$201,6,0)</f>
        <v>Corporate</v>
      </c>
      <c r="V479" t="str">
        <f>TEXT(Table1[[#This Row],[Order Date]],"MMM")</f>
        <v>Oct</v>
      </c>
      <c r="W479" t="str">
        <f>TEXT(Table1[[#This Row],[Order Date]],"yyyy")</f>
        <v>2024</v>
      </c>
    </row>
    <row r="480" spans="1:23" x14ac:dyDescent="0.25">
      <c r="A480" s="2" t="s">
        <v>707</v>
      </c>
      <c r="B480" s="4">
        <v>45594</v>
      </c>
      <c r="C480" s="2" t="s">
        <v>137</v>
      </c>
      <c r="D480" s="2" t="str">
        <f>TEXT(Table1[[#This Row],[Order Date]],"mmmm")</f>
        <v>October</v>
      </c>
      <c r="E480" s="2" t="s">
        <v>66</v>
      </c>
      <c r="F480" s="2">
        <v>1</v>
      </c>
      <c r="G480" s="5">
        <v>0.05</v>
      </c>
      <c r="H480" s="2" t="s">
        <v>25</v>
      </c>
      <c r="I480" s="2" t="s">
        <v>31</v>
      </c>
      <c r="J480" s="2" t="s">
        <v>21</v>
      </c>
      <c r="K480">
        <f>VLOOKUP(E480,Products!$A$2:$E$23,5,0)</f>
        <v>1299</v>
      </c>
      <c r="L480">
        <f>VLOOKUP(E480,Products!$A$2:$E$23,4,0)</f>
        <v>800</v>
      </c>
      <c r="M480" s="2">
        <f>K480*F480-Table1[[#This Row],[discount_amount]]</f>
        <v>1234.05</v>
      </c>
      <c r="N480">
        <f t="shared" si="15"/>
        <v>800</v>
      </c>
      <c r="O480">
        <f t="shared" si="14"/>
        <v>434.04999999999995</v>
      </c>
      <c r="P480">
        <f>Table1[[#This Row],[Quantity]]*Table1[[#This Row],[unit_price]]*Table1[[#This Row],[Discount]]</f>
        <v>64.95</v>
      </c>
      <c r="Q480" t="str">
        <f>VLOOKUP(E480,Products!$A$2:$E$23,2,0)</f>
        <v>Power Bank 10000mAh</v>
      </c>
      <c r="R480" t="str">
        <f>VLOOKUP(Table1[[#This Row],[Product ID]],Products!$A$2:$E$23,3,0)</f>
        <v>Electronics</v>
      </c>
      <c r="S480" t="str">
        <f>VLOOKUP(C480,Customers!$A$2:$F$201,4,0)</f>
        <v>Telangana</v>
      </c>
      <c r="T480" t="str">
        <f>VLOOKUP(Table1[[#This Row],[Customer ID]],Customers!$A$2:$F$201,5,0)</f>
        <v>South</v>
      </c>
      <c r="U480" t="str">
        <f>VLOOKUP(Table1[[#This Row],[Customer ID]],Customers!$A$2:$F$201,6,0)</f>
        <v>Corporate</v>
      </c>
      <c r="V480" t="str">
        <f>TEXT(Table1[[#This Row],[Order Date]],"MMM")</f>
        <v>Oct</v>
      </c>
      <c r="W480" t="str">
        <f>TEXT(Table1[[#This Row],[Order Date]],"yyyy")</f>
        <v>2024</v>
      </c>
    </row>
    <row r="481" spans="1:23" x14ac:dyDescent="0.25">
      <c r="A481" s="2" t="s">
        <v>708</v>
      </c>
      <c r="B481" s="4">
        <v>45595</v>
      </c>
      <c r="C481" s="2" t="s">
        <v>108</v>
      </c>
      <c r="D481" s="2" t="str">
        <f>TEXT(Table1[[#This Row],[Order Date]],"mmmm")</f>
        <v>October</v>
      </c>
      <c r="E481" s="2" t="s">
        <v>121</v>
      </c>
      <c r="F481" s="2">
        <v>4</v>
      </c>
      <c r="G481" s="5">
        <v>0</v>
      </c>
      <c r="H481" s="2" t="s">
        <v>25</v>
      </c>
      <c r="I481" s="2" t="s">
        <v>38</v>
      </c>
      <c r="J481" s="2" t="s">
        <v>21</v>
      </c>
      <c r="K481">
        <f>VLOOKUP(E481,Products!$A$2:$E$23,5,0)</f>
        <v>499</v>
      </c>
      <c r="L481">
        <f>VLOOKUP(E481,Products!$A$2:$E$23,4,0)</f>
        <v>250</v>
      </c>
      <c r="M481" s="2">
        <f>K481*F481-Table1[[#This Row],[discount_amount]]</f>
        <v>1996</v>
      </c>
      <c r="N481">
        <f t="shared" si="15"/>
        <v>1000</v>
      </c>
      <c r="O481">
        <f t="shared" si="14"/>
        <v>996</v>
      </c>
      <c r="P481">
        <f>Table1[[#This Row],[Quantity]]*Table1[[#This Row],[unit_price]]*Table1[[#This Row],[Discount]]</f>
        <v>0</v>
      </c>
      <c r="Q481" t="str">
        <f>VLOOKUP(E481,Products!$A$2:$E$23,2,0)</f>
        <v>Cotton T-Shirt</v>
      </c>
      <c r="R481" t="str">
        <f>VLOOKUP(Table1[[#This Row],[Product ID]],Products!$A$2:$E$23,3,0)</f>
        <v>Clothing</v>
      </c>
      <c r="S481" t="str">
        <f>VLOOKUP(C481,Customers!$A$2:$F$201,4,0)</f>
        <v>West Bengal</v>
      </c>
      <c r="T481" t="str">
        <f>VLOOKUP(Table1[[#This Row],[Customer ID]],Customers!$A$2:$F$201,5,0)</f>
        <v>East</v>
      </c>
      <c r="U481" t="str">
        <f>VLOOKUP(Table1[[#This Row],[Customer ID]],Customers!$A$2:$F$201,6,0)</f>
        <v>Corporate</v>
      </c>
      <c r="V481" t="str">
        <f>TEXT(Table1[[#This Row],[Order Date]],"MMM")</f>
        <v>Oct</v>
      </c>
      <c r="W481" t="str">
        <f>TEXT(Table1[[#This Row],[Order Date]],"yyyy")</f>
        <v>2024</v>
      </c>
    </row>
    <row r="482" spans="1:23" x14ac:dyDescent="0.25">
      <c r="A482" s="2" t="s">
        <v>709</v>
      </c>
      <c r="B482" s="4">
        <v>45596</v>
      </c>
      <c r="C482" s="2" t="s">
        <v>375</v>
      </c>
      <c r="D482" s="2" t="str">
        <f>TEXT(Table1[[#This Row],[Order Date]],"mmmm")</f>
        <v>October</v>
      </c>
      <c r="E482" s="2" t="s">
        <v>118</v>
      </c>
      <c r="F482" s="2">
        <v>2</v>
      </c>
      <c r="G482" s="5">
        <v>0</v>
      </c>
      <c r="H482" s="2" t="s">
        <v>25</v>
      </c>
      <c r="I482" s="2" t="s">
        <v>38</v>
      </c>
      <c r="J482" s="2" t="s">
        <v>21</v>
      </c>
      <c r="K482">
        <f>VLOOKUP(E482,Products!$A$2:$E$23,5,0)</f>
        <v>150</v>
      </c>
      <c r="L482">
        <f>VLOOKUP(E482,Products!$A$2:$E$23,4,0)</f>
        <v>90</v>
      </c>
      <c r="M482" s="2">
        <f>K482*F482-Table1[[#This Row],[discount_amount]]</f>
        <v>300</v>
      </c>
      <c r="N482">
        <f t="shared" si="15"/>
        <v>180</v>
      </c>
      <c r="O482">
        <f t="shared" si="14"/>
        <v>120</v>
      </c>
      <c r="P482">
        <f>Table1[[#This Row],[Quantity]]*Table1[[#This Row],[unit_price]]*Table1[[#This Row],[Discount]]</f>
        <v>0</v>
      </c>
      <c r="Q482" t="str">
        <f>VLOOKUP(E482,Products!$A$2:$E$23,2,0)</f>
        <v>Gel Pen Box</v>
      </c>
      <c r="R482" t="str">
        <f>VLOOKUP(Table1[[#This Row],[Product ID]],Products!$A$2:$E$23,3,0)</f>
        <v>Office Supplies</v>
      </c>
      <c r="S482" t="str">
        <f>VLOOKUP(C482,Customers!$A$2:$F$201,4,0)</f>
        <v>Madhya Pradesh</v>
      </c>
      <c r="T482" t="str">
        <f>VLOOKUP(Table1[[#This Row],[Customer ID]],Customers!$A$2:$F$201,5,0)</f>
        <v>Central</v>
      </c>
      <c r="U482" t="str">
        <f>VLOOKUP(Table1[[#This Row],[Customer ID]],Customers!$A$2:$F$201,6,0)</f>
        <v>Corporate</v>
      </c>
      <c r="V482" t="str">
        <f>TEXT(Table1[[#This Row],[Order Date]],"MMM")</f>
        <v>Oct</v>
      </c>
      <c r="W482" t="str">
        <f>TEXT(Table1[[#This Row],[Order Date]],"yyyy")</f>
        <v>2024</v>
      </c>
    </row>
    <row r="483" spans="1:23" x14ac:dyDescent="0.25">
      <c r="A483" s="2" t="s">
        <v>710</v>
      </c>
      <c r="B483" s="4">
        <v>45597</v>
      </c>
      <c r="C483" s="2" t="s">
        <v>266</v>
      </c>
      <c r="D483" s="2" t="str">
        <f>TEXT(Table1[[#This Row],[Order Date]],"mmmm")</f>
        <v>November</v>
      </c>
      <c r="E483" s="2" t="s">
        <v>54</v>
      </c>
      <c r="F483" s="2">
        <v>4</v>
      </c>
      <c r="G483" s="5">
        <v>0</v>
      </c>
      <c r="H483" s="2" t="s">
        <v>19</v>
      </c>
      <c r="I483" s="2" t="s">
        <v>26</v>
      </c>
      <c r="J483" s="2" t="s">
        <v>21</v>
      </c>
      <c r="K483">
        <f>VLOOKUP(E483,Products!$A$2:$E$23,5,0)</f>
        <v>299</v>
      </c>
      <c r="L483">
        <f>VLOOKUP(E483,Products!$A$2:$E$23,4,0)</f>
        <v>180</v>
      </c>
      <c r="M483" s="2">
        <f>K483*F483-Table1[[#This Row],[discount_amount]]</f>
        <v>1196</v>
      </c>
      <c r="N483">
        <f t="shared" si="15"/>
        <v>720</v>
      </c>
      <c r="O483">
        <f t="shared" si="14"/>
        <v>476</v>
      </c>
      <c r="P483">
        <f>Table1[[#This Row],[Quantity]]*Table1[[#This Row],[unit_price]]*Table1[[#This Row],[Discount]]</f>
        <v>0</v>
      </c>
      <c r="Q483" t="str">
        <f>VLOOKUP(E483,Products!$A$2:$E$23,2,0)</f>
        <v>Notebook Pack of 5</v>
      </c>
      <c r="R483" t="str">
        <f>VLOOKUP(Table1[[#This Row],[Product ID]],Products!$A$2:$E$23,3,0)</f>
        <v>Office Supplies</v>
      </c>
      <c r="S483" t="str">
        <f>VLOOKUP(C483,Customers!$A$2:$F$201,4,0)</f>
        <v>Odisha</v>
      </c>
      <c r="T483" t="str">
        <f>VLOOKUP(Table1[[#This Row],[Customer ID]],Customers!$A$2:$F$201,5,0)</f>
        <v>East</v>
      </c>
      <c r="U483" t="str">
        <f>VLOOKUP(Table1[[#This Row],[Customer ID]],Customers!$A$2:$F$201,6,0)</f>
        <v>Consumer</v>
      </c>
      <c r="V483" t="str">
        <f>TEXT(Table1[[#This Row],[Order Date]],"MMM")</f>
        <v>Nov</v>
      </c>
      <c r="W483" t="str">
        <f>TEXT(Table1[[#This Row],[Order Date]],"yyyy")</f>
        <v>2024</v>
      </c>
    </row>
    <row r="484" spans="1:23" x14ac:dyDescent="0.25">
      <c r="A484" s="2" t="s">
        <v>711</v>
      </c>
      <c r="B484" s="4">
        <v>45598</v>
      </c>
      <c r="C484" s="2" t="s">
        <v>76</v>
      </c>
      <c r="D484" s="2" t="str">
        <f>TEXT(Table1[[#This Row],[Order Date]],"mmmm")</f>
        <v>November</v>
      </c>
      <c r="E484" s="2" t="s">
        <v>49</v>
      </c>
      <c r="F484" s="2">
        <v>1</v>
      </c>
      <c r="G484" s="5">
        <v>0.15</v>
      </c>
      <c r="H484" s="2" t="s">
        <v>30</v>
      </c>
      <c r="I484" s="2" t="s">
        <v>31</v>
      </c>
      <c r="J484" s="2" t="s">
        <v>94</v>
      </c>
      <c r="K484">
        <f>VLOOKUP(E484,Products!$A$2:$E$23,5,0)</f>
        <v>700</v>
      </c>
      <c r="L484">
        <f>VLOOKUP(E484,Products!$A$2:$E$23,4,0)</f>
        <v>450</v>
      </c>
      <c r="M484" s="2">
        <f>K484*F484-Table1[[#This Row],[discount_amount]]</f>
        <v>595</v>
      </c>
      <c r="N484">
        <f t="shared" si="15"/>
        <v>450</v>
      </c>
      <c r="O484">
        <f t="shared" si="14"/>
        <v>145</v>
      </c>
      <c r="P484">
        <f>Table1[[#This Row],[Quantity]]*Table1[[#This Row],[unit_price]]*Table1[[#This Row],[Discount]]</f>
        <v>105</v>
      </c>
      <c r="Q484" t="str">
        <f>VLOOKUP(E484,Products!$A$2:$E$23,2,0)</f>
        <v>Wireless Mouse</v>
      </c>
      <c r="R484" t="str">
        <f>VLOOKUP(Table1[[#This Row],[Product ID]],Products!$A$2:$E$23,3,0)</f>
        <v>Electronics</v>
      </c>
      <c r="S484" t="str">
        <f>VLOOKUP(C484,Customers!$A$2:$F$201,4,0)</f>
        <v>West Bengal</v>
      </c>
      <c r="T484" t="str">
        <f>VLOOKUP(Table1[[#This Row],[Customer ID]],Customers!$A$2:$F$201,5,0)</f>
        <v>East</v>
      </c>
      <c r="U484" t="str">
        <f>VLOOKUP(Table1[[#This Row],[Customer ID]],Customers!$A$2:$F$201,6,0)</f>
        <v>Corporate</v>
      </c>
      <c r="V484" t="str">
        <f>TEXT(Table1[[#This Row],[Order Date]],"MMM")</f>
        <v>Nov</v>
      </c>
      <c r="W484" t="str">
        <f>TEXT(Table1[[#This Row],[Order Date]],"yyyy")</f>
        <v>2024</v>
      </c>
    </row>
    <row r="485" spans="1:23" x14ac:dyDescent="0.25">
      <c r="A485" s="2" t="s">
        <v>712</v>
      </c>
      <c r="B485" s="4">
        <v>45598</v>
      </c>
      <c r="C485" s="2" t="s">
        <v>713</v>
      </c>
      <c r="D485" s="2" t="str">
        <f>TEXT(Table1[[#This Row],[Order Date]],"mmmm")</f>
        <v>November</v>
      </c>
      <c r="E485" s="2" t="s">
        <v>91</v>
      </c>
      <c r="F485" s="2">
        <v>10</v>
      </c>
      <c r="G485" s="5">
        <v>0.2</v>
      </c>
      <c r="H485" s="2" t="s">
        <v>19</v>
      </c>
      <c r="I485" s="2" t="s">
        <v>31</v>
      </c>
      <c r="J485" s="2" t="s">
        <v>21</v>
      </c>
      <c r="K485">
        <f>VLOOKUP(E485,Products!$A$2:$E$23,5,0)</f>
        <v>1199</v>
      </c>
      <c r="L485">
        <f>VLOOKUP(E485,Products!$A$2:$E$23,4,0)</f>
        <v>600</v>
      </c>
      <c r="M485" s="2">
        <f>K485*F485-Table1[[#This Row],[discount_amount]]</f>
        <v>9592</v>
      </c>
      <c r="N485">
        <f t="shared" si="15"/>
        <v>6000</v>
      </c>
      <c r="O485">
        <f t="shared" si="14"/>
        <v>3592</v>
      </c>
      <c r="P485">
        <f>Table1[[#This Row],[Quantity]]*Table1[[#This Row],[unit_price]]*Table1[[#This Row],[Discount]]</f>
        <v>2398</v>
      </c>
      <c r="Q485" t="str">
        <f>VLOOKUP(E485,Products!$A$2:$E$23,2,0)</f>
        <v>Formal Shirt</v>
      </c>
      <c r="R485" t="str">
        <f>VLOOKUP(Table1[[#This Row],[Product ID]],Products!$A$2:$E$23,3,0)</f>
        <v>Clothing</v>
      </c>
      <c r="S485" t="str">
        <f>VLOOKUP(C485,Customers!$A$2:$F$201,4,0)</f>
        <v>Gujarat</v>
      </c>
      <c r="T485" t="str">
        <f>VLOOKUP(Table1[[#This Row],[Customer ID]],Customers!$A$2:$F$201,5,0)</f>
        <v>West</v>
      </c>
      <c r="U485" t="str">
        <f>VLOOKUP(Table1[[#This Row],[Customer ID]],Customers!$A$2:$F$201,6,0)</f>
        <v>Consumer</v>
      </c>
      <c r="V485" t="str">
        <f>TEXT(Table1[[#This Row],[Order Date]],"MMM")</f>
        <v>Nov</v>
      </c>
      <c r="W485" t="str">
        <f>TEXT(Table1[[#This Row],[Order Date]],"yyyy")</f>
        <v>2024</v>
      </c>
    </row>
    <row r="486" spans="1:23" x14ac:dyDescent="0.25">
      <c r="A486" s="2" t="s">
        <v>714</v>
      </c>
      <c r="B486" s="4">
        <v>45600</v>
      </c>
      <c r="C486" s="2" t="s">
        <v>144</v>
      </c>
      <c r="D486" s="2" t="str">
        <f>TEXT(Table1[[#This Row],[Order Date]],"mmmm")</f>
        <v>November</v>
      </c>
      <c r="E486" s="2" t="s">
        <v>111</v>
      </c>
      <c r="F486" s="2">
        <v>6</v>
      </c>
      <c r="G486" s="5">
        <v>0</v>
      </c>
      <c r="H486" s="2" t="s">
        <v>25</v>
      </c>
      <c r="I486" s="2" t="s">
        <v>46</v>
      </c>
      <c r="J486" s="2" t="s">
        <v>21</v>
      </c>
      <c r="K486">
        <f>VLOOKUP(E486,Products!$A$2:$E$23,5,0)</f>
        <v>240</v>
      </c>
      <c r="L486">
        <f>VLOOKUP(E486,Products!$A$2:$E$23,4,0)</f>
        <v>140</v>
      </c>
      <c r="M486" s="2">
        <f>K486*F486-Table1[[#This Row],[discount_amount]]</f>
        <v>1440</v>
      </c>
      <c r="N486">
        <f t="shared" si="15"/>
        <v>840</v>
      </c>
      <c r="O486">
        <f t="shared" si="14"/>
        <v>600</v>
      </c>
      <c r="P486">
        <f>Table1[[#This Row],[Quantity]]*Table1[[#This Row],[unit_price]]*Table1[[#This Row],[Discount]]</f>
        <v>0</v>
      </c>
      <c r="Q486" t="str">
        <f>VLOOKUP(E486,Products!$A$2:$E$23,2,0)</f>
        <v>Whiteboard Marker Set</v>
      </c>
      <c r="R486" t="str">
        <f>VLOOKUP(Table1[[#This Row],[Product ID]],Products!$A$2:$E$23,3,0)</f>
        <v>Office Supplies</v>
      </c>
      <c r="S486" t="str">
        <f>VLOOKUP(C486,Customers!$A$2:$F$201,4,0)</f>
        <v>Maharashtra</v>
      </c>
      <c r="T486" t="str">
        <f>VLOOKUP(Table1[[#This Row],[Customer ID]],Customers!$A$2:$F$201,5,0)</f>
        <v>West</v>
      </c>
      <c r="U486" t="str">
        <f>VLOOKUP(Table1[[#This Row],[Customer ID]],Customers!$A$2:$F$201,6,0)</f>
        <v>Corporate</v>
      </c>
      <c r="V486" t="str">
        <f>TEXT(Table1[[#This Row],[Order Date]],"MMM")</f>
        <v>Nov</v>
      </c>
      <c r="W486" t="str">
        <f>TEXT(Table1[[#This Row],[Order Date]],"yyyy")</f>
        <v>2024</v>
      </c>
    </row>
    <row r="487" spans="1:23" x14ac:dyDescent="0.25">
      <c r="A487" s="2" t="s">
        <v>715</v>
      </c>
      <c r="B487" s="4">
        <v>45600</v>
      </c>
      <c r="C487" s="2" t="s">
        <v>44</v>
      </c>
      <c r="D487" s="2" t="str">
        <f>TEXT(Table1[[#This Row],[Order Date]],"mmmm")</f>
        <v>November</v>
      </c>
      <c r="E487" s="2" t="s">
        <v>82</v>
      </c>
      <c r="F487" s="2">
        <v>4</v>
      </c>
      <c r="G487" s="5">
        <v>0.05</v>
      </c>
      <c r="H487" s="2" t="s">
        <v>30</v>
      </c>
      <c r="I487" s="2" t="s">
        <v>38</v>
      </c>
      <c r="J487" s="2" t="s">
        <v>21</v>
      </c>
      <c r="K487">
        <f>VLOOKUP(E487,Products!$A$2:$E$23,5,0)</f>
        <v>1799</v>
      </c>
      <c r="L487">
        <f>VLOOKUP(E487,Products!$A$2:$E$23,4,0)</f>
        <v>1100</v>
      </c>
      <c r="M487" s="2">
        <f>K487*F487-Table1[[#This Row],[discount_amount]]</f>
        <v>6836.2</v>
      </c>
      <c r="N487">
        <f t="shared" si="15"/>
        <v>4400</v>
      </c>
      <c r="O487">
        <f t="shared" si="14"/>
        <v>2436.1999999999998</v>
      </c>
      <c r="P487">
        <f>Table1[[#This Row],[Quantity]]*Table1[[#This Row],[unit_price]]*Table1[[#This Row],[Discount]]</f>
        <v>359.8</v>
      </c>
      <c r="Q487" t="str">
        <f>VLOOKUP(E487,Products!$A$2:$E$23,2,0)</f>
        <v>Webcam HD</v>
      </c>
      <c r="R487" t="str">
        <f>VLOOKUP(Table1[[#This Row],[Product ID]],Products!$A$2:$E$23,3,0)</f>
        <v>Electronics</v>
      </c>
      <c r="S487" t="str">
        <f>VLOOKUP(C487,Customers!$A$2:$F$201,4,0)</f>
        <v>Gujarat</v>
      </c>
      <c r="T487" t="str">
        <f>VLOOKUP(Table1[[#This Row],[Customer ID]],Customers!$A$2:$F$201,5,0)</f>
        <v>West</v>
      </c>
      <c r="U487" t="str">
        <f>VLOOKUP(Table1[[#This Row],[Customer ID]],Customers!$A$2:$F$201,6,0)</f>
        <v>Home Office</v>
      </c>
      <c r="V487" t="str">
        <f>TEXT(Table1[[#This Row],[Order Date]],"MMM")</f>
        <v>Nov</v>
      </c>
      <c r="W487" t="str">
        <f>TEXT(Table1[[#This Row],[Order Date]],"yyyy")</f>
        <v>2024</v>
      </c>
    </row>
    <row r="488" spans="1:23" x14ac:dyDescent="0.25">
      <c r="A488" s="2" t="s">
        <v>716</v>
      </c>
      <c r="B488" s="4">
        <v>45600</v>
      </c>
      <c r="C488" s="2" t="s">
        <v>587</v>
      </c>
      <c r="D488" s="2" t="str">
        <f>TEXT(Table1[[#This Row],[Order Date]],"mmmm")</f>
        <v>November</v>
      </c>
      <c r="E488" s="2" t="s">
        <v>82</v>
      </c>
      <c r="F488" s="2">
        <v>2</v>
      </c>
      <c r="G488" s="5">
        <v>0</v>
      </c>
      <c r="H488" s="2" t="s">
        <v>19</v>
      </c>
      <c r="I488" s="2" t="s">
        <v>31</v>
      </c>
      <c r="J488" s="2" t="s">
        <v>21</v>
      </c>
      <c r="K488">
        <f>VLOOKUP(E488,Products!$A$2:$E$23,5,0)</f>
        <v>1799</v>
      </c>
      <c r="L488">
        <f>VLOOKUP(E488,Products!$A$2:$E$23,4,0)</f>
        <v>1100</v>
      </c>
      <c r="M488" s="2">
        <f>K488*F488-Table1[[#This Row],[discount_amount]]</f>
        <v>3598</v>
      </c>
      <c r="N488">
        <f t="shared" si="15"/>
        <v>2200</v>
      </c>
      <c r="O488">
        <f t="shared" si="14"/>
        <v>1398</v>
      </c>
      <c r="P488">
        <f>Table1[[#This Row],[Quantity]]*Table1[[#This Row],[unit_price]]*Table1[[#This Row],[Discount]]</f>
        <v>0</v>
      </c>
      <c r="Q488" t="str">
        <f>VLOOKUP(E488,Products!$A$2:$E$23,2,0)</f>
        <v>Webcam HD</v>
      </c>
      <c r="R488" t="str">
        <f>VLOOKUP(Table1[[#This Row],[Product ID]],Products!$A$2:$E$23,3,0)</f>
        <v>Electronics</v>
      </c>
      <c r="S488" t="str">
        <f>VLOOKUP(C488,Customers!$A$2:$F$201,4,0)</f>
        <v>Karnataka</v>
      </c>
      <c r="T488" t="str">
        <f>VLOOKUP(Table1[[#This Row],[Customer ID]],Customers!$A$2:$F$201,5,0)</f>
        <v>South</v>
      </c>
      <c r="U488" t="str">
        <f>VLOOKUP(Table1[[#This Row],[Customer ID]],Customers!$A$2:$F$201,6,0)</f>
        <v>Corporate</v>
      </c>
      <c r="V488" t="str">
        <f>TEXT(Table1[[#This Row],[Order Date]],"MMM")</f>
        <v>Nov</v>
      </c>
      <c r="W488" t="str">
        <f>TEXT(Table1[[#This Row],[Order Date]],"yyyy")</f>
        <v>2024</v>
      </c>
    </row>
    <row r="489" spans="1:23" x14ac:dyDescent="0.25">
      <c r="A489" s="2" t="s">
        <v>717</v>
      </c>
      <c r="B489" s="4">
        <v>45601</v>
      </c>
      <c r="C489" s="2" t="s">
        <v>363</v>
      </c>
      <c r="D489" s="2" t="str">
        <f>TEXT(Table1[[#This Row],[Order Date]],"mmmm")</f>
        <v>November</v>
      </c>
      <c r="E489" s="2" t="s">
        <v>57</v>
      </c>
      <c r="F489" s="2">
        <v>3</v>
      </c>
      <c r="G489" s="5">
        <v>0.1</v>
      </c>
      <c r="H489" s="2" t="s">
        <v>25</v>
      </c>
      <c r="I489" s="2" t="s">
        <v>31</v>
      </c>
      <c r="J489" s="2" t="s">
        <v>94</v>
      </c>
      <c r="K489">
        <f>VLOOKUP(E489,Products!$A$2:$E$23,5,0)</f>
        <v>1599</v>
      </c>
      <c r="L489">
        <f>VLOOKUP(E489,Products!$A$2:$E$23,4,0)</f>
        <v>800</v>
      </c>
      <c r="M489" s="2">
        <f>K489*F489-Table1[[#This Row],[discount_amount]]</f>
        <v>4317.3</v>
      </c>
      <c r="N489">
        <f t="shared" si="15"/>
        <v>2400</v>
      </c>
      <c r="O489">
        <f t="shared" si="14"/>
        <v>1917.3000000000002</v>
      </c>
      <c r="P489">
        <f>Table1[[#This Row],[Quantity]]*Table1[[#This Row],[unit_price]]*Table1[[#This Row],[Discount]]</f>
        <v>479.70000000000005</v>
      </c>
      <c r="Q489" t="str">
        <f>VLOOKUP(E489,Products!$A$2:$E$23,2,0)</f>
        <v>Hoodie</v>
      </c>
      <c r="R489" t="str">
        <f>VLOOKUP(Table1[[#This Row],[Product ID]],Products!$A$2:$E$23,3,0)</f>
        <v>Clothing</v>
      </c>
      <c r="S489" t="str">
        <f>VLOOKUP(C489,Customers!$A$2:$F$201,4,0)</f>
        <v>Karnataka</v>
      </c>
      <c r="T489" t="str">
        <f>VLOOKUP(Table1[[#This Row],[Customer ID]],Customers!$A$2:$F$201,5,0)</f>
        <v>South</v>
      </c>
      <c r="U489" t="str">
        <f>VLOOKUP(Table1[[#This Row],[Customer ID]],Customers!$A$2:$F$201,6,0)</f>
        <v>Corporate</v>
      </c>
      <c r="V489" t="str">
        <f>TEXT(Table1[[#This Row],[Order Date]],"MMM")</f>
        <v>Nov</v>
      </c>
      <c r="W489" t="str">
        <f>TEXT(Table1[[#This Row],[Order Date]],"yyyy")</f>
        <v>2024</v>
      </c>
    </row>
    <row r="490" spans="1:23" x14ac:dyDescent="0.25">
      <c r="A490" s="2" t="s">
        <v>718</v>
      </c>
      <c r="B490" s="4">
        <v>45601</v>
      </c>
      <c r="C490" s="2" t="s">
        <v>719</v>
      </c>
      <c r="D490" s="2" t="str">
        <f>TEXT(Table1[[#This Row],[Order Date]],"mmmm")</f>
        <v>November</v>
      </c>
      <c r="E490" s="2" t="s">
        <v>60</v>
      </c>
      <c r="F490" s="2">
        <v>5</v>
      </c>
      <c r="G490" s="5">
        <v>0</v>
      </c>
      <c r="H490" s="2" t="s">
        <v>25</v>
      </c>
      <c r="I490" s="2" t="s">
        <v>46</v>
      </c>
      <c r="J490" s="2" t="s">
        <v>21</v>
      </c>
      <c r="K490">
        <f>VLOOKUP(E490,Products!$A$2:$E$23,5,0)</f>
        <v>449</v>
      </c>
      <c r="L490">
        <f>VLOOKUP(E490,Products!$A$2:$E$23,4,0)</f>
        <v>260</v>
      </c>
      <c r="M490" s="2">
        <f>K490*F490-Table1[[#This Row],[discount_amount]]</f>
        <v>2245</v>
      </c>
      <c r="N490">
        <f t="shared" si="15"/>
        <v>1300</v>
      </c>
      <c r="O490">
        <f t="shared" si="14"/>
        <v>945</v>
      </c>
      <c r="P490">
        <f>Table1[[#This Row],[Quantity]]*Table1[[#This Row],[unit_price]]*Table1[[#This Row],[Discount]]</f>
        <v>0</v>
      </c>
      <c r="Q490" t="str">
        <f>VLOOKUP(E490,Products!$A$2:$E$23,2,0)</f>
        <v>Desk Organizer</v>
      </c>
      <c r="R490" t="str">
        <f>VLOOKUP(Table1[[#This Row],[Product ID]],Products!$A$2:$E$23,3,0)</f>
        <v>Office Supplies</v>
      </c>
      <c r="S490" t="str">
        <f>VLOOKUP(C490,Customers!$A$2:$F$201,4,0)</f>
        <v>Gujarat</v>
      </c>
      <c r="T490" t="str">
        <f>VLOOKUP(Table1[[#This Row],[Customer ID]],Customers!$A$2:$F$201,5,0)</f>
        <v>West</v>
      </c>
      <c r="U490" t="str">
        <f>VLOOKUP(Table1[[#This Row],[Customer ID]],Customers!$A$2:$F$201,6,0)</f>
        <v>Corporate</v>
      </c>
      <c r="V490" t="str">
        <f>TEXT(Table1[[#This Row],[Order Date]],"MMM")</f>
        <v>Nov</v>
      </c>
      <c r="W490" t="str">
        <f>TEXT(Table1[[#This Row],[Order Date]],"yyyy")</f>
        <v>2024</v>
      </c>
    </row>
    <row r="491" spans="1:23" x14ac:dyDescent="0.25">
      <c r="A491" s="2" t="s">
        <v>720</v>
      </c>
      <c r="B491" s="4">
        <v>45601</v>
      </c>
      <c r="C491" s="2" t="s">
        <v>654</v>
      </c>
      <c r="D491" s="2" t="str">
        <f>TEXT(Table1[[#This Row],[Order Date]],"mmmm")</f>
        <v>November</v>
      </c>
      <c r="E491" s="2" t="s">
        <v>45</v>
      </c>
      <c r="F491" s="2">
        <v>1</v>
      </c>
      <c r="G491" s="5">
        <v>0</v>
      </c>
      <c r="H491" s="2" t="s">
        <v>30</v>
      </c>
      <c r="I491" s="2" t="s">
        <v>20</v>
      </c>
      <c r="J491" s="2" t="s">
        <v>21</v>
      </c>
      <c r="K491">
        <f>VLOOKUP(E491,Products!$A$2:$E$23,5,0)</f>
        <v>899</v>
      </c>
      <c r="L491">
        <f>VLOOKUP(E491,Products!$A$2:$E$23,4,0)</f>
        <v>450</v>
      </c>
      <c r="M491" s="2">
        <f>K491*F491-Table1[[#This Row],[discount_amount]]</f>
        <v>899</v>
      </c>
      <c r="N491">
        <f t="shared" si="15"/>
        <v>450</v>
      </c>
      <c r="O491">
        <f t="shared" si="14"/>
        <v>449</v>
      </c>
      <c r="P491">
        <f>Table1[[#This Row],[Quantity]]*Table1[[#This Row],[unit_price]]*Table1[[#This Row],[Discount]]</f>
        <v>0</v>
      </c>
      <c r="Q491" t="str">
        <f>VLOOKUP(E491,Products!$A$2:$E$23,2,0)</f>
        <v>Track Pants</v>
      </c>
      <c r="R491" t="str">
        <f>VLOOKUP(Table1[[#This Row],[Product ID]],Products!$A$2:$E$23,3,0)</f>
        <v>Clothing</v>
      </c>
      <c r="S491" t="str">
        <f>VLOOKUP(C491,Customers!$A$2:$F$201,4,0)</f>
        <v>Telangana</v>
      </c>
      <c r="T491" t="str">
        <f>VLOOKUP(Table1[[#This Row],[Customer ID]],Customers!$A$2:$F$201,5,0)</f>
        <v>South</v>
      </c>
      <c r="U491" t="str">
        <f>VLOOKUP(Table1[[#This Row],[Customer ID]],Customers!$A$2:$F$201,6,0)</f>
        <v>Consumer</v>
      </c>
      <c r="V491" t="str">
        <f>TEXT(Table1[[#This Row],[Order Date]],"MMM")</f>
        <v>Nov</v>
      </c>
      <c r="W491" t="str">
        <f>TEXT(Table1[[#This Row],[Order Date]],"yyyy")</f>
        <v>2024</v>
      </c>
    </row>
    <row r="492" spans="1:23" x14ac:dyDescent="0.25">
      <c r="A492" s="2" t="s">
        <v>721</v>
      </c>
      <c r="B492" s="4">
        <v>45602</v>
      </c>
      <c r="C492" s="2" t="s">
        <v>226</v>
      </c>
      <c r="D492" s="2" t="str">
        <f>TEXT(Table1[[#This Row],[Order Date]],"mmmm")</f>
        <v>November</v>
      </c>
      <c r="E492" s="2" t="s">
        <v>121</v>
      </c>
      <c r="F492" s="2">
        <v>1</v>
      </c>
      <c r="G492" s="5">
        <v>0.05</v>
      </c>
      <c r="H492" s="2" t="s">
        <v>30</v>
      </c>
      <c r="I492" s="2" t="s">
        <v>26</v>
      </c>
      <c r="J492" s="2" t="s">
        <v>42</v>
      </c>
      <c r="K492">
        <f>VLOOKUP(E492,Products!$A$2:$E$23,5,0)</f>
        <v>499</v>
      </c>
      <c r="L492">
        <f>VLOOKUP(E492,Products!$A$2:$E$23,4,0)</f>
        <v>250</v>
      </c>
      <c r="M492" s="2">
        <f>K492*F492-Table1[[#This Row],[discount_amount]]</f>
        <v>474.05</v>
      </c>
      <c r="N492">
        <f t="shared" si="15"/>
        <v>250</v>
      </c>
      <c r="O492">
        <f t="shared" si="14"/>
        <v>224.05</v>
      </c>
      <c r="P492">
        <f>Table1[[#This Row],[Quantity]]*Table1[[#This Row],[unit_price]]*Table1[[#This Row],[Discount]]</f>
        <v>24.950000000000003</v>
      </c>
      <c r="Q492" t="str">
        <f>VLOOKUP(E492,Products!$A$2:$E$23,2,0)</f>
        <v>Cotton T-Shirt</v>
      </c>
      <c r="R492" t="str">
        <f>VLOOKUP(Table1[[#This Row],[Product ID]],Products!$A$2:$E$23,3,0)</f>
        <v>Clothing</v>
      </c>
      <c r="S492" t="str">
        <f>VLOOKUP(C492,Customers!$A$2:$F$201,4,0)</f>
        <v>Gujarat</v>
      </c>
      <c r="T492" t="str">
        <f>VLOOKUP(Table1[[#This Row],[Customer ID]],Customers!$A$2:$F$201,5,0)</f>
        <v>West</v>
      </c>
      <c r="U492" t="str">
        <f>VLOOKUP(Table1[[#This Row],[Customer ID]],Customers!$A$2:$F$201,6,0)</f>
        <v>Consumer</v>
      </c>
      <c r="V492" t="str">
        <f>TEXT(Table1[[#This Row],[Order Date]],"MMM")</f>
        <v>Nov</v>
      </c>
      <c r="W492" t="str">
        <f>TEXT(Table1[[#This Row],[Order Date]],"yyyy")</f>
        <v>2024</v>
      </c>
    </row>
    <row r="493" spans="1:23" x14ac:dyDescent="0.25">
      <c r="A493" s="2" t="s">
        <v>722</v>
      </c>
      <c r="B493" s="4">
        <v>45603</v>
      </c>
      <c r="C493" s="2" t="s">
        <v>84</v>
      </c>
      <c r="D493" s="2" t="str">
        <f>TEXT(Table1[[#This Row],[Order Date]],"mmmm")</f>
        <v>November</v>
      </c>
      <c r="E493" s="2" t="s">
        <v>37</v>
      </c>
      <c r="F493" s="2">
        <v>2</v>
      </c>
      <c r="G493" s="5">
        <v>0.15</v>
      </c>
      <c r="H493" s="2" t="s">
        <v>30</v>
      </c>
      <c r="I493" s="2" t="s">
        <v>46</v>
      </c>
      <c r="J493" s="2" t="s">
        <v>21</v>
      </c>
      <c r="K493">
        <f>VLOOKUP(E493,Products!$A$2:$E$23,5,0)</f>
        <v>1799</v>
      </c>
      <c r="L493">
        <f>VLOOKUP(E493,Products!$A$2:$E$23,4,0)</f>
        <v>900</v>
      </c>
      <c r="M493" s="2">
        <f>K493*F493-Table1[[#This Row],[discount_amount]]</f>
        <v>3058.3</v>
      </c>
      <c r="N493">
        <f t="shared" si="15"/>
        <v>1800</v>
      </c>
      <c r="O493">
        <f t="shared" si="14"/>
        <v>1258.3000000000002</v>
      </c>
      <c r="P493">
        <f>Table1[[#This Row],[Quantity]]*Table1[[#This Row],[unit_price]]*Table1[[#This Row],[Discount]]</f>
        <v>539.69999999999993</v>
      </c>
      <c r="Q493" t="str">
        <f>VLOOKUP(E493,Products!$A$2:$E$23,2,0)</f>
        <v>Denim Jeans</v>
      </c>
      <c r="R493" t="str">
        <f>VLOOKUP(Table1[[#This Row],[Product ID]],Products!$A$2:$E$23,3,0)</f>
        <v>Clothing</v>
      </c>
      <c r="S493" t="str">
        <f>VLOOKUP(C493,Customers!$A$2:$F$201,4,0)</f>
        <v>Uttar Pradesh</v>
      </c>
      <c r="T493" t="str">
        <f>VLOOKUP(Table1[[#This Row],[Customer ID]],Customers!$A$2:$F$201,5,0)</f>
        <v>North</v>
      </c>
      <c r="U493" t="str">
        <f>VLOOKUP(Table1[[#This Row],[Customer ID]],Customers!$A$2:$F$201,6,0)</f>
        <v>Consumer</v>
      </c>
      <c r="V493" t="str">
        <f>TEXT(Table1[[#This Row],[Order Date]],"MMM")</f>
        <v>Nov</v>
      </c>
      <c r="W493" t="str">
        <f>TEXT(Table1[[#This Row],[Order Date]],"yyyy")</f>
        <v>2024</v>
      </c>
    </row>
    <row r="494" spans="1:23" x14ac:dyDescent="0.25">
      <c r="A494" s="2" t="s">
        <v>723</v>
      </c>
      <c r="B494" s="4">
        <v>45603</v>
      </c>
      <c r="C494" s="2" t="s">
        <v>366</v>
      </c>
      <c r="D494" s="2" t="str">
        <f>TEXT(Table1[[#This Row],[Order Date]],"mmmm")</f>
        <v>November</v>
      </c>
      <c r="E494" s="2" t="s">
        <v>34</v>
      </c>
      <c r="F494" s="2">
        <v>2</v>
      </c>
      <c r="G494" s="5">
        <v>0.05</v>
      </c>
      <c r="H494" s="2" t="s">
        <v>30</v>
      </c>
      <c r="I494" s="2" t="s">
        <v>26</v>
      </c>
      <c r="J494" s="2" t="s">
        <v>21</v>
      </c>
      <c r="K494">
        <f>VLOOKUP(E494,Products!$A$2:$E$23,5,0)</f>
        <v>4599</v>
      </c>
      <c r="L494">
        <f>VLOOKUP(E494,Products!$A$2:$E$23,4,0)</f>
        <v>3000</v>
      </c>
      <c r="M494" s="2">
        <f>K494*F494-Table1[[#This Row],[discount_amount]]</f>
        <v>8738.1</v>
      </c>
      <c r="N494">
        <f t="shared" si="15"/>
        <v>6000</v>
      </c>
      <c r="O494">
        <f t="shared" si="14"/>
        <v>2738.1000000000004</v>
      </c>
      <c r="P494">
        <f>Table1[[#This Row],[Quantity]]*Table1[[#This Row],[unit_price]]*Table1[[#This Row],[Discount]]</f>
        <v>459.90000000000003</v>
      </c>
      <c r="Q494" t="str">
        <f>VLOOKUP(E494,Products!$A$2:$E$23,2,0)</f>
        <v>Filing Cabinet</v>
      </c>
      <c r="R494" t="str">
        <f>VLOOKUP(Table1[[#This Row],[Product ID]],Products!$A$2:$E$23,3,0)</f>
        <v>Furniture</v>
      </c>
      <c r="S494" t="str">
        <f>VLOOKUP(C494,Customers!$A$2:$F$201,4,0)</f>
        <v>Bihar</v>
      </c>
      <c r="T494" t="str">
        <f>VLOOKUP(Table1[[#This Row],[Customer ID]],Customers!$A$2:$F$201,5,0)</f>
        <v>East</v>
      </c>
      <c r="U494" t="str">
        <f>VLOOKUP(Table1[[#This Row],[Customer ID]],Customers!$A$2:$F$201,6,0)</f>
        <v>Home Office</v>
      </c>
      <c r="V494" t="str">
        <f>TEXT(Table1[[#This Row],[Order Date]],"MMM")</f>
        <v>Nov</v>
      </c>
      <c r="W494" t="str">
        <f>TEXT(Table1[[#This Row],[Order Date]],"yyyy")</f>
        <v>2024</v>
      </c>
    </row>
    <row r="495" spans="1:23" x14ac:dyDescent="0.25">
      <c r="A495" s="2" t="s">
        <v>724</v>
      </c>
      <c r="B495" s="4">
        <v>45603</v>
      </c>
      <c r="C495" s="2" t="s">
        <v>137</v>
      </c>
      <c r="D495" s="2" t="str">
        <f>TEXT(Table1[[#This Row],[Order Date]],"mmmm")</f>
        <v>November</v>
      </c>
      <c r="E495" s="2" t="s">
        <v>24</v>
      </c>
      <c r="F495" s="2">
        <v>12</v>
      </c>
      <c r="G495" s="5">
        <v>0.15</v>
      </c>
      <c r="H495" s="2" t="s">
        <v>30</v>
      </c>
      <c r="I495" s="2" t="s">
        <v>31</v>
      </c>
      <c r="J495" s="2" t="s">
        <v>21</v>
      </c>
      <c r="K495">
        <f>VLOOKUP(E495,Products!$A$2:$E$23,5,0)</f>
        <v>899</v>
      </c>
      <c r="L495">
        <f>VLOOKUP(E495,Products!$A$2:$E$23,4,0)</f>
        <v>500</v>
      </c>
      <c r="M495" s="2">
        <f>K495*F495-Table1[[#This Row],[discount_amount]]</f>
        <v>9169.7999999999993</v>
      </c>
      <c r="N495">
        <f t="shared" si="15"/>
        <v>6000</v>
      </c>
      <c r="O495">
        <f t="shared" si="14"/>
        <v>3169.7999999999993</v>
      </c>
      <c r="P495">
        <f>Table1[[#This Row],[Quantity]]*Table1[[#This Row],[unit_price]]*Table1[[#This Row],[Discount]]</f>
        <v>1618.2</v>
      </c>
      <c r="Q495" t="str">
        <f>VLOOKUP(E495,Products!$A$2:$E$23,2,0)</f>
        <v>Monitor Stand</v>
      </c>
      <c r="R495" t="str">
        <f>VLOOKUP(Table1[[#This Row],[Product ID]],Products!$A$2:$E$23,3,0)</f>
        <v>Furniture</v>
      </c>
      <c r="S495" t="str">
        <f>VLOOKUP(C495,Customers!$A$2:$F$201,4,0)</f>
        <v>Telangana</v>
      </c>
      <c r="T495" t="str">
        <f>VLOOKUP(Table1[[#This Row],[Customer ID]],Customers!$A$2:$F$201,5,0)</f>
        <v>South</v>
      </c>
      <c r="U495" t="str">
        <f>VLOOKUP(Table1[[#This Row],[Customer ID]],Customers!$A$2:$F$201,6,0)</f>
        <v>Corporate</v>
      </c>
      <c r="V495" t="str">
        <f>TEXT(Table1[[#This Row],[Order Date]],"MMM")</f>
        <v>Nov</v>
      </c>
      <c r="W495" t="str">
        <f>TEXT(Table1[[#This Row],[Order Date]],"yyyy")</f>
        <v>2024</v>
      </c>
    </row>
    <row r="496" spans="1:23" x14ac:dyDescent="0.25">
      <c r="A496" s="2" t="s">
        <v>725</v>
      </c>
      <c r="B496" s="4">
        <v>45604</v>
      </c>
      <c r="C496" s="2" t="s">
        <v>415</v>
      </c>
      <c r="D496" s="2" t="str">
        <f>TEXT(Table1[[#This Row],[Order Date]],"mmmm")</f>
        <v>November</v>
      </c>
      <c r="E496" s="2" t="s">
        <v>82</v>
      </c>
      <c r="F496" s="2">
        <v>12</v>
      </c>
      <c r="G496" s="5">
        <v>0.1</v>
      </c>
      <c r="H496" s="2" t="s">
        <v>19</v>
      </c>
      <c r="I496" s="2" t="s">
        <v>31</v>
      </c>
      <c r="J496" s="2" t="s">
        <v>79</v>
      </c>
      <c r="K496">
        <f>VLOOKUP(E496,Products!$A$2:$E$23,5,0)</f>
        <v>1799</v>
      </c>
      <c r="L496">
        <f>VLOOKUP(E496,Products!$A$2:$E$23,4,0)</f>
        <v>1100</v>
      </c>
      <c r="M496" s="2">
        <f>K496*F496-Table1[[#This Row],[discount_amount]]</f>
        <v>19429.2</v>
      </c>
      <c r="N496">
        <f t="shared" si="15"/>
        <v>13200</v>
      </c>
      <c r="O496">
        <f t="shared" si="14"/>
        <v>6229.2000000000007</v>
      </c>
      <c r="P496">
        <f>Table1[[#This Row],[Quantity]]*Table1[[#This Row],[unit_price]]*Table1[[#This Row],[Discount]]</f>
        <v>2158.8000000000002</v>
      </c>
      <c r="Q496" t="str">
        <f>VLOOKUP(E496,Products!$A$2:$E$23,2,0)</f>
        <v>Webcam HD</v>
      </c>
      <c r="R496" t="str">
        <f>VLOOKUP(Table1[[#This Row],[Product ID]],Products!$A$2:$E$23,3,0)</f>
        <v>Electronics</v>
      </c>
      <c r="S496" t="str">
        <f>VLOOKUP(C496,Customers!$A$2:$F$201,4,0)</f>
        <v>Tamil Nadu</v>
      </c>
      <c r="T496" t="str">
        <f>VLOOKUP(Table1[[#This Row],[Customer ID]],Customers!$A$2:$F$201,5,0)</f>
        <v>South</v>
      </c>
      <c r="U496" t="str">
        <f>VLOOKUP(Table1[[#This Row],[Customer ID]],Customers!$A$2:$F$201,6,0)</f>
        <v>Consumer</v>
      </c>
      <c r="V496" t="str">
        <f>TEXT(Table1[[#This Row],[Order Date]],"MMM")</f>
        <v>Nov</v>
      </c>
      <c r="W496" t="str">
        <f>TEXT(Table1[[#This Row],[Order Date]],"yyyy")</f>
        <v>2024</v>
      </c>
    </row>
    <row r="497" spans="1:23" x14ac:dyDescent="0.25">
      <c r="A497" s="2" t="s">
        <v>726</v>
      </c>
      <c r="B497" s="4">
        <v>45606</v>
      </c>
      <c r="C497" s="2" t="s">
        <v>44</v>
      </c>
      <c r="D497" s="2" t="str">
        <f>TEXT(Table1[[#This Row],[Order Date]],"mmmm")</f>
        <v>November</v>
      </c>
      <c r="E497" s="2" t="s">
        <v>57</v>
      </c>
      <c r="F497" s="2">
        <v>10</v>
      </c>
      <c r="G497" s="5">
        <v>0.15</v>
      </c>
      <c r="H497" s="2" t="s">
        <v>30</v>
      </c>
      <c r="I497" s="2" t="s">
        <v>38</v>
      </c>
      <c r="J497" s="2" t="s">
        <v>21</v>
      </c>
      <c r="K497">
        <f>VLOOKUP(E497,Products!$A$2:$E$23,5,0)</f>
        <v>1599</v>
      </c>
      <c r="L497">
        <f>VLOOKUP(E497,Products!$A$2:$E$23,4,0)</f>
        <v>800</v>
      </c>
      <c r="M497" s="2">
        <f>K497*F497-Table1[[#This Row],[discount_amount]]</f>
        <v>13591.5</v>
      </c>
      <c r="N497">
        <f t="shared" si="15"/>
        <v>8000</v>
      </c>
      <c r="O497">
        <f t="shared" si="14"/>
        <v>5591.5</v>
      </c>
      <c r="P497">
        <f>Table1[[#This Row],[Quantity]]*Table1[[#This Row],[unit_price]]*Table1[[#This Row],[Discount]]</f>
        <v>2398.5</v>
      </c>
      <c r="Q497" t="str">
        <f>VLOOKUP(E497,Products!$A$2:$E$23,2,0)</f>
        <v>Hoodie</v>
      </c>
      <c r="R497" t="str">
        <f>VLOOKUP(Table1[[#This Row],[Product ID]],Products!$A$2:$E$23,3,0)</f>
        <v>Clothing</v>
      </c>
      <c r="S497" t="str">
        <f>VLOOKUP(C497,Customers!$A$2:$F$201,4,0)</f>
        <v>Gujarat</v>
      </c>
      <c r="T497" t="str">
        <f>VLOOKUP(Table1[[#This Row],[Customer ID]],Customers!$A$2:$F$201,5,0)</f>
        <v>West</v>
      </c>
      <c r="U497" t="str">
        <f>VLOOKUP(Table1[[#This Row],[Customer ID]],Customers!$A$2:$F$201,6,0)</f>
        <v>Home Office</v>
      </c>
      <c r="V497" t="str">
        <f>TEXT(Table1[[#This Row],[Order Date]],"MMM")</f>
        <v>Nov</v>
      </c>
      <c r="W497" t="str">
        <f>TEXT(Table1[[#This Row],[Order Date]],"yyyy")</f>
        <v>2024</v>
      </c>
    </row>
    <row r="498" spans="1:23" x14ac:dyDescent="0.25">
      <c r="A498" s="2" t="s">
        <v>727</v>
      </c>
      <c r="B498" s="4">
        <v>45607</v>
      </c>
      <c r="C498" s="2" t="s">
        <v>110</v>
      </c>
      <c r="D498" s="2" t="str">
        <f>TEXT(Table1[[#This Row],[Order Date]],"mmmm")</f>
        <v>November</v>
      </c>
      <c r="E498" s="2" t="s">
        <v>54</v>
      </c>
      <c r="F498" s="2">
        <v>4</v>
      </c>
      <c r="G498" s="5">
        <v>0</v>
      </c>
      <c r="H498" s="2" t="s">
        <v>30</v>
      </c>
      <c r="I498" s="2" t="s">
        <v>31</v>
      </c>
      <c r="J498" s="2" t="s">
        <v>21</v>
      </c>
      <c r="K498">
        <f>VLOOKUP(E498,Products!$A$2:$E$23,5,0)</f>
        <v>299</v>
      </c>
      <c r="L498">
        <f>VLOOKUP(E498,Products!$A$2:$E$23,4,0)</f>
        <v>180</v>
      </c>
      <c r="M498" s="2">
        <f>K498*F498-Table1[[#This Row],[discount_amount]]</f>
        <v>1196</v>
      </c>
      <c r="N498">
        <f t="shared" si="15"/>
        <v>720</v>
      </c>
      <c r="O498">
        <f t="shared" si="14"/>
        <v>476</v>
      </c>
      <c r="P498">
        <f>Table1[[#This Row],[Quantity]]*Table1[[#This Row],[unit_price]]*Table1[[#This Row],[Discount]]</f>
        <v>0</v>
      </c>
      <c r="Q498" t="str">
        <f>VLOOKUP(E498,Products!$A$2:$E$23,2,0)</f>
        <v>Notebook Pack of 5</v>
      </c>
      <c r="R498" t="str">
        <f>VLOOKUP(Table1[[#This Row],[Product ID]],Products!$A$2:$E$23,3,0)</f>
        <v>Office Supplies</v>
      </c>
      <c r="S498" t="str">
        <f>VLOOKUP(C498,Customers!$A$2:$F$201,4,0)</f>
        <v>Gujarat</v>
      </c>
      <c r="T498" t="str">
        <f>VLOOKUP(Table1[[#This Row],[Customer ID]],Customers!$A$2:$F$201,5,0)</f>
        <v>West</v>
      </c>
      <c r="U498" t="str">
        <f>VLOOKUP(Table1[[#This Row],[Customer ID]],Customers!$A$2:$F$201,6,0)</f>
        <v>Corporate</v>
      </c>
      <c r="V498" t="str">
        <f>TEXT(Table1[[#This Row],[Order Date]],"MMM")</f>
        <v>Nov</v>
      </c>
      <c r="W498" t="str">
        <f>TEXT(Table1[[#This Row],[Order Date]],"yyyy")</f>
        <v>2024</v>
      </c>
    </row>
    <row r="499" spans="1:23" x14ac:dyDescent="0.25">
      <c r="A499" s="2" t="s">
        <v>728</v>
      </c>
      <c r="B499" s="4">
        <v>45608</v>
      </c>
      <c r="C499" s="2" t="s">
        <v>68</v>
      </c>
      <c r="D499" s="2" t="str">
        <f>TEXT(Table1[[#This Row],[Order Date]],"mmmm")</f>
        <v>November</v>
      </c>
      <c r="E499" s="2" t="s">
        <v>66</v>
      </c>
      <c r="F499" s="2">
        <v>3</v>
      </c>
      <c r="G499" s="5">
        <v>0.05</v>
      </c>
      <c r="H499" s="2" t="s">
        <v>19</v>
      </c>
      <c r="I499" s="2" t="s">
        <v>20</v>
      </c>
      <c r="J499" s="2" t="s">
        <v>21</v>
      </c>
      <c r="K499">
        <f>VLOOKUP(E499,Products!$A$2:$E$23,5,0)</f>
        <v>1299</v>
      </c>
      <c r="L499">
        <f>VLOOKUP(E499,Products!$A$2:$E$23,4,0)</f>
        <v>800</v>
      </c>
      <c r="M499" s="2">
        <f>K499*F499-Table1[[#This Row],[discount_amount]]</f>
        <v>3702.15</v>
      </c>
      <c r="N499">
        <f t="shared" si="15"/>
        <v>2400</v>
      </c>
      <c r="O499">
        <f t="shared" si="14"/>
        <v>1302.1500000000001</v>
      </c>
      <c r="P499">
        <f>Table1[[#This Row],[Quantity]]*Table1[[#This Row],[unit_price]]*Table1[[#This Row],[Discount]]</f>
        <v>194.85000000000002</v>
      </c>
      <c r="Q499" t="str">
        <f>VLOOKUP(E499,Products!$A$2:$E$23,2,0)</f>
        <v>Power Bank 10000mAh</v>
      </c>
      <c r="R499" t="str">
        <f>VLOOKUP(Table1[[#This Row],[Product ID]],Products!$A$2:$E$23,3,0)</f>
        <v>Electronics</v>
      </c>
      <c r="S499" t="str">
        <f>VLOOKUP(C499,Customers!$A$2:$F$201,4,0)</f>
        <v>Chandigarh</v>
      </c>
      <c r="T499" t="str">
        <f>VLOOKUP(Table1[[#This Row],[Customer ID]],Customers!$A$2:$F$201,5,0)</f>
        <v>North</v>
      </c>
      <c r="U499" t="str">
        <f>VLOOKUP(Table1[[#This Row],[Customer ID]],Customers!$A$2:$F$201,6,0)</f>
        <v>Consumer</v>
      </c>
      <c r="V499" t="str">
        <f>TEXT(Table1[[#This Row],[Order Date]],"MMM")</f>
        <v>Nov</v>
      </c>
      <c r="W499" t="str">
        <f>TEXT(Table1[[#This Row],[Order Date]],"yyyy")</f>
        <v>2024</v>
      </c>
    </row>
    <row r="500" spans="1:23" x14ac:dyDescent="0.25">
      <c r="A500" s="2" t="s">
        <v>729</v>
      </c>
      <c r="B500" s="4">
        <v>45608</v>
      </c>
      <c r="C500" s="2" t="s">
        <v>464</v>
      </c>
      <c r="D500" s="2" t="str">
        <f>TEXT(Table1[[#This Row],[Order Date]],"mmmm")</f>
        <v>November</v>
      </c>
      <c r="E500" s="2" t="s">
        <v>34</v>
      </c>
      <c r="F500" s="2">
        <v>5</v>
      </c>
      <c r="G500" s="5">
        <v>0.05</v>
      </c>
      <c r="H500" s="2" t="s">
        <v>25</v>
      </c>
      <c r="I500" s="2" t="s">
        <v>26</v>
      </c>
      <c r="J500" s="2" t="s">
        <v>21</v>
      </c>
      <c r="K500">
        <f>VLOOKUP(E500,Products!$A$2:$E$23,5,0)</f>
        <v>4599</v>
      </c>
      <c r="L500">
        <f>VLOOKUP(E500,Products!$A$2:$E$23,4,0)</f>
        <v>3000</v>
      </c>
      <c r="M500" s="2">
        <f>K500*F500-Table1[[#This Row],[discount_amount]]</f>
        <v>21845.25</v>
      </c>
      <c r="N500">
        <f t="shared" si="15"/>
        <v>15000</v>
      </c>
      <c r="O500">
        <f t="shared" si="14"/>
        <v>6845.25</v>
      </c>
      <c r="P500">
        <f>Table1[[#This Row],[Quantity]]*Table1[[#This Row],[unit_price]]*Table1[[#This Row],[Discount]]</f>
        <v>1149.75</v>
      </c>
      <c r="Q500" t="str">
        <f>VLOOKUP(E500,Products!$A$2:$E$23,2,0)</f>
        <v>Filing Cabinet</v>
      </c>
      <c r="R500" t="str">
        <f>VLOOKUP(Table1[[#This Row],[Product ID]],Products!$A$2:$E$23,3,0)</f>
        <v>Furniture</v>
      </c>
      <c r="S500" t="str">
        <f>VLOOKUP(C500,Customers!$A$2:$F$201,4,0)</f>
        <v>Madhya Pradesh</v>
      </c>
      <c r="T500" t="str">
        <f>VLOOKUP(Table1[[#This Row],[Customer ID]],Customers!$A$2:$F$201,5,0)</f>
        <v>Central</v>
      </c>
      <c r="U500" t="str">
        <f>VLOOKUP(Table1[[#This Row],[Customer ID]],Customers!$A$2:$F$201,6,0)</f>
        <v>Consumer</v>
      </c>
      <c r="V500" t="str">
        <f>TEXT(Table1[[#This Row],[Order Date]],"MMM")</f>
        <v>Nov</v>
      </c>
      <c r="W500" t="str">
        <f>TEXT(Table1[[#This Row],[Order Date]],"yyyy")</f>
        <v>2024</v>
      </c>
    </row>
    <row r="501" spans="1:23" x14ac:dyDescent="0.25">
      <c r="A501" s="2" t="s">
        <v>730</v>
      </c>
      <c r="B501" s="4">
        <v>45608</v>
      </c>
      <c r="C501" s="2" t="s">
        <v>76</v>
      </c>
      <c r="D501" s="2" t="str">
        <f>TEXT(Table1[[#This Row],[Order Date]],"mmmm")</f>
        <v>November</v>
      </c>
      <c r="E501" s="2" t="s">
        <v>63</v>
      </c>
      <c r="F501" s="2">
        <v>10</v>
      </c>
      <c r="G501" s="5">
        <v>0</v>
      </c>
      <c r="H501" s="2" t="s">
        <v>25</v>
      </c>
      <c r="I501" s="2" t="s">
        <v>20</v>
      </c>
      <c r="J501" s="2" t="s">
        <v>21</v>
      </c>
      <c r="K501">
        <f>VLOOKUP(E501,Products!$A$2:$E$23,5,0)</f>
        <v>5499</v>
      </c>
      <c r="L501">
        <f>VLOOKUP(E501,Products!$A$2:$E$23,4,0)</f>
        <v>3500</v>
      </c>
      <c r="M501" s="2">
        <f>K501*F501-Table1[[#This Row],[discount_amount]]</f>
        <v>54990</v>
      </c>
      <c r="N501">
        <f t="shared" si="15"/>
        <v>35000</v>
      </c>
      <c r="O501">
        <f t="shared" si="14"/>
        <v>19990</v>
      </c>
      <c r="P501">
        <f>Table1[[#This Row],[Quantity]]*Table1[[#This Row],[unit_price]]*Table1[[#This Row],[Discount]]</f>
        <v>0</v>
      </c>
      <c r="Q501" t="str">
        <f>VLOOKUP(E501,Products!$A$2:$E$23,2,0)</f>
        <v>Office Chair</v>
      </c>
      <c r="R501" t="str">
        <f>VLOOKUP(Table1[[#This Row],[Product ID]],Products!$A$2:$E$23,3,0)</f>
        <v>Furniture</v>
      </c>
      <c r="S501" t="str">
        <f>VLOOKUP(C501,Customers!$A$2:$F$201,4,0)</f>
        <v>West Bengal</v>
      </c>
      <c r="T501" t="str">
        <f>VLOOKUP(Table1[[#This Row],[Customer ID]],Customers!$A$2:$F$201,5,0)</f>
        <v>East</v>
      </c>
      <c r="U501" t="str">
        <f>VLOOKUP(Table1[[#This Row],[Customer ID]],Customers!$A$2:$F$201,6,0)</f>
        <v>Corporate</v>
      </c>
      <c r="V501" t="str">
        <f>TEXT(Table1[[#This Row],[Order Date]],"MMM")</f>
        <v>Nov</v>
      </c>
      <c r="W501" t="str">
        <f>TEXT(Table1[[#This Row],[Order Date]],"yyyy")</f>
        <v>2024</v>
      </c>
    </row>
    <row r="502" spans="1:23" x14ac:dyDescent="0.25">
      <c r="A502" s="2" t="s">
        <v>731</v>
      </c>
      <c r="B502" s="4">
        <v>45608</v>
      </c>
      <c r="C502" s="2" t="s">
        <v>732</v>
      </c>
      <c r="D502" s="2" t="str">
        <f>TEXT(Table1[[#This Row],[Order Date]],"mmmm")</f>
        <v>November</v>
      </c>
      <c r="E502" s="2" t="s">
        <v>118</v>
      </c>
      <c r="F502" s="2">
        <v>3</v>
      </c>
      <c r="G502" s="5">
        <v>0.05</v>
      </c>
      <c r="H502" s="2" t="s">
        <v>25</v>
      </c>
      <c r="I502" s="2" t="s">
        <v>26</v>
      </c>
      <c r="J502" s="2" t="s">
        <v>21</v>
      </c>
      <c r="K502">
        <f>VLOOKUP(E502,Products!$A$2:$E$23,5,0)</f>
        <v>150</v>
      </c>
      <c r="L502">
        <f>VLOOKUP(E502,Products!$A$2:$E$23,4,0)</f>
        <v>90</v>
      </c>
      <c r="M502" s="2">
        <f>K502*F502-Table1[[#This Row],[discount_amount]]</f>
        <v>427.5</v>
      </c>
      <c r="N502">
        <f t="shared" si="15"/>
        <v>270</v>
      </c>
      <c r="O502">
        <f t="shared" si="14"/>
        <v>157.5</v>
      </c>
      <c r="P502">
        <f>Table1[[#This Row],[Quantity]]*Table1[[#This Row],[unit_price]]*Table1[[#This Row],[Discount]]</f>
        <v>22.5</v>
      </c>
      <c r="Q502" t="str">
        <f>VLOOKUP(E502,Products!$A$2:$E$23,2,0)</f>
        <v>Gel Pen Box</v>
      </c>
      <c r="R502" t="str">
        <f>VLOOKUP(Table1[[#This Row],[Product ID]],Products!$A$2:$E$23,3,0)</f>
        <v>Office Supplies</v>
      </c>
      <c r="S502" t="str">
        <f>VLOOKUP(C502,Customers!$A$2:$F$201,4,0)</f>
        <v>Karnataka</v>
      </c>
      <c r="T502" t="str">
        <f>VLOOKUP(Table1[[#This Row],[Customer ID]],Customers!$A$2:$F$201,5,0)</f>
        <v>South</v>
      </c>
      <c r="U502" t="str">
        <f>VLOOKUP(Table1[[#This Row],[Customer ID]],Customers!$A$2:$F$201,6,0)</f>
        <v>Consumer</v>
      </c>
      <c r="V502" t="str">
        <f>TEXT(Table1[[#This Row],[Order Date]],"MMM")</f>
        <v>Nov</v>
      </c>
      <c r="W502" t="str">
        <f>TEXT(Table1[[#This Row],[Order Date]],"yyyy")</f>
        <v>2024</v>
      </c>
    </row>
    <row r="503" spans="1:23" x14ac:dyDescent="0.25">
      <c r="A503" s="2" t="s">
        <v>733</v>
      </c>
      <c r="B503" s="4">
        <v>45609</v>
      </c>
      <c r="C503" s="2" t="s">
        <v>713</v>
      </c>
      <c r="D503" s="2" t="str">
        <f>TEXT(Table1[[#This Row],[Order Date]],"mmmm")</f>
        <v>November</v>
      </c>
      <c r="E503" s="2" t="s">
        <v>34</v>
      </c>
      <c r="F503" s="2">
        <v>10</v>
      </c>
      <c r="G503" s="5">
        <v>0.05</v>
      </c>
      <c r="H503" s="2" t="s">
        <v>30</v>
      </c>
      <c r="I503" s="2" t="s">
        <v>46</v>
      </c>
      <c r="J503" s="2" t="s">
        <v>21</v>
      </c>
      <c r="K503">
        <f>VLOOKUP(E503,Products!$A$2:$E$23,5,0)</f>
        <v>4599</v>
      </c>
      <c r="L503">
        <f>VLOOKUP(E503,Products!$A$2:$E$23,4,0)</f>
        <v>3000</v>
      </c>
      <c r="M503" s="2">
        <f>K503*F503-Table1[[#This Row],[discount_amount]]</f>
        <v>43690.5</v>
      </c>
      <c r="N503">
        <f t="shared" si="15"/>
        <v>30000</v>
      </c>
      <c r="O503">
        <f t="shared" si="14"/>
        <v>13690.5</v>
      </c>
      <c r="P503">
        <f>Table1[[#This Row],[Quantity]]*Table1[[#This Row],[unit_price]]*Table1[[#This Row],[Discount]]</f>
        <v>2299.5</v>
      </c>
      <c r="Q503" t="str">
        <f>VLOOKUP(E503,Products!$A$2:$E$23,2,0)</f>
        <v>Filing Cabinet</v>
      </c>
      <c r="R503" t="str">
        <f>VLOOKUP(Table1[[#This Row],[Product ID]],Products!$A$2:$E$23,3,0)</f>
        <v>Furniture</v>
      </c>
      <c r="S503" t="str">
        <f>VLOOKUP(C503,Customers!$A$2:$F$201,4,0)</f>
        <v>Gujarat</v>
      </c>
      <c r="T503" t="str">
        <f>VLOOKUP(Table1[[#This Row],[Customer ID]],Customers!$A$2:$F$201,5,0)</f>
        <v>West</v>
      </c>
      <c r="U503" t="str">
        <f>VLOOKUP(Table1[[#This Row],[Customer ID]],Customers!$A$2:$F$201,6,0)</f>
        <v>Consumer</v>
      </c>
      <c r="V503" t="str">
        <f>TEXT(Table1[[#This Row],[Order Date]],"MMM")</f>
        <v>Nov</v>
      </c>
      <c r="W503" t="str">
        <f>TEXT(Table1[[#This Row],[Order Date]],"yyyy")</f>
        <v>2024</v>
      </c>
    </row>
    <row r="504" spans="1:23" x14ac:dyDescent="0.25">
      <c r="A504" s="2" t="s">
        <v>734</v>
      </c>
      <c r="B504" s="4">
        <v>45609</v>
      </c>
      <c r="C504" s="2" t="s">
        <v>735</v>
      </c>
      <c r="D504" s="2" t="str">
        <f>TEXT(Table1[[#This Row],[Order Date]],"mmmm")</f>
        <v>November</v>
      </c>
      <c r="E504" s="2" t="s">
        <v>34</v>
      </c>
      <c r="F504" s="2">
        <v>12</v>
      </c>
      <c r="G504" s="5">
        <v>0.05</v>
      </c>
      <c r="H504" s="2" t="s">
        <v>19</v>
      </c>
      <c r="I504" s="2" t="s">
        <v>46</v>
      </c>
      <c r="J504" s="2" t="s">
        <v>21</v>
      </c>
      <c r="K504">
        <f>VLOOKUP(E504,Products!$A$2:$E$23,5,0)</f>
        <v>4599</v>
      </c>
      <c r="L504">
        <f>VLOOKUP(E504,Products!$A$2:$E$23,4,0)</f>
        <v>3000</v>
      </c>
      <c r="M504" s="2">
        <f>K504*F504-Table1[[#This Row],[discount_amount]]</f>
        <v>52428.6</v>
      </c>
      <c r="N504">
        <f t="shared" si="15"/>
        <v>36000</v>
      </c>
      <c r="O504">
        <f t="shared" si="14"/>
        <v>16428.599999999999</v>
      </c>
      <c r="P504">
        <f>Table1[[#This Row],[Quantity]]*Table1[[#This Row],[unit_price]]*Table1[[#This Row],[Discount]]</f>
        <v>2759.4</v>
      </c>
      <c r="Q504" t="str">
        <f>VLOOKUP(E504,Products!$A$2:$E$23,2,0)</f>
        <v>Filing Cabinet</v>
      </c>
      <c r="R504" t="str">
        <f>VLOOKUP(Table1[[#This Row],[Product ID]],Products!$A$2:$E$23,3,0)</f>
        <v>Furniture</v>
      </c>
      <c r="S504" t="str">
        <f>VLOOKUP(C504,Customers!$A$2:$F$201,4,0)</f>
        <v>Maharashtra</v>
      </c>
      <c r="T504" t="str">
        <f>VLOOKUP(Table1[[#This Row],[Customer ID]],Customers!$A$2:$F$201,5,0)</f>
        <v>West</v>
      </c>
      <c r="U504" t="str">
        <f>VLOOKUP(Table1[[#This Row],[Customer ID]],Customers!$A$2:$F$201,6,0)</f>
        <v>Consumer</v>
      </c>
      <c r="V504" t="str">
        <f>TEXT(Table1[[#This Row],[Order Date]],"MMM")</f>
        <v>Nov</v>
      </c>
      <c r="W504" t="str">
        <f>TEXT(Table1[[#This Row],[Order Date]],"yyyy")</f>
        <v>2024</v>
      </c>
    </row>
    <row r="505" spans="1:23" x14ac:dyDescent="0.25">
      <c r="A505" s="2" t="s">
        <v>736</v>
      </c>
      <c r="B505" s="4">
        <v>45609</v>
      </c>
      <c r="C505" s="2" t="s">
        <v>535</v>
      </c>
      <c r="D505" s="2" t="str">
        <f>TEXT(Table1[[#This Row],[Order Date]],"mmmm")</f>
        <v>November</v>
      </c>
      <c r="E505" s="2" t="s">
        <v>24</v>
      </c>
      <c r="F505" s="2">
        <v>2</v>
      </c>
      <c r="G505" s="5">
        <v>0.2</v>
      </c>
      <c r="H505" s="2" t="s">
        <v>30</v>
      </c>
      <c r="I505" s="2" t="s">
        <v>26</v>
      </c>
      <c r="J505" s="2" t="s">
        <v>21</v>
      </c>
      <c r="K505">
        <f>VLOOKUP(E505,Products!$A$2:$E$23,5,0)</f>
        <v>899</v>
      </c>
      <c r="L505">
        <f>VLOOKUP(E505,Products!$A$2:$E$23,4,0)</f>
        <v>500</v>
      </c>
      <c r="M505" s="2">
        <f>K505*F505-Table1[[#This Row],[discount_amount]]</f>
        <v>1438.4</v>
      </c>
      <c r="N505">
        <f t="shared" si="15"/>
        <v>1000</v>
      </c>
      <c r="O505">
        <f t="shared" si="14"/>
        <v>438.40000000000009</v>
      </c>
      <c r="P505">
        <f>Table1[[#This Row],[Quantity]]*Table1[[#This Row],[unit_price]]*Table1[[#This Row],[Discount]]</f>
        <v>359.6</v>
      </c>
      <c r="Q505" t="str">
        <f>VLOOKUP(E505,Products!$A$2:$E$23,2,0)</f>
        <v>Monitor Stand</v>
      </c>
      <c r="R505" t="str">
        <f>VLOOKUP(Table1[[#This Row],[Product ID]],Products!$A$2:$E$23,3,0)</f>
        <v>Furniture</v>
      </c>
      <c r="S505" t="str">
        <f>VLOOKUP(C505,Customers!$A$2:$F$201,4,0)</f>
        <v>Maharashtra</v>
      </c>
      <c r="T505" t="str">
        <f>VLOOKUP(Table1[[#This Row],[Customer ID]],Customers!$A$2:$F$201,5,0)</f>
        <v>Central</v>
      </c>
      <c r="U505" t="str">
        <f>VLOOKUP(Table1[[#This Row],[Customer ID]],Customers!$A$2:$F$201,6,0)</f>
        <v>Consumer</v>
      </c>
      <c r="V505" t="str">
        <f>TEXT(Table1[[#This Row],[Order Date]],"MMM")</f>
        <v>Nov</v>
      </c>
      <c r="W505" t="str">
        <f>TEXT(Table1[[#This Row],[Order Date]],"yyyy")</f>
        <v>2024</v>
      </c>
    </row>
    <row r="506" spans="1:23" x14ac:dyDescent="0.25">
      <c r="A506" s="2" t="s">
        <v>737</v>
      </c>
      <c r="B506" s="4">
        <v>45609</v>
      </c>
      <c r="C506" s="2" t="s">
        <v>88</v>
      </c>
      <c r="D506" s="2" t="str">
        <f>TEXT(Table1[[#This Row],[Order Date]],"mmmm")</f>
        <v>November</v>
      </c>
      <c r="E506" s="2" t="s">
        <v>18</v>
      </c>
      <c r="F506" s="2">
        <v>12</v>
      </c>
      <c r="G506" s="5">
        <v>0</v>
      </c>
      <c r="H506" s="2" t="s">
        <v>30</v>
      </c>
      <c r="I506" s="2" t="s">
        <v>20</v>
      </c>
      <c r="J506" s="2" t="s">
        <v>21</v>
      </c>
      <c r="K506">
        <f>VLOOKUP(E506,Products!$A$2:$E$23,5,0)</f>
        <v>4299</v>
      </c>
      <c r="L506">
        <f>VLOOKUP(E506,Products!$A$2:$E$23,4,0)</f>
        <v>2800</v>
      </c>
      <c r="M506" s="2">
        <f>K506*F506-Table1[[#This Row],[discount_amount]]</f>
        <v>51588</v>
      </c>
      <c r="N506">
        <f t="shared" si="15"/>
        <v>33600</v>
      </c>
      <c r="O506">
        <f t="shared" si="14"/>
        <v>17988</v>
      </c>
      <c r="P506">
        <f>Table1[[#This Row],[Quantity]]*Table1[[#This Row],[unit_price]]*Table1[[#This Row],[Discount]]</f>
        <v>0</v>
      </c>
      <c r="Q506" t="str">
        <f>VLOOKUP(E506,Products!$A$2:$E$23,2,0)</f>
        <v>Bookshelf</v>
      </c>
      <c r="R506" t="str">
        <f>VLOOKUP(Table1[[#This Row],[Product ID]],Products!$A$2:$E$23,3,0)</f>
        <v>Furniture</v>
      </c>
      <c r="S506" t="str">
        <f>VLOOKUP(C506,Customers!$A$2:$F$201,4,0)</f>
        <v>Gujarat</v>
      </c>
      <c r="T506" t="str">
        <f>VLOOKUP(Table1[[#This Row],[Customer ID]],Customers!$A$2:$F$201,5,0)</f>
        <v>West</v>
      </c>
      <c r="U506" t="str">
        <f>VLOOKUP(Table1[[#This Row],[Customer ID]],Customers!$A$2:$F$201,6,0)</f>
        <v>Consumer</v>
      </c>
      <c r="V506" t="str">
        <f>TEXT(Table1[[#This Row],[Order Date]],"MMM")</f>
        <v>Nov</v>
      </c>
      <c r="W506" t="str">
        <f>TEXT(Table1[[#This Row],[Order Date]],"yyyy")</f>
        <v>2024</v>
      </c>
    </row>
    <row r="507" spans="1:23" x14ac:dyDescent="0.25">
      <c r="A507" s="2" t="s">
        <v>738</v>
      </c>
      <c r="B507" s="4">
        <v>45609</v>
      </c>
      <c r="C507" s="2" t="s">
        <v>587</v>
      </c>
      <c r="D507" s="2" t="str">
        <f>TEXT(Table1[[#This Row],[Order Date]],"mmmm")</f>
        <v>November</v>
      </c>
      <c r="E507" s="2" t="s">
        <v>63</v>
      </c>
      <c r="F507" s="2">
        <v>5</v>
      </c>
      <c r="G507" s="5">
        <v>0.1</v>
      </c>
      <c r="H507" s="2" t="s">
        <v>19</v>
      </c>
      <c r="I507" s="2" t="s">
        <v>20</v>
      </c>
      <c r="J507" s="2" t="s">
        <v>21</v>
      </c>
      <c r="K507">
        <f>VLOOKUP(E507,Products!$A$2:$E$23,5,0)</f>
        <v>5499</v>
      </c>
      <c r="L507">
        <f>VLOOKUP(E507,Products!$A$2:$E$23,4,0)</f>
        <v>3500</v>
      </c>
      <c r="M507" s="2">
        <f>K507*F507-Table1[[#This Row],[discount_amount]]</f>
        <v>24745.5</v>
      </c>
      <c r="N507">
        <f t="shared" si="15"/>
        <v>17500</v>
      </c>
      <c r="O507">
        <f t="shared" si="14"/>
        <v>7245.5</v>
      </c>
      <c r="P507">
        <f>Table1[[#This Row],[Quantity]]*Table1[[#This Row],[unit_price]]*Table1[[#This Row],[Discount]]</f>
        <v>2749.5</v>
      </c>
      <c r="Q507" t="str">
        <f>VLOOKUP(E507,Products!$A$2:$E$23,2,0)</f>
        <v>Office Chair</v>
      </c>
      <c r="R507" t="str">
        <f>VLOOKUP(Table1[[#This Row],[Product ID]],Products!$A$2:$E$23,3,0)</f>
        <v>Furniture</v>
      </c>
      <c r="S507" t="str">
        <f>VLOOKUP(C507,Customers!$A$2:$F$201,4,0)</f>
        <v>Karnataka</v>
      </c>
      <c r="T507" t="str">
        <f>VLOOKUP(Table1[[#This Row],[Customer ID]],Customers!$A$2:$F$201,5,0)</f>
        <v>South</v>
      </c>
      <c r="U507" t="str">
        <f>VLOOKUP(Table1[[#This Row],[Customer ID]],Customers!$A$2:$F$201,6,0)</f>
        <v>Corporate</v>
      </c>
      <c r="V507" t="str">
        <f>TEXT(Table1[[#This Row],[Order Date]],"MMM")</f>
        <v>Nov</v>
      </c>
      <c r="W507" t="str">
        <f>TEXT(Table1[[#This Row],[Order Date]],"yyyy")</f>
        <v>2024</v>
      </c>
    </row>
    <row r="508" spans="1:23" x14ac:dyDescent="0.25">
      <c r="A508" s="2" t="s">
        <v>739</v>
      </c>
      <c r="B508" s="4">
        <v>45610</v>
      </c>
      <c r="C508" s="2" t="s">
        <v>224</v>
      </c>
      <c r="D508" s="2" t="str">
        <f>TEXT(Table1[[#This Row],[Order Date]],"mmmm")</f>
        <v>November</v>
      </c>
      <c r="E508" s="2" t="s">
        <v>127</v>
      </c>
      <c r="F508" s="2">
        <v>1</v>
      </c>
      <c r="G508" s="5">
        <v>0</v>
      </c>
      <c r="H508" s="2" t="s">
        <v>30</v>
      </c>
      <c r="I508" s="2" t="s">
        <v>31</v>
      </c>
      <c r="J508" s="2" t="s">
        <v>21</v>
      </c>
      <c r="K508">
        <f>VLOOKUP(E508,Products!$A$2:$E$23,5,0)</f>
        <v>1999</v>
      </c>
      <c r="L508">
        <f>VLOOKUP(E508,Products!$A$2:$E$23,4,0)</f>
        <v>1200</v>
      </c>
      <c r="M508" s="2">
        <f>K508*F508-Table1[[#This Row],[discount_amount]]</f>
        <v>1999</v>
      </c>
      <c r="N508">
        <f t="shared" si="15"/>
        <v>1200</v>
      </c>
      <c r="O508">
        <f t="shared" si="14"/>
        <v>799</v>
      </c>
      <c r="P508">
        <f>Table1[[#This Row],[Quantity]]*Table1[[#This Row],[unit_price]]*Table1[[#This Row],[Discount]]</f>
        <v>0</v>
      </c>
      <c r="Q508" t="str">
        <f>VLOOKUP(E508,Products!$A$2:$E$23,2,0)</f>
        <v>Bluetooth Speaker</v>
      </c>
      <c r="R508" t="str">
        <f>VLOOKUP(Table1[[#This Row],[Product ID]],Products!$A$2:$E$23,3,0)</f>
        <v>Electronics</v>
      </c>
      <c r="S508" t="str">
        <f>VLOOKUP(C508,Customers!$A$2:$F$201,4,0)</f>
        <v>Uttar Pradesh</v>
      </c>
      <c r="T508" t="str">
        <f>VLOOKUP(Table1[[#This Row],[Customer ID]],Customers!$A$2:$F$201,5,0)</f>
        <v>North</v>
      </c>
      <c r="U508" t="str">
        <f>VLOOKUP(Table1[[#This Row],[Customer ID]],Customers!$A$2:$F$201,6,0)</f>
        <v>Consumer</v>
      </c>
      <c r="V508" t="str">
        <f>TEXT(Table1[[#This Row],[Order Date]],"MMM")</f>
        <v>Nov</v>
      </c>
      <c r="W508" t="str">
        <f>TEXT(Table1[[#This Row],[Order Date]],"yyyy")</f>
        <v>2024</v>
      </c>
    </row>
    <row r="509" spans="1:23" x14ac:dyDescent="0.25">
      <c r="A509" s="2" t="s">
        <v>740</v>
      </c>
      <c r="B509" s="4">
        <v>45611</v>
      </c>
      <c r="C509" s="2" t="s">
        <v>458</v>
      </c>
      <c r="D509" s="2" t="str">
        <f>TEXT(Table1[[#This Row],[Order Date]],"mmmm")</f>
        <v>November</v>
      </c>
      <c r="E509" s="2" t="s">
        <v>111</v>
      </c>
      <c r="F509" s="2">
        <v>2</v>
      </c>
      <c r="G509" s="5">
        <v>0.1</v>
      </c>
      <c r="H509" s="2" t="s">
        <v>30</v>
      </c>
      <c r="I509" s="2" t="s">
        <v>46</v>
      </c>
      <c r="J509" s="2" t="s">
        <v>21</v>
      </c>
      <c r="K509">
        <f>VLOOKUP(E509,Products!$A$2:$E$23,5,0)</f>
        <v>240</v>
      </c>
      <c r="L509">
        <f>VLOOKUP(E509,Products!$A$2:$E$23,4,0)</f>
        <v>140</v>
      </c>
      <c r="M509" s="2">
        <f>K509*F509-Table1[[#This Row],[discount_amount]]</f>
        <v>432</v>
      </c>
      <c r="N509">
        <f t="shared" si="15"/>
        <v>280</v>
      </c>
      <c r="O509">
        <f t="shared" si="14"/>
        <v>152</v>
      </c>
      <c r="P509">
        <f>Table1[[#This Row],[Quantity]]*Table1[[#This Row],[unit_price]]*Table1[[#This Row],[Discount]]</f>
        <v>48</v>
      </c>
      <c r="Q509" t="str">
        <f>VLOOKUP(E509,Products!$A$2:$E$23,2,0)</f>
        <v>Whiteboard Marker Set</v>
      </c>
      <c r="R509" t="str">
        <f>VLOOKUP(Table1[[#This Row],[Product ID]],Products!$A$2:$E$23,3,0)</f>
        <v>Office Supplies</v>
      </c>
      <c r="S509" t="str">
        <f>VLOOKUP(C509,Customers!$A$2:$F$201,4,0)</f>
        <v>Gujarat</v>
      </c>
      <c r="T509" t="str">
        <f>VLOOKUP(Table1[[#This Row],[Customer ID]],Customers!$A$2:$F$201,5,0)</f>
        <v>West</v>
      </c>
      <c r="U509" t="str">
        <f>VLOOKUP(Table1[[#This Row],[Customer ID]],Customers!$A$2:$F$201,6,0)</f>
        <v>Consumer</v>
      </c>
      <c r="V509" t="str">
        <f>TEXT(Table1[[#This Row],[Order Date]],"MMM")</f>
        <v>Nov</v>
      </c>
      <c r="W509" t="str">
        <f>TEXT(Table1[[#This Row],[Order Date]],"yyyy")</f>
        <v>2024</v>
      </c>
    </row>
    <row r="510" spans="1:23" x14ac:dyDescent="0.25">
      <c r="A510" s="2" t="s">
        <v>741</v>
      </c>
      <c r="B510" s="4">
        <v>45611</v>
      </c>
      <c r="C510" s="2" t="s">
        <v>150</v>
      </c>
      <c r="D510" s="2" t="str">
        <f>TEXT(Table1[[#This Row],[Order Date]],"mmmm")</f>
        <v>November</v>
      </c>
      <c r="E510" s="2" t="s">
        <v>118</v>
      </c>
      <c r="F510" s="2">
        <v>6</v>
      </c>
      <c r="G510" s="5">
        <v>0.1</v>
      </c>
      <c r="H510" s="2" t="s">
        <v>19</v>
      </c>
      <c r="I510" s="2" t="s">
        <v>38</v>
      </c>
      <c r="J510" s="2" t="s">
        <v>21</v>
      </c>
      <c r="K510">
        <f>VLOOKUP(E510,Products!$A$2:$E$23,5,0)</f>
        <v>150</v>
      </c>
      <c r="L510">
        <f>VLOOKUP(E510,Products!$A$2:$E$23,4,0)</f>
        <v>90</v>
      </c>
      <c r="M510" s="2">
        <f>K510*F510-Table1[[#This Row],[discount_amount]]</f>
        <v>810</v>
      </c>
      <c r="N510">
        <f t="shared" si="15"/>
        <v>540</v>
      </c>
      <c r="O510">
        <f t="shared" si="14"/>
        <v>270</v>
      </c>
      <c r="P510">
        <f>Table1[[#This Row],[Quantity]]*Table1[[#This Row],[unit_price]]*Table1[[#This Row],[Discount]]</f>
        <v>90</v>
      </c>
      <c r="Q510" t="str">
        <f>VLOOKUP(E510,Products!$A$2:$E$23,2,0)</f>
        <v>Gel Pen Box</v>
      </c>
      <c r="R510" t="str">
        <f>VLOOKUP(Table1[[#This Row],[Product ID]],Products!$A$2:$E$23,3,0)</f>
        <v>Office Supplies</v>
      </c>
      <c r="S510" t="str">
        <f>VLOOKUP(C510,Customers!$A$2:$F$201,4,0)</f>
        <v>Delhi</v>
      </c>
      <c r="T510" t="str">
        <f>VLOOKUP(Table1[[#This Row],[Customer ID]],Customers!$A$2:$F$201,5,0)</f>
        <v>North</v>
      </c>
      <c r="U510" t="str">
        <f>VLOOKUP(Table1[[#This Row],[Customer ID]],Customers!$A$2:$F$201,6,0)</f>
        <v>Corporate</v>
      </c>
      <c r="V510" t="str">
        <f>TEXT(Table1[[#This Row],[Order Date]],"MMM")</f>
        <v>Nov</v>
      </c>
      <c r="W510" t="str">
        <f>TEXT(Table1[[#This Row],[Order Date]],"yyyy")</f>
        <v>2024</v>
      </c>
    </row>
    <row r="511" spans="1:23" x14ac:dyDescent="0.25">
      <c r="A511" s="2" t="s">
        <v>742</v>
      </c>
      <c r="B511" s="4">
        <v>45612</v>
      </c>
      <c r="C511" s="2" t="s">
        <v>353</v>
      </c>
      <c r="D511" s="2" t="str">
        <f>TEXT(Table1[[#This Row],[Order Date]],"mmmm")</f>
        <v>November</v>
      </c>
      <c r="E511" s="2" t="s">
        <v>60</v>
      </c>
      <c r="F511" s="2">
        <v>2</v>
      </c>
      <c r="G511" s="5">
        <v>0</v>
      </c>
      <c r="H511" s="2" t="s">
        <v>19</v>
      </c>
      <c r="I511" s="2" t="s">
        <v>46</v>
      </c>
      <c r="J511" s="2" t="s">
        <v>94</v>
      </c>
      <c r="K511">
        <f>VLOOKUP(E511,Products!$A$2:$E$23,5,0)</f>
        <v>449</v>
      </c>
      <c r="L511">
        <f>VLOOKUP(E511,Products!$A$2:$E$23,4,0)</f>
        <v>260</v>
      </c>
      <c r="M511" s="2">
        <f>K511*F511-Table1[[#This Row],[discount_amount]]</f>
        <v>898</v>
      </c>
      <c r="N511">
        <f t="shared" si="15"/>
        <v>520</v>
      </c>
      <c r="O511">
        <f t="shared" si="14"/>
        <v>378</v>
      </c>
      <c r="P511">
        <f>Table1[[#This Row],[Quantity]]*Table1[[#This Row],[unit_price]]*Table1[[#This Row],[Discount]]</f>
        <v>0</v>
      </c>
      <c r="Q511" t="str">
        <f>VLOOKUP(E511,Products!$A$2:$E$23,2,0)</f>
        <v>Desk Organizer</v>
      </c>
      <c r="R511" t="str">
        <f>VLOOKUP(Table1[[#This Row],[Product ID]],Products!$A$2:$E$23,3,0)</f>
        <v>Office Supplies</v>
      </c>
      <c r="S511" t="str">
        <f>VLOOKUP(C511,Customers!$A$2:$F$201,4,0)</f>
        <v>Maharashtra</v>
      </c>
      <c r="T511" t="str">
        <f>VLOOKUP(Table1[[#This Row],[Customer ID]],Customers!$A$2:$F$201,5,0)</f>
        <v>West</v>
      </c>
      <c r="U511" t="str">
        <f>VLOOKUP(Table1[[#This Row],[Customer ID]],Customers!$A$2:$F$201,6,0)</f>
        <v>Corporate</v>
      </c>
      <c r="V511" t="str">
        <f>TEXT(Table1[[#This Row],[Order Date]],"MMM")</f>
        <v>Nov</v>
      </c>
      <c r="W511" t="str">
        <f>TEXT(Table1[[#This Row],[Order Date]],"yyyy")</f>
        <v>2024</v>
      </c>
    </row>
    <row r="512" spans="1:23" x14ac:dyDescent="0.25">
      <c r="A512" s="2" t="s">
        <v>743</v>
      </c>
      <c r="B512" s="4">
        <v>45612</v>
      </c>
      <c r="C512" s="2" t="s">
        <v>28</v>
      </c>
      <c r="D512" s="2" t="str">
        <f>TEXT(Table1[[#This Row],[Order Date]],"mmmm")</f>
        <v>November</v>
      </c>
      <c r="E512" s="2" t="s">
        <v>57</v>
      </c>
      <c r="F512" s="2">
        <v>2</v>
      </c>
      <c r="G512" s="5">
        <v>0.15</v>
      </c>
      <c r="H512" s="2" t="s">
        <v>19</v>
      </c>
      <c r="I512" s="2" t="s">
        <v>20</v>
      </c>
      <c r="J512" s="2" t="s">
        <v>21</v>
      </c>
      <c r="K512">
        <f>VLOOKUP(E512,Products!$A$2:$E$23,5,0)</f>
        <v>1599</v>
      </c>
      <c r="L512">
        <f>VLOOKUP(E512,Products!$A$2:$E$23,4,0)</f>
        <v>800</v>
      </c>
      <c r="M512" s="2">
        <f>K512*F512-Table1[[#This Row],[discount_amount]]</f>
        <v>2718.3</v>
      </c>
      <c r="N512">
        <f t="shared" si="15"/>
        <v>1600</v>
      </c>
      <c r="O512">
        <f t="shared" si="14"/>
        <v>1118.3000000000002</v>
      </c>
      <c r="P512">
        <f>Table1[[#This Row],[Quantity]]*Table1[[#This Row],[unit_price]]*Table1[[#This Row],[Discount]]</f>
        <v>479.7</v>
      </c>
      <c r="Q512" t="str">
        <f>VLOOKUP(E512,Products!$A$2:$E$23,2,0)</f>
        <v>Hoodie</v>
      </c>
      <c r="R512" t="str">
        <f>VLOOKUP(Table1[[#This Row],[Product ID]],Products!$A$2:$E$23,3,0)</f>
        <v>Clothing</v>
      </c>
      <c r="S512" t="str">
        <f>VLOOKUP(C512,Customers!$A$2:$F$201,4,0)</f>
        <v>Maharashtra</v>
      </c>
      <c r="T512" t="str">
        <f>VLOOKUP(Table1[[#This Row],[Customer ID]],Customers!$A$2:$F$201,5,0)</f>
        <v>West</v>
      </c>
      <c r="U512" t="str">
        <f>VLOOKUP(Table1[[#This Row],[Customer ID]],Customers!$A$2:$F$201,6,0)</f>
        <v>Consumer</v>
      </c>
      <c r="V512" t="str">
        <f>TEXT(Table1[[#This Row],[Order Date]],"MMM")</f>
        <v>Nov</v>
      </c>
      <c r="W512" t="str">
        <f>TEXT(Table1[[#This Row],[Order Date]],"yyyy")</f>
        <v>2024</v>
      </c>
    </row>
    <row r="513" spans="1:23" x14ac:dyDescent="0.25">
      <c r="A513" s="2" t="s">
        <v>744</v>
      </c>
      <c r="B513" s="4">
        <v>45612</v>
      </c>
      <c r="C513" s="2" t="s">
        <v>171</v>
      </c>
      <c r="D513" s="2" t="str">
        <f>TEXT(Table1[[#This Row],[Order Date]],"mmmm")</f>
        <v>November</v>
      </c>
      <c r="E513" s="2" t="s">
        <v>57</v>
      </c>
      <c r="F513" s="2">
        <v>2</v>
      </c>
      <c r="G513" s="5">
        <v>0.15</v>
      </c>
      <c r="H513" s="2" t="s">
        <v>30</v>
      </c>
      <c r="I513" s="2" t="s">
        <v>38</v>
      </c>
      <c r="J513" s="2" t="s">
        <v>79</v>
      </c>
      <c r="K513">
        <f>VLOOKUP(E513,Products!$A$2:$E$23,5,0)</f>
        <v>1599</v>
      </c>
      <c r="L513">
        <f>VLOOKUP(E513,Products!$A$2:$E$23,4,0)</f>
        <v>800</v>
      </c>
      <c r="M513" s="2">
        <f>K513*F513-Table1[[#This Row],[discount_amount]]</f>
        <v>2718.3</v>
      </c>
      <c r="N513">
        <f t="shared" si="15"/>
        <v>1600</v>
      </c>
      <c r="O513">
        <f t="shared" si="14"/>
        <v>1118.3000000000002</v>
      </c>
      <c r="P513">
        <f>Table1[[#This Row],[Quantity]]*Table1[[#This Row],[unit_price]]*Table1[[#This Row],[Discount]]</f>
        <v>479.7</v>
      </c>
      <c r="Q513" t="str">
        <f>VLOOKUP(E513,Products!$A$2:$E$23,2,0)</f>
        <v>Hoodie</v>
      </c>
      <c r="R513" t="str">
        <f>VLOOKUP(Table1[[#This Row],[Product ID]],Products!$A$2:$E$23,3,0)</f>
        <v>Clothing</v>
      </c>
      <c r="S513" t="str">
        <f>VLOOKUP(C513,Customers!$A$2:$F$201,4,0)</f>
        <v>Delhi</v>
      </c>
      <c r="T513" t="str">
        <f>VLOOKUP(Table1[[#This Row],[Customer ID]],Customers!$A$2:$F$201,5,0)</f>
        <v>North</v>
      </c>
      <c r="U513" t="str">
        <f>VLOOKUP(Table1[[#This Row],[Customer ID]],Customers!$A$2:$F$201,6,0)</f>
        <v>Consumer</v>
      </c>
      <c r="V513" t="str">
        <f>TEXT(Table1[[#This Row],[Order Date]],"MMM")</f>
        <v>Nov</v>
      </c>
      <c r="W513" t="str">
        <f>TEXT(Table1[[#This Row],[Order Date]],"yyyy")</f>
        <v>2024</v>
      </c>
    </row>
    <row r="514" spans="1:23" x14ac:dyDescent="0.25">
      <c r="A514" s="2" t="s">
        <v>745</v>
      </c>
      <c r="B514" s="4">
        <v>45614</v>
      </c>
      <c r="C514" s="2" t="s">
        <v>462</v>
      </c>
      <c r="D514" s="2" t="str">
        <f>TEXT(Table1[[#This Row],[Order Date]],"mmmm")</f>
        <v>November</v>
      </c>
      <c r="E514" s="2" t="s">
        <v>73</v>
      </c>
      <c r="F514" s="2">
        <v>5</v>
      </c>
      <c r="G514" s="5">
        <v>0</v>
      </c>
      <c r="H514" s="2" t="s">
        <v>25</v>
      </c>
      <c r="I514" s="2" t="s">
        <v>38</v>
      </c>
      <c r="J514" s="2" t="s">
        <v>21</v>
      </c>
      <c r="K514">
        <f>VLOOKUP(E514,Products!$A$2:$E$23,5,0)</f>
        <v>6499</v>
      </c>
      <c r="L514">
        <f>VLOOKUP(E514,Products!$A$2:$E$23,4,0)</f>
        <v>4200</v>
      </c>
      <c r="M514" s="2">
        <f>K514*F514-Table1[[#This Row],[discount_amount]]</f>
        <v>32495</v>
      </c>
      <c r="N514">
        <f t="shared" si="15"/>
        <v>21000</v>
      </c>
      <c r="O514">
        <f t="shared" ref="O514:O577" si="16">M514-N514</f>
        <v>11495</v>
      </c>
      <c r="P514">
        <f>Table1[[#This Row],[Quantity]]*Table1[[#This Row],[unit_price]]*Table1[[#This Row],[Discount]]</f>
        <v>0</v>
      </c>
      <c r="Q514" t="str">
        <f>VLOOKUP(E514,Products!$A$2:$E$23,2,0)</f>
        <v>Study Table</v>
      </c>
      <c r="R514" t="str">
        <f>VLOOKUP(Table1[[#This Row],[Product ID]],Products!$A$2:$E$23,3,0)</f>
        <v>Furniture</v>
      </c>
      <c r="S514" t="str">
        <f>VLOOKUP(C514,Customers!$A$2:$F$201,4,0)</f>
        <v>Kerala</v>
      </c>
      <c r="T514" t="str">
        <f>VLOOKUP(Table1[[#This Row],[Customer ID]],Customers!$A$2:$F$201,5,0)</f>
        <v>South</v>
      </c>
      <c r="U514" t="str">
        <f>VLOOKUP(Table1[[#This Row],[Customer ID]],Customers!$A$2:$F$201,6,0)</f>
        <v>Consumer</v>
      </c>
      <c r="V514" t="str">
        <f>TEXT(Table1[[#This Row],[Order Date]],"MMM")</f>
        <v>Nov</v>
      </c>
      <c r="W514" t="str">
        <f>TEXT(Table1[[#This Row],[Order Date]],"yyyy")</f>
        <v>2024</v>
      </c>
    </row>
    <row r="515" spans="1:23" x14ac:dyDescent="0.25">
      <c r="A515" s="2" t="s">
        <v>746</v>
      </c>
      <c r="B515" s="4">
        <v>45615</v>
      </c>
      <c r="C515" s="2" t="s">
        <v>254</v>
      </c>
      <c r="D515" s="2" t="str">
        <f>TEXT(Table1[[#This Row],[Order Date]],"mmmm")</f>
        <v>November</v>
      </c>
      <c r="E515" s="2" t="s">
        <v>118</v>
      </c>
      <c r="F515" s="2">
        <v>1</v>
      </c>
      <c r="G515" s="5">
        <v>0.05</v>
      </c>
      <c r="H515" s="2" t="s">
        <v>25</v>
      </c>
      <c r="I515" s="2" t="s">
        <v>31</v>
      </c>
      <c r="J515" s="2" t="s">
        <v>21</v>
      </c>
      <c r="K515">
        <f>VLOOKUP(E515,Products!$A$2:$E$23,5,0)</f>
        <v>150</v>
      </c>
      <c r="L515">
        <f>VLOOKUP(E515,Products!$A$2:$E$23,4,0)</f>
        <v>90</v>
      </c>
      <c r="M515" s="2">
        <f>K515*F515-Table1[[#This Row],[discount_amount]]</f>
        <v>142.5</v>
      </c>
      <c r="N515">
        <f t="shared" ref="N515:N578" si="17">F515*L515</f>
        <v>90</v>
      </c>
      <c r="O515">
        <f t="shared" si="16"/>
        <v>52.5</v>
      </c>
      <c r="P515">
        <f>Table1[[#This Row],[Quantity]]*Table1[[#This Row],[unit_price]]*Table1[[#This Row],[Discount]]</f>
        <v>7.5</v>
      </c>
      <c r="Q515" t="str">
        <f>VLOOKUP(E515,Products!$A$2:$E$23,2,0)</f>
        <v>Gel Pen Box</v>
      </c>
      <c r="R515" t="str">
        <f>VLOOKUP(Table1[[#This Row],[Product ID]],Products!$A$2:$E$23,3,0)</f>
        <v>Office Supplies</v>
      </c>
      <c r="S515" t="str">
        <f>VLOOKUP(C515,Customers!$A$2:$F$201,4,0)</f>
        <v>Rajasthan</v>
      </c>
      <c r="T515" t="str">
        <f>VLOOKUP(Table1[[#This Row],[Customer ID]],Customers!$A$2:$F$201,5,0)</f>
        <v>North</v>
      </c>
      <c r="U515" t="str">
        <f>VLOOKUP(Table1[[#This Row],[Customer ID]],Customers!$A$2:$F$201,6,0)</f>
        <v>Consumer</v>
      </c>
      <c r="V515" t="str">
        <f>TEXT(Table1[[#This Row],[Order Date]],"MMM")</f>
        <v>Nov</v>
      </c>
      <c r="W515" t="str">
        <f>TEXT(Table1[[#This Row],[Order Date]],"yyyy")</f>
        <v>2024</v>
      </c>
    </row>
    <row r="516" spans="1:23" x14ac:dyDescent="0.25">
      <c r="A516" s="2" t="s">
        <v>747</v>
      </c>
      <c r="B516" s="4">
        <v>45615</v>
      </c>
      <c r="C516" s="2" t="s">
        <v>525</v>
      </c>
      <c r="D516" s="2" t="str">
        <f>TEXT(Table1[[#This Row],[Order Date]],"mmmm")</f>
        <v>November</v>
      </c>
      <c r="E516" s="2" t="s">
        <v>66</v>
      </c>
      <c r="F516" s="2">
        <v>1</v>
      </c>
      <c r="G516" s="5">
        <v>0</v>
      </c>
      <c r="H516" s="2" t="s">
        <v>25</v>
      </c>
      <c r="I516" s="2" t="s">
        <v>26</v>
      </c>
      <c r="J516" s="2" t="s">
        <v>21</v>
      </c>
      <c r="K516">
        <f>VLOOKUP(E516,Products!$A$2:$E$23,5,0)</f>
        <v>1299</v>
      </c>
      <c r="L516">
        <f>VLOOKUP(E516,Products!$A$2:$E$23,4,0)</f>
        <v>800</v>
      </c>
      <c r="M516" s="2">
        <f>K516*F516-Table1[[#This Row],[discount_amount]]</f>
        <v>1299</v>
      </c>
      <c r="N516">
        <f t="shared" si="17"/>
        <v>800</v>
      </c>
      <c r="O516">
        <f t="shared" si="16"/>
        <v>499</v>
      </c>
      <c r="P516">
        <f>Table1[[#This Row],[Quantity]]*Table1[[#This Row],[unit_price]]*Table1[[#This Row],[Discount]]</f>
        <v>0</v>
      </c>
      <c r="Q516" t="str">
        <f>VLOOKUP(E516,Products!$A$2:$E$23,2,0)</f>
        <v>Power Bank 10000mAh</v>
      </c>
      <c r="R516" t="str">
        <f>VLOOKUP(Table1[[#This Row],[Product ID]],Products!$A$2:$E$23,3,0)</f>
        <v>Electronics</v>
      </c>
      <c r="S516" t="str">
        <f>VLOOKUP(C516,Customers!$A$2:$F$201,4,0)</f>
        <v>Maharashtra</v>
      </c>
      <c r="T516" t="str">
        <f>VLOOKUP(Table1[[#This Row],[Customer ID]],Customers!$A$2:$F$201,5,0)</f>
        <v>West</v>
      </c>
      <c r="U516" t="str">
        <f>VLOOKUP(Table1[[#This Row],[Customer ID]],Customers!$A$2:$F$201,6,0)</f>
        <v>Consumer</v>
      </c>
      <c r="V516" t="str">
        <f>TEXT(Table1[[#This Row],[Order Date]],"MMM")</f>
        <v>Nov</v>
      </c>
      <c r="W516" t="str">
        <f>TEXT(Table1[[#This Row],[Order Date]],"yyyy")</f>
        <v>2024</v>
      </c>
    </row>
    <row r="517" spans="1:23" x14ac:dyDescent="0.25">
      <c r="A517" s="2" t="s">
        <v>748</v>
      </c>
      <c r="B517" s="4">
        <v>45616</v>
      </c>
      <c r="C517" s="2" t="s">
        <v>345</v>
      </c>
      <c r="D517" s="2" t="str">
        <f>TEXT(Table1[[#This Row],[Order Date]],"mmmm")</f>
        <v>November</v>
      </c>
      <c r="E517" s="2" t="s">
        <v>57</v>
      </c>
      <c r="F517" s="2">
        <v>1</v>
      </c>
      <c r="G517" s="5">
        <v>0.05</v>
      </c>
      <c r="H517" s="2" t="s">
        <v>30</v>
      </c>
      <c r="I517" s="2" t="s">
        <v>46</v>
      </c>
      <c r="J517" s="2" t="s">
        <v>21</v>
      </c>
      <c r="K517">
        <f>VLOOKUP(E517,Products!$A$2:$E$23,5,0)</f>
        <v>1599</v>
      </c>
      <c r="L517">
        <f>VLOOKUP(E517,Products!$A$2:$E$23,4,0)</f>
        <v>800</v>
      </c>
      <c r="M517" s="2">
        <f>K517*F517-Table1[[#This Row],[discount_amount]]</f>
        <v>1519.05</v>
      </c>
      <c r="N517">
        <f t="shared" si="17"/>
        <v>800</v>
      </c>
      <c r="O517">
        <f t="shared" si="16"/>
        <v>719.05</v>
      </c>
      <c r="P517">
        <f>Table1[[#This Row],[Quantity]]*Table1[[#This Row],[unit_price]]*Table1[[#This Row],[Discount]]</f>
        <v>79.95</v>
      </c>
      <c r="Q517" t="str">
        <f>VLOOKUP(E517,Products!$A$2:$E$23,2,0)</f>
        <v>Hoodie</v>
      </c>
      <c r="R517" t="str">
        <f>VLOOKUP(Table1[[#This Row],[Product ID]],Products!$A$2:$E$23,3,0)</f>
        <v>Clothing</v>
      </c>
      <c r="S517" t="str">
        <f>VLOOKUP(C517,Customers!$A$2:$F$201,4,0)</f>
        <v>Gujarat</v>
      </c>
      <c r="T517" t="str">
        <f>VLOOKUP(Table1[[#This Row],[Customer ID]],Customers!$A$2:$F$201,5,0)</f>
        <v>West</v>
      </c>
      <c r="U517" t="str">
        <f>VLOOKUP(Table1[[#This Row],[Customer ID]],Customers!$A$2:$F$201,6,0)</f>
        <v>Consumer</v>
      </c>
      <c r="V517" t="str">
        <f>TEXT(Table1[[#This Row],[Order Date]],"MMM")</f>
        <v>Nov</v>
      </c>
      <c r="W517" t="str">
        <f>TEXT(Table1[[#This Row],[Order Date]],"yyyy")</f>
        <v>2024</v>
      </c>
    </row>
    <row r="518" spans="1:23" x14ac:dyDescent="0.25">
      <c r="A518" s="2" t="s">
        <v>749</v>
      </c>
      <c r="B518" s="4">
        <v>45617</v>
      </c>
      <c r="C518" s="2" t="s">
        <v>162</v>
      </c>
      <c r="D518" s="2" t="str">
        <f>TEXT(Table1[[#This Row],[Order Date]],"mmmm")</f>
        <v>November</v>
      </c>
      <c r="E518" s="2" t="s">
        <v>111</v>
      </c>
      <c r="F518" s="2">
        <v>8</v>
      </c>
      <c r="G518" s="5">
        <v>0.1</v>
      </c>
      <c r="H518" s="2" t="s">
        <v>19</v>
      </c>
      <c r="I518" s="2" t="s">
        <v>46</v>
      </c>
      <c r="J518" s="2" t="s">
        <v>21</v>
      </c>
      <c r="K518">
        <f>VLOOKUP(E518,Products!$A$2:$E$23,5,0)</f>
        <v>240</v>
      </c>
      <c r="L518">
        <f>VLOOKUP(E518,Products!$A$2:$E$23,4,0)</f>
        <v>140</v>
      </c>
      <c r="M518" s="2">
        <f>K518*F518-Table1[[#This Row],[discount_amount]]</f>
        <v>1728</v>
      </c>
      <c r="N518">
        <f t="shared" si="17"/>
        <v>1120</v>
      </c>
      <c r="O518">
        <f t="shared" si="16"/>
        <v>608</v>
      </c>
      <c r="P518">
        <f>Table1[[#This Row],[Quantity]]*Table1[[#This Row],[unit_price]]*Table1[[#This Row],[Discount]]</f>
        <v>192</v>
      </c>
      <c r="Q518" t="str">
        <f>VLOOKUP(E518,Products!$A$2:$E$23,2,0)</f>
        <v>Whiteboard Marker Set</v>
      </c>
      <c r="R518" t="str">
        <f>VLOOKUP(Table1[[#This Row],[Product ID]],Products!$A$2:$E$23,3,0)</f>
        <v>Office Supplies</v>
      </c>
      <c r="S518" t="str">
        <f>VLOOKUP(C518,Customers!$A$2:$F$201,4,0)</f>
        <v>Gujarat</v>
      </c>
      <c r="T518" t="str">
        <f>VLOOKUP(Table1[[#This Row],[Customer ID]],Customers!$A$2:$F$201,5,0)</f>
        <v>West</v>
      </c>
      <c r="U518" t="str">
        <f>VLOOKUP(Table1[[#This Row],[Customer ID]],Customers!$A$2:$F$201,6,0)</f>
        <v>Home Office</v>
      </c>
      <c r="V518" t="str">
        <f>TEXT(Table1[[#This Row],[Order Date]],"MMM")</f>
        <v>Nov</v>
      </c>
      <c r="W518" t="str">
        <f>TEXT(Table1[[#This Row],[Order Date]],"yyyy")</f>
        <v>2024</v>
      </c>
    </row>
    <row r="519" spans="1:23" x14ac:dyDescent="0.25">
      <c r="A519" s="2" t="s">
        <v>750</v>
      </c>
      <c r="B519" s="4">
        <v>45618</v>
      </c>
      <c r="C519" s="2" t="s">
        <v>339</v>
      </c>
      <c r="D519" s="2" t="str">
        <f>TEXT(Table1[[#This Row],[Order Date]],"mmmm")</f>
        <v>November</v>
      </c>
      <c r="E519" s="2" t="s">
        <v>49</v>
      </c>
      <c r="F519" s="2">
        <v>5</v>
      </c>
      <c r="G519" s="5">
        <v>0.1</v>
      </c>
      <c r="H519" s="2" t="s">
        <v>30</v>
      </c>
      <c r="I519" s="2" t="s">
        <v>20</v>
      </c>
      <c r="J519" s="2" t="s">
        <v>21</v>
      </c>
      <c r="K519">
        <f>VLOOKUP(E519,Products!$A$2:$E$23,5,0)</f>
        <v>700</v>
      </c>
      <c r="L519">
        <f>VLOOKUP(E519,Products!$A$2:$E$23,4,0)</f>
        <v>450</v>
      </c>
      <c r="M519" s="2">
        <f>K519*F519-Table1[[#This Row],[discount_amount]]</f>
        <v>3150</v>
      </c>
      <c r="N519">
        <f t="shared" si="17"/>
        <v>2250</v>
      </c>
      <c r="O519">
        <f t="shared" si="16"/>
        <v>900</v>
      </c>
      <c r="P519">
        <f>Table1[[#This Row],[Quantity]]*Table1[[#This Row],[unit_price]]*Table1[[#This Row],[Discount]]</f>
        <v>350</v>
      </c>
      <c r="Q519" t="str">
        <f>VLOOKUP(E519,Products!$A$2:$E$23,2,0)</f>
        <v>Wireless Mouse</v>
      </c>
      <c r="R519" t="str">
        <f>VLOOKUP(Table1[[#This Row],[Product ID]],Products!$A$2:$E$23,3,0)</f>
        <v>Electronics</v>
      </c>
      <c r="S519" t="str">
        <f>VLOOKUP(C519,Customers!$A$2:$F$201,4,0)</f>
        <v>Tamil Nadu</v>
      </c>
      <c r="T519" t="str">
        <f>VLOOKUP(Table1[[#This Row],[Customer ID]],Customers!$A$2:$F$201,5,0)</f>
        <v>South</v>
      </c>
      <c r="U519" t="str">
        <f>VLOOKUP(Table1[[#This Row],[Customer ID]],Customers!$A$2:$F$201,6,0)</f>
        <v>Corporate</v>
      </c>
      <c r="V519" t="str">
        <f>TEXT(Table1[[#This Row],[Order Date]],"MMM")</f>
        <v>Nov</v>
      </c>
      <c r="W519" t="str">
        <f>TEXT(Table1[[#This Row],[Order Date]],"yyyy")</f>
        <v>2024</v>
      </c>
    </row>
    <row r="520" spans="1:23" x14ac:dyDescent="0.25">
      <c r="A520" s="2" t="s">
        <v>751</v>
      </c>
      <c r="B520" s="4">
        <v>45620</v>
      </c>
      <c r="C520" s="2" t="s">
        <v>752</v>
      </c>
      <c r="D520" s="2" t="str">
        <f>TEXT(Table1[[#This Row],[Order Date]],"mmmm")</f>
        <v>November</v>
      </c>
      <c r="E520" s="2" t="s">
        <v>54</v>
      </c>
      <c r="F520" s="2">
        <v>6</v>
      </c>
      <c r="G520" s="5">
        <v>0.1</v>
      </c>
      <c r="H520" s="2" t="s">
        <v>30</v>
      </c>
      <c r="I520" s="2" t="s">
        <v>31</v>
      </c>
      <c r="J520" s="2" t="s">
        <v>21</v>
      </c>
      <c r="K520">
        <f>VLOOKUP(E520,Products!$A$2:$E$23,5,0)</f>
        <v>299</v>
      </c>
      <c r="L520">
        <f>VLOOKUP(E520,Products!$A$2:$E$23,4,0)</f>
        <v>180</v>
      </c>
      <c r="M520" s="2">
        <f>K520*F520-Table1[[#This Row],[discount_amount]]</f>
        <v>1614.6</v>
      </c>
      <c r="N520">
        <f t="shared" si="17"/>
        <v>1080</v>
      </c>
      <c r="O520">
        <f t="shared" si="16"/>
        <v>534.59999999999991</v>
      </c>
      <c r="P520">
        <f>Table1[[#This Row],[Quantity]]*Table1[[#This Row],[unit_price]]*Table1[[#This Row],[Discount]]</f>
        <v>179.4</v>
      </c>
      <c r="Q520" t="str">
        <f>VLOOKUP(E520,Products!$A$2:$E$23,2,0)</f>
        <v>Notebook Pack of 5</v>
      </c>
      <c r="R520" t="str">
        <f>VLOOKUP(Table1[[#This Row],[Product ID]],Products!$A$2:$E$23,3,0)</f>
        <v>Office Supplies</v>
      </c>
      <c r="S520" t="str">
        <f>VLOOKUP(C520,Customers!$A$2:$F$201,4,0)</f>
        <v>Chandigarh</v>
      </c>
      <c r="T520" t="str">
        <f>VLOOKUP(Table1[[#This Row],[Customer ID]],Customers!$A$2:$F$201,5,0)</f>
        <v>North</v>
      </c>
      <c r="U520" t="str">
        <f>VLOOKUP(Table1[[#This Row],[Customer ID]],Customers!$A$2:$F$201,6,0)</f>
        <v>Corporate</v>
      </c>
      <c r="V520" t="str">
        <f>TEXT(Table1[[#This Row],[Order Date]],"MMM")</f>
        <v>Nov</v>
      </c>
      <c r="W520" t="str">
        <f>TEXT(Table1[[#This Row],[Order Date]],"yyyy")</f>
        <v>2024</v>
      </c>
    </row>
    <row r="521" spans="1:23" x14ac:dyDescent="0.25">
      <c r="A521" s="2" t="s">
        <v>753</v>
      </c>
      <c r="B521" s="4">
        <v>45621</v>
      </c>
      <c r="C521" s="2" t="s">
        <v>33</v>
      </c>
      <c r="D521" s="2" t="str">
        <f>TEXT(Table1[[#This Row],[Order Date]],"mmmm")</f>
        <v>November</v>
      </c>
      <c r="E521" s="2" t="s">
        <v>41</v>
      </c>
      <c r="F521" s="2">
        <v>6</v>
      </c>
      <c r="G521" s="5">
        <v>0.15</v>
      </c>
      <c r="H521" s="2" t="s">
        <v>25</v>
      </c>
      <c r="I521" s="2" t="s">
        <v>46</v>
      </c>
      <c r="J521" s="2" t="s">
        <v>21</v>
      </c>
      <c r="K521">
        <f>VLOOKUP(E521,Products!$A$2:$E$23,5,0)</f>
        <v>320</v>
      </c>
      <c r="L521">
        <f>VLOOKUP(E521,Products!$A$2:$E$23,4,0)</f>
        <v>220</v>
      </c>
      <c r="M521" s="2">
        <f>K521*F521-Table1[[#This Row],[discount_amount]]</f>
        <v>1632</v>
      </c>
      <c r="N521">
        <f t="shared" si="17"/>
        <v>1320</v>
      </c>
      <c r="O521">
        <f t="shared" si="16"/>
        <v>312</v>
      </c>
      <c r="P521">
        <f>Table1[[#This Row],[Quantity]]*Table1[[#This Row],[unit_price]]*Table1[[#This Row],[Discount]]</f>
        <v>288</v>
      </c>
      <c r="Q521" t="str">
        <f>VLOOKUP(E521,Products!$A$2:$E$23,2,0)</f>
        <v>A4 Paper Ream</v>
      </c>
      <c r="R521" t="str">
        <f>VLOOKUP(Table1[[#This Row],[Product ID]],Products!$A$2:$E$23,3,0)</f>
        <v>Office Supplies</v>
      </c>
      <c r="S521" t="str">
        <f>VLOOKUP(C521,Customers!$A$2:$F$201,4,0)</f>
        <v>West Bengal</v>
      </c>
      <c r="T521" t="str">
        <f>VLOOKUP(Table1[[#This Row],[Customer ID]],Customers!$A$2:$F$201,5,0)</f>
        <v>East</v>
      </c>
      <c r="U521" t="str">
        <f>VLOOKUP(Table1[[#This Row],[Customer ID]],Customers!$A$2:$F$201,6,0)</f>
        <v>Consumer</v>
      </c>
      <c r="V521" t="str">
        <f>TEXT(Table1[[#This Row],[Order Date]],"MMM")</f>
        <v>Nov</v>
      </c>
      <c r="W521" t="str">
        <f>TEXT(Table1[[#This Row],[Order Date]],"yyyy")</f>
        <v>2024</v>
      </c>
    </row>
    <row r="522" spans="1:23" x14ac:dyDescent="0.25">
      <c r="A522" s="2" t="s">
        <v>754</v>
      </c>
      <c r="B522" s="4">
        <v>45621</v>
      </c>
      <c r="C522" s="2" t="s">
        <v>188</v>
      </c>
      <c r="D522" s="2" t="str">
        <f>TEXT(Table1[[#This Row],[Order Date]],"mmmm")</f>
        <v>November</v>
      </c>
      <c r="E522" s="2" t="s">
        <v>29</v>
      </c>
      <c r="F522" s="2">
        <v>2</v>
      </c>
      <c r="G522" s="5">
        <v>0</v>
      </c>
      <c r="H522" s="2" t="s">
        <v>19</v>
      </c>
      <c r="I522" s="2" t="s">
        <v>20</v>
      </c>
      <c r="J522" s="2" t="s">
        <v>21</v>
      </c>
      <c r="K522">
        <f>VLOOKUP(E522,Products!$A$2:$E$23,5,0)</f>
        <v>599</v>
      </c>
      <c r="L522">
        <f>VLOOKUP(E522,Products!$A$2:$E$23,4,0)</f>
        <v>350</v>
      </c>
      <c r="M522" s="2">
        <f>K522*F522-Table1[[#This Row],[discount_amount]]</f>
        <v>1198</v>
      </c>
      <c r="N522">
        <f t="shared" si="17"/>
        <v>700</v>
      </c>
      <c r="O522">
        <f t="shared" si="16"/>
        <v>498</v>
      </c>
      <c r="P522">
        <f>Table1[[#This Row],[Quantity]]*Table1[[#This Row],[unit_price]]*Table1[[#This Row],[Discount]]</f>
        <v>0</v>
      </c>
      <c r="Q522" t="str">
        <f>VLOOKUP(E522,Products!$A$2:$E$23,2,0)</f>
        <v>USB Flash Drive 64GB</v>
      </c>
      <c r="R522" t="str">
        <f>VLOOKUP(Table1[[#This Row],[Product ID]],Products!$A$2:$E$23,3,0)</f>
        <v>Electronics</v>
      </c>
      <c r="S522" t="str">
        <f>VLOOKUP(C522,Customers!$A$2:$F$201,4,0)</f>
        <v>Bihar</v>
      </c>
      <c r="T522" t="str">
        <f>VLOOKUP(Table1[[#This Row],[Customer ID]],Customers!$A$2:$F$201,5,0)</f>
        <v>East</v>
      </c>
      <c r="U522" t="str">
        <f>VLOOKUP(Table1[[#This Row],[Customer ID]],Customers!$A$2:$F$201,6,0)</f>
        <v>Corporate</v>
      </c>
      <c r="V522" t="str">
        <f>TEXT(Table1[[#This Row],[Order Date]],"MMM")</f>
        <v>Nov</v>
      </c>
      <c r="W522" t="str">
        <f>TEXT(Table1[[#This Row],[Order Date]],"yyyy")</f>
        <v>2024</v>
      </c>
    </row>
    <row r="523" spans="1:23" x14ac:dyDescent="0.25">
      <c r="A523" s="2" t="s">
        <v>755</v>
      </c>
      <c r="B523" s="4">
        <v>45621</v>
      </c>
      <c r="C523" s="2" t="s">
        <v>144</v>
      </c>
      <c r="D523" s="2" t="str">
        <f>TEXT(Table1[[#This Row],[Order Date]],"mmmm")</f>
        <v>November</v>
      </c>
      <c r="E523" s="2" t="s">
        <v>49</v>
      </c>
      <c r="F523" s="2">
        <v>10</v>
      </c>
      <c r="G523" s="5">
        <v>0.1</v>
      </c>
      <c r="H523" s="2" t="s">
        <v>25</v>
      </c>
      <c r="I523" s="2" t="s">
        <v>26</v>
      </c>
      <c r="J523" s="2" t="s">
        <v>79</v>
      </c>
      <c r="K523">
        <f>VLOOKUP(E523,Products!$A$2:$E$23,5,0)</f>
        <v>700</v>
      </c>
      <c r="L523">
        <f>VLOOKUP(E523,Products!$A$2:$E$23,4,0)</f>
        <v>450</v>
      </c>
      <c r="M523" s="2">
        <f>K523*F523-Table1[[#This Row],[discount_amount]]</f>
        <v>6300</v>
      </c>
      <c r="N523">
        <f t="shared" si="17"/>
        <v>4500</v>
      </c>
      <c r="O523">
        <f t="shared" si="16"/>
        <v>1800</v>
      </c>
      <c r="P523">
        <f>Table1[[#This Row],[Quantity]]*Table1[[#This Row],[unit_price]]*Table1[[#This Row],[Discount]]</f>
        <v>700</v>
      </c>
      <c r="Q523" t="str">
        <f>VLOOKUP(E523,Products!$A$2:$E$23,2,0)</f>
        <v>Wireless Mouse</v>
      </c>
      <c r="R523" t="str">
        <f>VLOOKUP(Table1[[#This Row],[Product ID]],Products!$A$2:$E$23,3,0)</f>
        <v>Electronics</v>
      </c>
      <c r="S523" t="str">
        <f>VLOOKUP(C523,Customers!$A$2:$F$201,4,0)</f>
        <v>Maharashtra</v>
      </c>
      <c r="T523" t="str">
        <f>VLOOKUP(Table1[[#This Row],[Customer ID]],Customers!$A$2:$F$201,5,0)</f>
        <v>West</v>
      </c>
      <c r="U523" t="str">
        <f>VLOOKUP(Table1[[#This Row],[Customer ID]],Customers!$A$2:$F$201,6,0)</f>
        <v>Corporate</v>
      </c>
      <c r="V523" t="str">
        <f>TEXT(Table1[[#This Row],[Order Date]],"MMM")</f>
        <v>Nov</v>
      </c>
      <c r="W523" t="str">
        <f>TEXT(Table1[[#This Row],[Order Date]],"yyyy")</f>
        <v>2024</v>
      </c>
    </row>
    <row r="524" spans="1:23" x14ac:dyDescent="0.25">
      <c r="A524" s="2" t="s">
        <v>756</v>
      </c>
      <c r="B524" s="4">
        <v>45622</v>
      </c>
      <c r="C524" s="2" t="s">
        <v>221</v>
      </c>
      <c r="D524" s="2" t="str">
        <f>TEXT(Table1[[#This Row],[Order Date]],"mmmm")</f>
        <v>November</v>
      </c>
      <c r="E524" s="2" t="s">
        <v>37</v>
      </c>
      <c r="F524" s="2">
        <v>8</v>
      </c>
      <c r="G524" s="5">
        <v>0</v>
      </c>
      <c r="H524" s="2" t="s">
        <v>19</v>
      </c>
      <c r="I524" s="2" t="s">
        <v>46</v>
      </c>
      <c r="J524" s="2" t="s">
        <v>94</v>
      </c>
      <c r="K524">
        <f>VLOOKUP(E524,Products!$A$2:$E$23,5,0)</f>
        <v>1799</v>
      </c>
      <c r="L524">
        <f>VLOOKUP(E524,Products!$A$2:$E$23,4,0)</f>
        <v>900</v>
      </c>
      <c r="M524" s="2">
        <f>K524*F524-Table1[[#This Row],[discount_amount]]</f>
        <v>14392</v>
      </c>
      <c r="N524">
        <f t="shared" si="17"/>
        <v>7200</v>
      </c>
      <c r="O524">
        <f t="shared" si="16"/>
        <v>7192</v>
      </c>
      <c r="P524">
        <f>Table1[[#This Row],[Quantity]]*Table1[[#This Row],[unit_price]]*Table1[[#This Row],[Discount]]</f>
        <v>0</v>
      </c>
      <c r="Q524" t="str">
        <f>VLOOKUP(E524,Products!$A$2:$E$23,2,0)</f>
        <v>Denim Jeans</v>
      </c>
      <c r="R524" t="str">
        <f>VLOOKUP(Table1[[#This Row],[Product ID]],Products!$A$2:$E$23,3,0)</f>
        <v>Clothing</v>
      </c>
      <c r="S524" t="str">
        <f>VLOOKUP(C524,Customers!$A$2:$F$201,4,0)</f>
        <v>Madhya Pradesh</v>
      </c>
      <c r="T524" t="str">
        <f>VLOOKUP(Table1[[#This Row],[Customer ID]],Customers!$A$2:$F$201,5,0)</f>
        <v>Central</v>
      </c>
      <c r="U524" t="str">
        <f>VLOOKUP(Table1[[#This Row],[Customer ID]],Customers!$A$2:$F$201,6,0)</f>
        <v>Home Office</v>
      </c>
      <c r="V524" t="str">
        <f>TEXT(Table1[[#This Row],[Order Date]],"MMM")</f>
        <v>Nov</v>
      </c>
      <c r="W524" t="str">
        <f>TEXT(Table1[[#This Row],[Order Date]],"yyyy")</f>
        <v>2024</v>
      </c>
    </row>
    <row r="525" spans="1:23" x14ac:dyDescent="0.25">
      <c r="A525" s="2" t="s">
        <v>757</v>
      </c>
      <c r="B525" s="4">
        <v>45622</v>
      </c>
      <c r="C525" s="2" t="s">
        <v>123</v>
      </c>
      <c r="D525" s="2" t="str">
        <f>TEXT(Table1[[#This Row],[Order Date]],"mmmm")</f>
        <v>November</v>
      </c>
      <c r="E525" s="2" t="s">
        <v>60</v>
      </c>
      <c r="F525" s="2">
        <v>12</v>
      </c>
      <c r="G525" s="5">
        <v>0</v>
      </c>
      <c r="H525" s="2" t="s">
        <v>19</v>
      </c>
      <c r="I525" s="2" t="s">
        <v>26</v>
      </c>
      <c r="J525" s="2" t="s">
        <v>21</v>
      </c>
      <c r="K525">
        <f>VLOOKUP(E525,Products!$A$2:$E$23,5,0)</f>
        <v>449</v>
      </c>
      <c r="L525">
        <f>VLOOKUP(E525,Products!$A$2:$E$23,4,0)</f>
        <v>260</v>
      </c>
      <c r="M525" s="2">
        <f>K525*F525-Table1[[#This Row],[discount_amount]]</f>
        <v>5388</v>
      </c>
      <c r="N525">
        <f t="shared" si="17"/>
        <v>3120</v>
      </c>
      <c r="O525">
        <f t="shared" si="16"/>
        <v>2268</v>
      </c>
      <c r="P525">
        <f>Table1[[#This Row],[Quantity]]*Table1[[#This Row],[unit_price]]*Table1[[#This Row],[Discount]]</f>
        <v>0</v>
      </c>
      <c r="Q525" t="str">
        <f>VLOOKUP(E525,Products!$A$2:$E$23,2,0)</f>
        <v>Desk Organizer</v>
      </c>
      <c r="R525" t="str">
        <f>VLOOKUP(Table1[[#This Row],[Product ID]],Products!$A$2:$E$23,3,0)</f>
        <v>Office Supplies</v>
      </c>
      <c r="S525" t="str">
        <f>VLOOKUP(C525,Customers!$A$2:$F$201,4,0)</f>
        <v>Uttar Pradesh</v>
      </c>
      <c r="T525" t="str">
        <f>VLOOKUP(Table1[[#This Row],[Customer ID]],Customers!$A$2:$F$201,5,0)</f>
        <v>North</v>
      </c>
      <c r="U525" t="str">
        <f>VLOOKUP(Table1[[#This Row],[Customer ID]],Customers!$A$2:$F$201,6,0)</f>
        <v>Consumer</v>
      </c>
      <c r="V525" t="str">
        <f>TEXT(Table1[[#This Row],[Order Date]],"MMM")</f>
        <v>Nov</v>
      </c>
      <c r="W525" t="str">
        <f>TEXT(Table1[[#This Row],[Order Date]],"yyyy")</f>
        <v>2024</v>
      </c>
    </row>
    <row r="526" spans="1:23" x14ac:dyDescent="0.25">
      <c r="A526" s="2" t="s">
        <v>758</v>
      </c>
      <c r="B526" s="4">
        <v>45623</v>
      </c>
      <c r="C526" s="2" t="s">
        <v>759</v>
      </c>
      <c r="D526" s="2" t="str">
        <f>TEXT(Table1[[#This Row],[Order Date]],"mmmm")</f>
        <v>November</v>
      </c>
      <c r="E526" s="2" t="s">
        <v>155</v>
      </c>
      <c r="F526" s="2">
        <v>20</v>
      </c>
      <c r="G526" s="5">
        <v>0</v>
      </c>
      <c r="H526" s="2" t="s">
        <v>30</v>
      </c>
      <c r="I526" s="2" t="s">
        <v>46</v>
      </c>
      <c r="J526" s="2" t="s">
        <v>21</v>
      </c>
      <c r="K526">
        <f>VLOOKUP(E526,Products!$A$2:$E$23,5,0)</f>
        <v>1599</v>
      </c>
      <c r="L526">
        <f>VLOOKUP(E526,Products!$A$2:$E$23,4,0)</f>
        <v>900</v>
      </c>
      <c r="M526" s="2">
        <f>K526*F526-Table1[[#This Row],[discount_amount]]</f>
        <v>31980</v>
      </c>
      <c r="N526">
        <f t="shared" si="17"/>
        <v>18000</v>
      </c>
      <c r="O526">
        <f t="shared" si="16"/>
        <v>13980</v>
      </c>
      <c r="P526">
        <f>Table1[[#This Row],[Quantity]]*Table1[[#This Row],[unit_price]]*Table1[[#This Row],[Discount]]</f>
        <v>0</v>
      </c>
      <c r="Q526" t="str">
        <f>VLOOKUP(E526,Products!$A$2:$E$23,2,0)</f>
        <v>Headphones</v>
      </c>
      <c r="R526" t="str">
        <f>VLOOKUP(Table1[[#This Row],[Product ID]],Products!$A$2:$E$23,3,0)</f>
        <v>Electronics</v>
      </c>
      <c r="S526" t="str">
        <f>VLOOKUP(C526,Customers!$A$2:$F$201,4,0)</f>
        <v>Rajasthan</v>
      </c>
      <c r="T526" t="str">
        <f>VLOOKUP(Table1[[#This Row],[Customer ID]],Customers!$A$2:$F$201,5,0)</f>
        <v>North</v>
      </c>
      <c r="U526" t="str">
        <f>VLOOKUP(Table1[[#This Row],[Customer ID]],Customers!$A$2:$F$201,6,0)</f>
        <v>Consumer</v>
      </c>
      <c r="V526" t="str">
        <f>TEXT(Table1[[#This Row],[Order Date]],"MMM")</f>
        <v>Nov</v>
      </c>
      <c r="W526" t="str">
        <f>TEXT(Table1[[#This Row],[Order Date]],"yyyy")</f>
        <v>2024</v>
      </c>
    </row>
    <row r="527" spans="1:23" x14ac:dyDescent="0.25">
      <c r="A527" s="2" t="s">
        <v>760</v>
      </c>
      <c r="B527" s="4">
        <v>45623</v>
      </c>
      <c r="C527" s="2" t="s">
        <v>190</v>
      </c>
      <c r="D527" s="2" t="str">
        <f>TEXT(Table1[[#This Row],[Order Date]],"mmmm")</f>
        <v>November</v>
      </c>
      <c r="E527" s="2" t="s">
        <v>127</v>
      </c>
      <c r="F527" s="2">
        <v>1</v>
      </c>
      <c r="G527" s="5">
        <v>0</v>
      </c>
      <c r="H527" s="2" t="s">
        <v>25</v>
      </c>
      <c r="I527" s="2" t="s">
        <v>20</v>
      </c>
      <c r="J527" s="2" t="s">
        <v>21</v>
      </c>
      <c r="K527">
        <f>VLOOKUP(E527,Products!$A$2:$E$23,5,0)</f>
        <v>1999</v>
      </c>
      <c r="L527">
        <f>VLOOKUP(E527,Products!$A$2:$E$23,4,0)</f>
        <v>1200</v>
      </c>
      <c r="M527" s="2">
        <f>K527*F527-Table1[[#This Row],[discount_amount]]</f>
        <v>1999</v>
      </c>
      <c r="N527">
        <f t="shared" si="17"/>
        <v>1200</v>
      </c>
      <c r="O527">
        <f t="shared" si="16"/>
        <v>799</v>
      </c>
      <c r="P527">
        <f>Table1[[#This Row],[Quantity]]*Table1[[#This Row],[unit_price]]*Table1[[#This Row],[Discount]]</f>
        <v>0</v>
      </c>
      <c r="Q527" t="str">
        <f>VLOOKUP(E527,Products!$A$2:$E$23,2,0)</f>
        <v>Bluetooth Speaker</v>
      </c>
      <c r="R527" t="str">
        <f>VLOOKUP(Table1[[#This Row],[Product ID]],Products!$A$2:$E$23,3,0)</f>
        <v>Electronics</v>
      </c>
      <c r="S527" t="str">
        <f>VLOOKUP(C527,Customers!$A$2:$F$201,4,0)</f>
        <v>Odisha</v>
      </c>
      <c r="T527" t="str">
        <f>VLOOKUP(Table1[[#This Row],[Customer ID]],Customers!$A$2:$F$201,5,0)</f>
        <v>East</v>
      </c>
      <c r="U527" t="str">
        <f>VLOOKUP(Table1[[#This Row],[Customer ID]],Customers!$A$2:$F$201,6,0)</f>
        <v>Consumer</v>
      </c>
      <c r="V527" t="str">
        <f>TEXT(Table1[[#This Row],[Order Date]],"MMM")</f>
        <v>Nov</v>
      </c>
      <c r="W527" t="str">
        <f>TEXT(Table1[[#This Row],[Order Date]],"yyyy")</f>
        <v>2024</v>
      </c>
    </row>
    <row r="528" spans="1:23" x14ac:dyDescent="0.25">
      <c r="A528" s="2" t="s">
        <v>761</v>
      </c>
      <c r="B528" s="4">
        <v>45624</v>
      </c>
      <c r="C528" s="2" t="s">
        <v>269</v>
      </c>
      <c r="D528" s="2" t="str">
        <f>TEXT(Table1[[#This Row],[Order Date]],"mmmm")</f>
        <v>November</v>
      </c>
      <c r="E528" s="2" t="s">
        <v>45</v>
      </c>
      <c r="F528" s="2">
        <v>20</v>
      </c>
      <c r="G528" s="5">
        <v>0.1</v>
      </c>
      <c r="H528" s="2" t="s">
        <v>19</v>
      </c>
      <c r="I528" s="2" t="s">
        <v>46</v>
      </c>
      <c r="J528" s="2" t="s">
        <v>21</v>
      </c>
      <c r="K528">
        <f>VLOOKUP(E528,Products!$A$2:$E$23,5,0)</f>
        <v>899</v>
      </c>
      <c r="L528">
        <f>VLOOKUP(E528,Products!$A$2:$E$23,4,0)</f>
        <v>450</v>
      </c>
      <c r="M528" s="2">
        <f>K528*F528-Table1[[#This Row],[discount_amount]]</f>
        <v>16182</v>
      </c>
      <c r="N528">
        <f t="shared" si="17"/>
        <v>9000</v>
      </c>
      <c r="O528">
        <f t="shared" si="16"/>
        <v>7182</v>
      </c>
      <c r="P528">
        <f>Table1[[#This Row],[Quantity]]*Table1[[#This Row],[unit_price]]*Table1[[#This Row],[Discount]]</f>
        <v>1798</v>
      </c>
      <c r="Q528" t="str">
        <f>VLOOKUP(E528,Products!$A$2:$E$23,2,0)</f>
        <v>Track Pants</v>
      </c>
      <c r="R528" t="str">
        <f>VLOOKUP(Table1[[#This Row],[Product ID]],Products!$A$2:$E$23,3,0)</f>
        <v>Clothing</v>
      </c>
      <c r="S528" t="str">
        <f>VLOOKUP(C528,Customers!$A$2:$F$201,4,0)</f>
        <v>Delhi</v>
      </c>
      <c r="T528" t="str">
        <f>VLOOKUP(Table1[[#This Row],[Customer ID]],Customers!$A$2:$F$201,5,0)</f>
        <v>North</v>
      </c>
      <c r="U528" t="str">
        <f>VLOOKUP(Table1[[#This Row],[Customer ID]],Customers!$A$2:$F$201,6,0)</f>
        <v>Corporate</v>
      </c>
      <c r="V528" t="str">
        <f>TEXT(Table1[[#This Row],[Order Date]],"MMM")</f>
        <v>Nov</v>
      </c>
      <c r="W528" t="str">
        <f>TEXT(Table1[[#This Row],[Order Date]],"yyyy")</f>
        <v>2024</v>
      </c>
    </row>
    <row r="529" spans="1:23" x14ac:dyDescent="0.25">
      <c r="A529" s="2" t="s">
        <v>762</v>
      </c>
      <c r="B529" s="4">
        <v>45624</v>
      </c>
      <c r="C529" s="2" t="s">
        <v>36</v>
      </c>
      <c r="D529" s="2" t="str">
        <f>TEXT(Table1[[#This Row],[Order Date]],"mmmm")</f>
        <v>November</v>
      </c>
      <c r="E529" s="2" t="s">
        <v>37</v>
      </c>
      <c r="F529" s="2">
        <v>1</v>
      </c>
      <c r="G529" s="5">
        <v>0.15</v>
      </c>
      <c r="H529" s="2" t="s">
        <v>19</v>
      </c>
      <c r="I529" s="2" t="s">
        <v>38</v>
      </c>
      <c r="J529" s="2" t="s">
        <v>21</v>
      </c>
      <c r="K529">
        <f>VLOOKUP(E529,Products!$A$2:$E$23,5,0)</f>
        <v>1799</v>
      </c>
      <c r="L529">
        <f>VLOOKUP(E529,Products!$A$2:$E$23,4,0)</f>
        <v>900</v>
      </c>
      <c r="M529" s="2">
        <f>K529*F529-Table1[[#This Row],[discount_amount]]</f>
        <v>1529.15</v>
      </c>
      <c r="N529">
        <f t="shared" si="17"/>
        <v>900</v>
      </c>
      <c r="O529">
        <f t="shared" si="16"/>
        <v>629.15000000000009</v>
      </c>
      <c r="P529">
        <f>Table1[[#This Row],[Quantity]]*Table1[[#This Row],[unit_price]]*Table1[[#This Row],[Discount]]</f>
        <v>269.84999999999997</v>
      </c>
      <c r="Q529" t="str">
        <f>VLOOKUP(E529,Products!$A$2:$E$23,2,0)</f>
        <v>Denim Jeans</v>
      </c>
      <c r="R529" t="str">
        <f>VLOOKUP(Table1[[#This Row],[Product ID]],Products!$A$2:$E$23,3,0)</f>
        <v>Clothing</v>
      </c>
      <c r="S529" t="str">
        <f>VLOOKUP(C529,Customers!$A$2:$F$201,4,0)</f>
        <v>Gujarat</v>
      </c>
      <c r="T529" t="str">
        <f>VLOOKUP(Table1[[#This Row],[Customer ID]],Customers!$A$2:$F$201,5,0)</f>
        <v>West</v>
      </c>
      <c r="U529" t="str">
        <f>VLOOKUP(Table1[[#This Row],[Customer ID]],Customers!$A$2:$F$201,6,0)</f>
        <v>Consumer</v>
      </c>
      <c r="V529" t="str">
        <f>TEXT(Table1[[#This Row],[Order Date]],"MMM")</f>
        <v>Nov</v>
      </c>
      <c r="W529" t="str">
        <f>TEXT(Table1[[#This Row],[Order Date]],"yyyy")</f>
        <v>2024</v>
      </c>
    </row>
    <row r="530" spans="1:23" x14ac:dyDescent="0.25">
      <c r="A530" s="2" t="s">
        <v>763</v>
      </c>
      <c r="B530" s="4">
        <v>45624</v>
      </c>
      <c r="C530" s="2" t="s">
        <v>44</v>
      </c>
      <c r="D530" s="2" t="str">
        <f>TEXT(Table1[[#This Row],[Order Date]],"mmmm")</f>
        <v>November</v>
      </c>
      <c r="E530" s="2" t="s">
        <v>54</v>
      </c>
      <c r="F530" s="2">
        <v>1</v>
      </c>
      <c r="G530" s="5">
        <v>0.05</v>
      </c>
      <c r="H530" s="2" t="s">
        <v>19</v>
      </c>
      <c r="I530" s="2" t="s">
        <v>26</v>
      </c>
      <c r="J530" s="2" t="s">
        <v>94</v>
      </c>
      <c r="K530">
        <f>VLOOKUP(E530,Products!$A$2:$E$23,5,0)</f>
        <v>299</v>
      </c>
      <c r="L530">
        <f>VLOOKUP(E530,Products!$A$2:$E$23,4,0)</f>
        <v>180</v>
      </c>
      <c r="M530" s="2">
        <f>K530*F530-Table1[[#This Row],[discount_amount]]</f>
        <v>284.05</v>
      </c>
      <c r="N530">
        <f t="shared" si="17"/>
        <v>180</v>
      </c>
      <c r="O530">
        <f t="shared" si="16"/>
        <v>104.05000000000001</v>
      </c>
      <c r="P530">
        <f>Table1[[#This Row],[Quantity]]*Table1[[#This Row],[unit_price]]*Table1[[#This Row],[Discount]]</f>
        <v>14.950000000000001</v>
      </c>
      <c r="Q530" t="str">
        <f>VLOOKUP(E530,Products!$A$2:$E$23,2,0)</f>
        <v>Notebook Pack of 5</v>
      </c>
      <c r="R530" t="str">
        <f>VLOOKUP(Table1[[#This Row],[Product ID]],Products!$A$2:$E$23,3,0)</f>
        <v>Office Supplies</v>
      </c>
      <c r="S530" t="str">
        <f>VLOOKUP(C530,Customers!$A$2:$F$201,4,0)</f>
        <v>Gujarat</v>
      </c>
      <c r="T530" t="str">
        <f>VLOOKUP(Table1[[#This Row],[Customer ID]],Customers!$A$2:$F$201,5,0)</f>
        <v>West</v>
      </c>
      <c r="U530" t="str">
        <f>VLOOKUP(Table1[[#This Row],[Customer ID]],Customers!$A$2:$F$201,6,0)</f>
        <v>Home Office</v>
      </c>
      <c r="V530" t="str">
        <f>TEXT(Table1[[#This Row],[Order Date]],"MMM")</f>
        <v>Nov</v>
      </c>
      <c r="W530" t="str">
        <f>TEXT(Table1[[#This Row],[Order Date]],"yyyy")</f>
        <v>2024</v>
      </c>
    </row>
    <row r="531" spans="1:23" x14ac:dyDescent="0.25">
      <c r="A531" s="2" t="s">
        <v>764</v>
      </c>
      <c r="B531" s="4">
        <v>45624</v>
      </c>
      <c r="C531" s="2" t="s">
        <v>40</v>
      </c>
      <c r="D531" s="2" t="str">
        <f>TEXT(Table1[[#This Row],[Order Date]],"mmmm")</f>
        <v>November</v>
      </c>
      <c r="E531" s="2" t="s">
        <v>127</v>
      </c>
      <c r="F531" s="2">
        <v>6</v>
      </c>
      <c r="G531" s="5">
        <v>0</v>
      </c>
      <c r="H531" s="2" t="s">
        <v>19</v>
      </c>
      <c r="I531" s="2" t="s">
        <v>38</v>
      </c>
      <c r="J531" s="2" t="s">
        <v>21</v>
      </c>
      <c r="K531">
        <f>VLOOKUP(E531,Products!$A$2:$E$23,5,0)</f>
        <v>1999</v>
      </c>
      <c r="L531">
        <f>VLOOKUP(E531,Products!$A$2:$E$23,4,0)</f>
        <v>1200</v>
      </c>
      <c r="M531" s="2">
        <f>K531*F531-Table1[[#This Row],[discount_amount]]</f>
        <v>11994</v>
      </c>
      <c r="N531">
        <f t="shared" si="17"/>
        <v>7200</v>
      </c>
      <c r="O531">
        <f t="shared" si="16"/>
        <v>4794</v>
      </c>
      <c r="P531">
        <f>Table1[[#This Row],[Quantity]]*Table1[[#This Row],[unit_price]]*Table1[[#This Row],[Discount]]</f>
        <v>0</v>
      </c>
      <c r="Q531" t="str">
        <f>VLOOKUP(E531,Products!$A$2:$E$23,2,0)</f>
        <v>Bluetooth Speaker</v>
      </c>
      <c r="R531" t="str">
        <f>VLOOKUP(Table1[[#This Row],[Product ID]],Products!$A$2:$E$23,3,0)</f>
        <v>Electronics</v>
      </c>
      <c r="S531" t="str">
        <f>VLOOKUP(C531,Customers!$A$2:$F$201,4,0)</f>
        <v>Telangana</v>
      </c>
      <c r="T531" t="str">
        <f>VLOOKUP(Table1[[#This Row],[Customer ID]],Customers!$A$2:$F$201,5,0)</f>
        <v>South</v>
      </c>
      <c r="U531" t="str">
        <f>VLOOKUP(Table1[[#This Row],[Customer ID]],Customers!$A$2:$F$201,6,0)</f>
        <v>Corporate</v>
      </c>
      <c r="V531" t="str">
        <f>TEXT(Table1[[#This Row],[Order Date]],"MMM")</f>
        <v>Nov</v>
      </c>
      <c r="W531" t="str">
        <f>TEXT(Table1[[#This Row],[Order Date]],"yyyy")</f>
        <v>2024</v>
      </c>
    </row>
    <row r="532" spans="1:23" x14ac:dyDescent="0.25">
      <c r="A532" s="2" t="s">
        <v>765</v>
      </c>
      <c r="B532" s="4">
        <v>45626</v>
      </c>
      <c r="C532" s="2" t="s">
        <v>86</v>
      </c>
      <c r="D532" s="2" t="str">
        <f>TEXT(Table1[[#This Row],[Order Date]],"mmmm")</f>
        <v>November</v>
      </c>
      <c r="E532" s="2" t="s">
        <v>63</v>
      </c>
      <c r="F532" s="2">
        <v>1</v>
      </c>
      <c r="G532" s="5">
        <v>0.1</v>
      </c>
      <c r="H532" s="2" t="s">
        <v>30</v>
      </c>
      <c r="I532" s="2" t="s">
        <v>46</v>
      </c>
      <c r="J532" s="2" t="s">
        <v>21</v>
      </c>
      <c r="K532">
        <f>VLOOKUP(E532,Products!$A$2:$E$23,5,0)</f>
        <v>5499</v>
      </c>
      <c r="L532">
        <f>VLOOKUP(E532,Products!$A$2:$E$23,4,0)</f>
        <v>3500</v>
      </c>
      <c r="M532" s="2">
        <f>K532*F532-Table1[[#This Row],[discount_amount]]</f>
        <v>4949.1000000000004</v>
      </c>
      <c r="N532">
        <f t="shared" si="17"/>
        <v>3500</v>
      </c>
      <c r="O532">
        <f t="shared" si="16"/>
        <v>1449.1000000000004</v>
      </c>
      <c r="P532">
        <f>Table1[[#This Row],[Quantity]]*Table1[[#This Row],[unit_price]]*Table1[[#This Row],[Discount]]</f>
        <v>549.9</v>
      </c>
      <c r="Q532" t="str">
        <f>VLOOKUP(E532,Products!$A$2:$E$23,2,0)</f>
        <v>Office Chair</v>
      </c>
      <c r="R532" t="str">
        <f>VLOOKUP(Table1[[#This Row],[Product ID]],Products!$A$2:$E$23,3,0)</f>
        <v>Furniture</v>
      </c>
      <c r="S532" t="str">
        <f>VLOOKUP(C532,Customers!$A$2:$F$201,4,0)</f>
        <v>Delhi</v>
      </c>
      <c r="T532" t="str">
        <f>VLOOKUP(Table1[[#This Row],[Customer ID]],Customers!$A$2:$F$201,5,0)</f>
        <v>North</v>
      </c>
      <c r="U532" t="str">
        <f>VLOOKUP(Table1[[#This Row],[Customer ID]],Customers!$A$2:$F$201,6,0)</f>
        <v>Consumer</v>
      </c>
      <c r="V532" t="str">
        <f>TEXT(Table1[[#This Row],[Order Date]],"MMM")</f>
        <v>Nov</v>
      </c>
      <c r="W532" t="str">
        <f>TEXT(Table1[[#This Row],[Order Date]],"yyyy")</f>
        <v>2024</v>
      </c>
    </row>
    <row r="533" spans="1:23" x14ac:dyDescent="0.25">
      <c r="A533" s="2" t="s">
        <v>766</v>
      </c>
      <c r="B533" s="4">
        <v>45627</v>
      </c>
      <c r="C533" s="2" t="s">
        <v>248</v>
      </c>
      <c r="D533" s="2" t="str">
        <f>TEXT(Table1[[#This Row],[Order Date]],"mmmm")</f>
        <v>December</v>
      </c>
      <c r="E533" s="2" t="s">
        <v>60</v>
      </c>
      <c r="F533" s="2">
        <v>4</v>
      </c>
      <c r="G533" s="5">
        <v>0.05</v>
      </c>
      <c r="H533" s="2" t="s">
        <v>25</v>
      </c>
      <c r="I533" s="2" t="s">
        <v>31</v>
      </c>
      <c r="J533" s="2" t="s">
        <v>21</v>
      </c>
      <c r="K533">
        <f>VLOOKUP(E533,Products!$A$2:$E$23,5,0)</f>
        <v>449</v>
      </c>
      <c r="L533">
        <f>VLOOKUP(E533,Products!$A$2:$E$23,4,0)</f>
        <v>260</v>
      </c>
      <c r="M533" s="2">
        <f>K533*F533-Table1[[#This Row],[discount_amount]]</f>
        <v>1706.2</v>
      </c>
      <c r="N533">
        <f t="shared" si="17"/>
        <v>1040</v>
      </c>
      <c r="O533">
        <f t="shared" si="16"/>
        <v>666.2</v>
      </c>
      <c r="P533">
        <f>Table1[[#This Row],[Quantity]]*Table1[[#This Row],[unit_price]]*Table1[[#This Row],[Discount]]</f>
        <v>89.800000000000011</v>
      </c>
      <c r="Q533" t="str">
        <f>VLOOKUP(E533,Products!$A$2:$E$23,2,0)</f>
        <v>Desk Organizer</v>
      </c>
      <c r="R533" t="str">
        <f>VLOOKUP(Table1[[#This Row],[Product ID]],Products!$A$2:$E$23,3,0)</f>
        <v>Office Supplies</v>
      </c>
      <c r="S533" t="str">
        <f>VLOOKUP(C533,Customers!$A$2:$F$201,4,0)</f>
        <v>West Bengal</v>
      </c>
      <c r="T533" t="str">
        <f>VLOOKUP(Table1[[#This Row],[Customer ID]],Customers!$A$2:$F$201,5,0)</f>
        <v>East</v>
      </c>
      <c r="U533" t="str">
        <f>VLOOKUP(Table1[[#This Row],[Customer ID]],Customers!$A$2:$F$201,6,0)</f>
        <v>Consumer</v>
      </c>
      <c r="V533" t="str">
        <f>TEXT(Table1[[#This Row],[Order Date]],"MMM")</f>
        <v>Dec</v>
      </c>
      <c r="W533" t="str">
        <f>TEXT(Table1[[#This Row],[Order Date]],"yyyy")</f>
        <v>2024</v>
      </c>
    </row>
    <row r="534" spans="1:23" x14ac:dyDescent="0.25">
      <c r="A534" s="2" t="s">
        <v>767</v>
      </c>
      <c r="B534" s="4">
        <v>45627</v>
      </c>
      <c r="C534" s="2" t="s">
        <v>373</v>
      </c>
      <c r="D534" s="2" t="str">
        <f>TEXT(Table1[[#This Row],[Order Date]],"mmmm")</f>
        <v>December</v>
      </c>
      <c r="E534" s="2" t="s">
        <v>135</v>
      </c>
      <c r="F534" s="2">
        <v>2</v>
      </c>
      <c r="G534" s="5">
        <v>0.05</v>
      </c>
      <c r="H534" s="2" t="s">
        <v>25</v>
      </c>
      <c r="I534" s="2" t="s">
        <v>20</v>
      </c>
      <c r="J534" s="2" t="s">
        <v>21</v>
      </c>
      <c r="K534">
        <f>VLOOKUP(E534,Products!$A$2:$E$23,5,0)</f>
        <v>220</v>
      </c>
      <c r="L534">
        <f>VLOOKUP(E534,Products!$A$2:$E$23,4,0)</f>
        <v>120</v>
      </c>
      <c r="M534" s="2">
        <f>K534*F534-Table1[[#This Row],[discount_amount]]</f>
        <v>418</v>
      </c>
      <c r="N534">
        <f t="shared" si="17"/>
        <v>240</v>
      </c>
      <c r="O534">
        <f t="shared" si="16"/>
        <v>178</v>
      </c>
      <c r="P534">
        <f>Table1[[#This Row],[Quantity]]*Table1[[#This Row],[unit_price]]*Table1[[#This Row],[Discount]]</f>
        <v>22</v>
      </c>
      <c r="Q534" t="str">
        <f>VLOOKUP(E534,Products!$A$2:$E$23,2,0)</f>
        <v>Stapler</v>
      </c>
      <c r="R534" t="str">
        <f>VLOOKUP(Table1[[#This Row],[Product ID]],Products!$A$2:$E$23,3,0)</f>
        <v>Office Supplies</v>
      </c>
      <c r="S534" t="str">
        <f>VLOOKUP(C534,Customers!$A$2:$F$201,4,0)</f>
        <v>Odisha</v>
      </c>
      <c r="T534" t="str">
        <f>VLOOKUP(Table1[[#This Row],[Customer ID]],Customers!$A$2:$F$201,5,0)</f>
        <v>East</v>
      </c>
      <c r="U534" t="str">
        <f>VLOOKUP(Table1[[#This Row],[Customer ID]],Customers!$A$2:$F$201,6,0)</f>
        <v>Corporate</v>
      </c>
      <c r="V534" t="str">
        <f>TEXT(Table1[[#This Row],[Order Date]],"MMM")</f>
        <v>Dec</v>
      </c>
      <c r="W534" t="str">
        <f>TEXT(Table1[[#This Row],[Order Date]],"yyyy")</f>
        <v>2024</v>
      </c>
    </row>
    <row r="535" spans="1:23" x14ac:dyDescent="0.25">
      <c r="A535" s="2" t="s">
        <v>768</v>
      </c>
      <c r="B535" s="4">
        <v>45628</v>
      </c>
      <c r="C535" s="2" t="s">
        <v>310</v>
      </c>
      <c r="D535" s="2" t="str">
        <f>TEXT(Table1[[#This Row],[Order Date]],"mmmm")</f>
        <v>December</v>
      </c>
      <c r="E535" s="2" t="s">
        <v>155</v>
      </c>
      <c r="F535" s="2">
        <v>4</v>
      </c>
      <c r="G535" s="5">
        <v>0.05</v>
      </c>
      <c r="H535" s="2" t="s">
        <v>30</v>
      </c>
      <c r="I535" s="2" t="s">
        <v>31</v>
      </c>
      <c r="J535" s="2" t="s">
        <v>21</v>
      </c>
      <c r="K535">
        <f>VLOOKUP(E535,Products!$A$2:$E$23,5,0)</f>
        <v>1599</v>
      </c>
      <c r="L535">
        <f>VLOOKUP(E535,Products!$A$2:$E$23,4,0)</f>
        <v>900</v>
      </c>
      <c r="M535" s="2">
        <f>K535*F535-Table1[[#This Row],[discount_amount]]</f>
        <v>6076.2</v>
      </c>
      <c r="N535">
        <f t="shared" si="17"/>
        <v>3600</v>
      </c>
      <c r="O535">
        <f t="shared" si="16"/>
        <v>2476.1999999999998</v>
      </c>
      <c r="P535">
        <f>Table1[[#This Row],[Quantity]]*Table1[[#This Row],[unit_price]]*Table1[[#This Row],[Discount]]</f>
        <v>319.8</v>
      </c>
      <c r="Q535" t="str">
        <f>VLOOKUP(E535,Products!$A$2:$E$23,2,0)</f>
        <v>Headphones</v>
      </c>
      <c r="R535" t="str">
        <f>VLOOKUP(Table1[[#This Row],[Product ID]],Products!$A$2:$E$23,3,0)</f>
        <v>Electronics</v>
      </c>
      <c r="S535" t="str">
        <f>VLOOKUP(C535,Customers!$A$2:$F$201,4,0)</f>
        <v>Odisha</v>
      </c>
      <c r="T535" t="str">
        <f>VLOOKUP(Table1[[#This Row],[Customer ID]],Customers!$A$2:$F$201,5,0)</f>
        <v>East</v>
      </c>
      <c r="U535" t="str">
        <f>VLOOKUP(Table1[[#This Row],[Customer ID]],Customers!$A$2:$F$201,6,0)</f>
        <v>Consumer</v>
      </c>
      <c r="V535" t="str">
        <f>TEXT(Table1[[#This Row],[Order Date]],"MMM")</f>
        <v>Dec</v>
      </c>
      <c r="W535" t="str">
        <f>TEXT(Table1[[#This Row],[Order Date]],"yyyy")</f>
        <v>2024</v>
      </c>
    </row>
    <row r="536" spans="1:23" x14ac:dyDescent="0.25">
      <c r="A536" s="2" t="s">
        <v>769</v>
      </c>
      <c r="B536" s="4">
        <v>45628</v>
      </c>
      <c r="C536" s="2" t="s">
        <v>366</v>
      </c>
      <c r="D536" s="2" t="str">
        <f>TEXT(Table1[[#This Row],[Order Date]],"mmmm")</f>
        <v>December</v>
      </c>
      <c r="E536" s="2" t="s">
        <v>37</v>
      </c>
      <c r="F536" s="2">
        <v>4</v>
      </c>
      <c r="G536" s="5">
        <v>0.05</v>
      </c>
      <c r="H536" s="2" t="s">
        <v>19</v>
      </c>
      <c r="I536" s="2" t="s">
        <v>20</v>
      </c>
      <c r="J536" s="2" t="s">
        <v>42</v>
      </c>
      <c r="K536">
        <f>VLOOKUP(E536,Products!$A$2:$E$23,5,0)</f>
        <v>1799</v>
      </c>
      <c r="L536">
        <f>VLOOKUP(E536,Products!$A$2:$E$23,4,0)</f>
        <v>900</v>
      </c>
      <c r="M536" s="2">
        <f>K536*F536-Table1[[#This Row],[discount_amount]]</f>
        <v>6836.2</v>
      </c>
      <c r="N536">
        <f t="shared" si="17"/>
        <v>3600</v>
      </c>
      <c r="O536">
        <f t="shared" si="16"/>
        <v>3236.2</v>
      </c>
      <c r="P536">
        <f>Table1[[#This Row],[Quantity]]*Table1[[#This Row],[unit_price]]*Table1[[#This Row],[Discount]]</f>
        <v>359.8</v>
      </c>
      <c r="Q536" t="str">
        <f>VLOOKUP(E536,Products!$A$2:$E$23,2,0)</f>
        <v>Denim Jeans</v>
      </c>
      <c r="R536" t="str">
        <f>VLOOKUP(Table1[[#This Row],[Product ID]],Products!$A$2:$E$23,3,0)</f>
        <v>Clothing</v>
      </c>
      <c r="S536" t="str">
        <f>VLOOKUP(C536,Customers!$A$2:$F$201,4,0)</f>
        <v>Bihar</v>
      </c>
      <c r="T536" t="str">
        <f>VLOOKUP(Table1[[#This Row],[Customer ID]],Customers!$A$2:$F$201,5,0)</f>
        <v>East</v>
      </c>
      <c r="U536" t="str">
        <f>VLOOKUP(Table1[[#This Row],[Customer ID]],Customers!$A$2:$F$201,6,0)</f>
        <v>Home Office</v>
      </c>
      <c r="V536" t="str">
        <f>TEXT(Table1[[#This Row],[Order Date]],"MMM")</f>
        <v>Dec</v>
      </c>
      <c r="W536" t="str">
        <f>TEXT(Table1[[#This Row],[Order Date]],"yyyy")</f>
        <v>2024</v>
      </c>
    </row>
    <row r="537" spans="1:23" x14ac:dyDescent="0.25">
      <c r="A537" s="2" t="s">
        <v>770</v>
      </c>
      <c r="B537" s="4">
        <v>45628</v>
      </c>
      <c r="C537" s="2" t="s">
        <v>301</v>
      </c>
      <c r="D537" s="2" t="str">
        <f>TEXT(Table1[[#This Row],[Order Date]],"mmmm")</f>
        <v>December</v>
      </c>
      <c r="E537" s="2" t="s">
        <v>57</v>
      </c>
      <c r="F537" s="2">
        <v>8</v>
      </c>
      <c r="G537" s="5">
        <v>0</v>
      </c>
      <c r="H537" s="2" t="s">
        <v>19</v>
      </c>
      <c r="I537" s="2" t="s">
        <v>31</v>
      </c>
      <c r="J537" s="2" t="s">
        <v>21</v>
      </c>
      <c r="K537">
        <f>VLOOKUP(E537,Products!$A$2:$E$23,5,0)</f>
        <v>1599</v>
      </c>
      <c r="L537">
        <f>VLOOKUP(E537,Products!$A$2:$E$23,4,0)</f>
        <v>800</v>
      </c>
      <c r="M537" s="2">
        <f>K537*F537-Table1[[#This Row],[discount_amount]]</f>
        <v>12792</v>
      </c>
      <c r="N537">
        <f t="shared" si="17"/>
        <v>6400</v>
      </c>
      <c r="O537">
        <f t="shared" si="16"/>
        <v>6392</v>
      </c>
      <c r="P537">
        <f>Table1[[#This Row],[Quantity]]*Table1[[#This Row],[unit_price]]*Table1[[#This Row],[Discount]]</f>
        <v>0</v>
      </c>
      <c r="Q537" t="str">
        <f>VLOOKUP(E537,Products!$A$2:$E$23,2,0)</f>
        <v>Hoodie</v>
      </c>
      <c r="R537" t="str">
        <f>VLOOKUP(Table1[[#This Row],[Product ID]],Products!$A$2:$E$23,3,0)</f>
        <v>Clothing</v>
      </c>
      <c r="S537" t="str">
        <f>VLOOKUP(C537,Customers!$A$2:$F$201,4,0)</f>
        <v>Chandigarh</v>
      </c>
      <c r="T537" t="str">
        <f>VLOOKUP(Table1[[#This Row],[Customer ID]],Customers!$A$2:$F$201,5,0)</f>
        <v>North</v>
      </c>
      <c r="U537" t="str">
        <f>VLOOKUP(Table1[[#This Row],[Customer ID]],Customers!$A$2:$F$201,6,0)</f>
        <v>Home Office</v>
      </c>
      <c r="V537" t="str">
        <f>TEXT(Table1[[#This Row],[Order Date]],"MMM")</f>
        <v>Dec</v>
      </c>
      <c r="W537" t="str">
        <f>TEXT(Table1[[#This Row],[Order Date]],"yyyy")</f>
        <v>2024</v>
      </c>
    </row>
    <row r="538" spans="1:23" x14ac:dyDescent="0.25">
      <c r="A538" s="2" t="s">
        <v>771</v>
      </c>
      <c r="B538" s="4">
        <v>45629</v>
      </c>
      <c r="C538" s="2" t="s">
        <v>274</v>
      </c>
      <c r="D538" s="2" t="str">
        <f>TEXT(Table1[[#This Row],[Order Date]],"mmmm")</f>
        <v>December</v>
      </c>
      <c r="E538" s="2" t="s">
        <v>18</v>
      </c>
      <c r="F538" s="2">
        <v>6</v>
      </c>
      <c r="G538" s="5">
        <v>0.2</v>
      </c>
      <c r="H538" s="2" t="s">
        <v>30</v>
      </c>
      <c r="I538" s="2" t="s">
        <v>26</v>
      </c>
      <c r="J538" s="2" t="s">
        <v>21</v>
      </c>
      <c r="K538">
        <f>VLOOKUP(E538,Products!$A$2:$E$23,5,0)</f>
        <v>4299</v>
      </c>
      <c r="L538">
        <f>VLOOKUP(E538,Products!$A$2:$E$23,4,0)</f>
        <v>2800</v>
      </c>
      <c r="M538" s="2">
        <f>K538*F538-Table1[[#This Row],[discount_amount]]</f>
        <v>20635.2</v>
      </c>
      <c r="N538">
        <f t="shared" si="17"/>
        <v>16800</v>
      </c>
      <c r="O538">
        <f t="shared" si="16"/>
        <v>3835.2000000000007</v>
      </c>
      <c r="P538">
        <f>Table1[[#This Row],[Quantity]]*Table1[[#This Row],[unit_price]]*Table1[[#This Row],[Discount]]</f>
        <v>5158.8</v>
      </c>
      <c r="Q538" t="str">
        <f>VLOOKUP(E538,Products!$A$2:$E$23,2,0)</f>
        <v>Bookshelf</v>
      </c>
      <c r="R538" t="str">
        <f>VLOOKUP(Table1[[#This Row],[Product ID]],Products!$A$2:$E$23,3,0)</f>
        <v>Furniture</v>
      </c>
      <c r="S538" t="str">
        <f>VLOOKUP(C538,Customers!$A$2:$F$201,4,0)</f>
        <v>Madhya Pradesh</v>
      </c>
      <c r="T538" t="str">
        <f>VLOOKUP(Table1[[#This Row],[Customer ID]],Customers!$A$2:$F$201,5,0)</f>
        <v>Central</v>
      </c>
      <c r="U538" t="str">
        <f>VLOOKUP(Table1[[#This Row],[Customer ID]],Customers!$A$2:$F$201,6,0)</f>
        <v>Consumer</v>
      </c>
      <c r="V538" t="str">
        <f>TEXT(Table1[[#This Row],[Order Date]],"MMM")</f>
        <v>Dec</v>
      </c>
      <c r="W538" t="str">
        <f>TEXT(Table1[[#This Row],[Order Date]],"yyyy")</f>
        <v>2024</v>
      </c>
    </row>
    <row r="539" spans="1:23" x14ac:dyDescent="0.25">
      <c r="A539" s="2" t="s">
        <v>772</v>
      </c>
      <c r="B539" s="4">
        <v>45629</v>
      </c>
      <c r="C539" s="2" t="s">
        <v>535</v>
      </c>
      <c r="D539" s="2" t="str">
        <f>TEXT(Table1[[#This Row],[Order Date]],"mmmm")</f>
        <v>December</v>
      </c>
      <c r="E539" s="2" t="s">
        <v>37</v>
      </c>
      <c r="F539" s="2">
        <v>10</v>
      </c>
      <c r="G539" s="5">
        <v>0.2</v>
      </c>
      <c r="H539" s="2" t="s">
        <v>19</v>
      </c>
      <c r="I539" s="2" t="s">
        <v>46</v>
      </c>
      <c r="J539" s="2" t="s">
        <v>21</v>
      </c>
      <c r="K539">
        <f>VLOOKUP(E539,Products!$A$2:$E$23,5,0)</f>
        <v>1799</v>
      </c>
      <c r="L539">
        <f>VLOOKUP(E539,Products!$A$2:$E$23,4,0)</f>
        <v>900</v>
      </c>
      <c r="M539" s="2">
        <f>K539*F539-Table1[[#This Row],[discount_amount]]</f>
        <v>14392</v>
      </c>
      <c r="N539">
        <f t="shared" si="17"/>
        <v>9000</v>
      </c>
      <c r="O539">
        <f t="shared" si="16"/>
        <v>5392</v>
      </c>
      <c r="P539">
        <f>Table1[[#This Row],[Quantity]]*Table1[[#This Row],[unit_price]]*Table1[[#This Row],[Discount]]</f>
        <v>3598</v>
      </c>
      <c r="Q539" t="str">
        <f>VLOOKUP(E539,Products!$A$2:$E$23,2,0)</f>
        <v>Denim Jeans</v>
      </c>
      <c r="R539" t="str">
        <f>VLOOKUP(Table1[[#This Row],[Product ID]],Products!$A$2:$E$23,3,0)</f>
        <v>Clothing</v>
      </c>
      <c r="S539" t="str">
        <f>VLOOKUP(C539,Customers!$A$2:$F$201,4,0)</f>
        <v>Maharashtra</v>
      </c>
      <c r="T539" t="str">
        <f>VLOOKUP(Table1[[#This Row],[Customer ID]],Customers!$A$2:$F$201,5,0)</f>
        <v>Central</v>
      </c>
      <c r="U539" t="str">
        <f>VLOOKUP(Table1[[#This Row],[Customer ID]],Customers!$A$2:$F$201,6,0)</f>
        <v>Consumer</v>
      </c>
      <c r="V539" t="str">
        <f>TEXT(Table1[[#This Row],[Order Date]],"MMM")</f>
        <v>Dec</v>
      </c>
      <c r="W539" t="str">
        <f>TEXT(Table1[[#This Row],[Order Date]],"yyyy")</f>
        <v>2024</v>
      </c>
    </row>
    <row r="540" spans="1:23" x14ac:dyDescent="0.25">
      <c r="A540" s="2" t="s">
        <v>773</v>
      </c>
      <c r="B540" s="4">
        <v>45629</v>
      </c>
      <c r="C540" s="2" t="s">
        <v>235</v>
      </c>
      <c r="D540" s="2" t="str">
        <f>TEXT(Table1[[#This Row],[Order Date]],"mmmm")</f>
        <v>December</v>
      </c>
      <c r="E540" s="2" t="s">
        <v>63</v>
      </c>
      <c r="F540" s="2">
        <v>2</v>
      </c>
      <c r="G540" s="5">
        <v>0.1</v>
      </c>
      <c r="H540" s="2" t="s">
        <v>25</v>
      </c>
      <c r="I540" s="2" t="s">
        <v>31</v>
      </c>
      <c r="J540" s="2" t="s">
        <v>79</v>
      </c>
      <c r="K540">
        <f>VLOOKUP(E540,Products!$A$2:$E$23,5,0)</f>
        <v>5499</v>
      </c>
      <c r="L540">
        <f>VLOOKUP(E540,Products!$A$2:$E$23,4,0)</f>
        <v>3500</v>
      </c>
      <c r="M540" s="2">
        <f>K540*F540-Table1[[#This Row],[discount_amount]]</f>
        <v>9898.2000000000007</v>
      </c>
      <c r="N540">
        <f t="shared" si="17"/>
        <v>7000</v>
      </c>
      <c r="O540">
        <f t="shared" si="16"/>
        <v>2898.2000000000007</v>
      </c>
      <c r="P540">
        <f>Table1[[#This Row],[Quantity]]*Table1[[#This Row],[unit_price]]*Table1[[#This Row],[Discount]]</f>
        <v>1099.8</v>
      </c>
      <c r="Q540" t="str">
        <f>VLOOKUP(E540,Products!$A$2:$E$23,2,0)</f>
        <v>Office Chair</v>
      </c>
      <c r="R540" t="str">
        <f>VLOOKUP(Table1[[#This Row],[Product ID]],Products!$A$2:$E$23,3,0)</f>
        <v>Furniture</v>
      </c>
      <c r="S540" t="str">
        <f>VLOOKUP(C540,Customers!$A$2:$F$201,4,0)</f>
        <v>Bihar</v>
      </c>
      <c r="T540" t="str">
        <f>VLOOKUP(Table1[[#This Row],[Customer ID]],Customers!$A$2:$F$201,5,0)</f>
        <v>East</v>
      </c>
      <c r="U540" t="str">
        <f>VLOOKUP(Table1[[#This Row],[Customer ID]],Customers!$A$2:$F$201,6,0)</f>
        <v>Home Office</v>
      </c>
      <c r="V540" t="str">
        <f>TEXT(Table1[[#This Row],[Order Date]],"MMM")</f>
        <v>Dec</v>
      </c>
      <c r="W540" t="str">
        <f>TEXT(Table1[[#This Row],[Order Date]],"yyyy")</f>
        <v>2024</v>
      </c>
    </row>
    <row r="541" spans="1:23" x14ac:dyDescent="0.25">
      <c r="A541" s="2" t="s">
        <v>774</v>
      </c>
      <c r="B541" s="4">
        <v>45631</v>
      </c>
      <c r="C541" s="2" t="s">
        <v>154</v>
      </c>
      <c r="D541" s="2" t="str">
        <f>TEXT(Table1[[#This Row],[Order Date]],"mmmm")</f>
        <v>December</v>
      </c>
      <c r="E541" s="2" t="s">
        <v>91</v>
      </c>
      <c r="F541" s="2">
        <v>2</v>
      </c>
      <c r="G541" s="5">
        <v>0</v>
      </c>
      <c r="H541" s="2" t="s">
        <v>30</v>
      </c>
      <c r="I541" s="2" t="s">
        <v>26</v>
      </c>
      <c r="J541" s="2" t="s">
        <v>21</v>
      </c>
      <c r="K541">
        <f>VLOOKUP(E541,Products!$A$2:$E$23,5,0)</f>
        <v>1199</v>
      </c>
      <c r="L541">
        <f>VLOOKUP(E541,Products!$A$2:$E$23,4,0)</f>
        <v>600</v>
      </c>
      <c r="M541" s="2">
        <f>K541*F541-Table1[[#This Row],[discount_amount]]</f>
        <v>2398</v>
      </c>
      <c r="N541">
        <f t="shared" si="17"/>
        <v>1200</v>
      </c>
      <c r="O541">
        <f t="shared" si="16"/>
        <v>1198</v>
      </c>
      <c r="P541">
        <f>Table1[[#This Row],[Quantity]]*Table1[[#This Row],[unit_price]]*Table1[[#This Row],[Discount]]</f>
        <v>0</v>
      </c>
      <c r="Q541" t="str">
        <f>VLOOKUP(E541,Products!$A$2:$E$23,2,0)</f>
        <v>Formal Shirt</v>
      </c>
      <c r="R541" t="str">
        <f>VLOOKUP(Table1[[#This Row],[Product ID]],Products!$A$2:$E$23,3,0)</f>
        <v>Clothing</v>
      </c>
      <c r="S541" t="str">
        <f>VLOOKUP(C541,Customers!$A$2:$F$201,4,0)</f>
        <v>Telangana</v>
      </c>
      <c r="T541" t="str">
        <f>VLOOKUP(Table1[[#This Row],[Customer ID]],Customers!$A$2:$F$201,5,0)</f>
        <v>South</v>
      </c>
      <c r="U541" t="str">
        <f>VLOOKUP(Table1[[#This Row],[Customer ID]],Customers!$A$2:$F$201,6,0)</f>
        <v>Consumer</v>
      </c>
      <c r="V541" t="str">
        <f>TEXT(Table1[[#This Row],[Order Date]],"MMM")</f>
        <v>Dec</v>
      </c>
      <c r="W541" t="str">
        <f>TEXT(Table1[[#This Row],[Order Date]],"yyyy")</f>
        <v>2024</v>
      </c>
    </row>
    <row r="542" spans="1:23" x14ac:dyDescent="0.25">
      <c r="A542" s="2" t="s">
        <v>775</v>
      </c>
      <c r="B542" s="4">
        <v>45631</v>
      </c>
      <c r="C542" s="2" t="s">
        <v>134</v>
      </c>
      <c r="D542" s="2" t="str">
        <f>TEXT(Table1[[#This Row],[Order Date]],"mmmm")</f>
        <v>December</v>
      </c>
      <c r="E542" s="2" t="s">
        <v>41</v>
      </c>
      <c r="F542" s="2">
        <v>2</v>
      </c>
      <c r="G542" s="5">
        <v>0</v>
      </c>
      <c r="H542" s="2" t="s">
        <v>25</v>
      </c>
      <c r="I542" s="2" t="s">
        <v>20</v>
      </c>
      <c r="J542" s="2" t="s">
        <v>21</v>
      </c>
      <c r="K542">
        <f>VLOOKUP(E542,Products!$A$2:$E$23,5,0)</f>
        <v>320</v>
      </c>
      <c r="L542">
        <f>VLOOKUP(E542,Products!$A$2:$E$23,4,0)</f>
        <v>220</v>
      </c>
      <c r="M542" s="2">
        <f>K542*F542-Table1[[#This Row],[discount_amount]]</f>
        <v>640</v>
      </c>
      <c r="N542">
        <f t="shared" si="17"/>
        <v>440</v>
      </c>
      <c r="O542">
        <f t="shared" si="16"/>
        <v>200</v>
      </c>
      <c r="P542">
        <f>Table1[[#This Row],[Quantity]]*Table1[[#This Row],[unit_price]]*Table1[[#This Row],[Discount]]</f>
        <v>0</v>
      </c>
      <c r="Q542" t="str">
        <f>VLOOKUP(E542,Products!$A$2:$E$23,2,0)</f>
        <v>A4 Paper Ream</v>
      </c>
      <c r="R542" t="str">
        <f>VLOOKUP(Table1[[#This Row],[Product ID]],Products!$A$2:$E$23,3,0)</f>
        <v>Office Supplies</v>
      </c>
      <c r="S542" t="str">
        <f>VLOOKUP(C542,Customers!$A$2:$F$201,4,0)</f>
        <v>Telangana</v>
      </c>
      <c r="T542" t="str">
        <f>VLOOKUP(Table1[[#This Row],[Customer ID]],Customers!$A$2:$F$201,5,0)</f>
        <v>South</v>
      </c>
      <c r="U542" t="str">
        <f>VLOOKUP(Table1[[#This Row],[Customer ID]],Customers!$A$2:$F$201,6,0)</f>
        <v>Consumer</v>
      </c>
      <c r="V542" t="str">
        <f>TEXT(Table1[[#This Row],[Order Date]],"MMM")</f>
        <v>Dec</v>
      </c>
      <c r="W542" t="str">
        <f>TEXT(Table1[[#This Row],[Order Date]],"yyyy")</f>
        <v>2024</v>
      </c>
    </row>
    <row r="543" spans="1:23" x14ac:dyDescent="0.25">
      <c r="A543" s="2" t="s">
        <v>776</v>
      </c>
      <c r="B543" s="4">
        <v>45632</v>
      </c>
      <c r="C543" s="2" t="s">
        <v>113</v>
      </c>
      <c r="D543" s="2" t="str">
        <f>TEXT(Table1[[#This Row],[Order Date]],"mmmm")</f>
        <v>December</v>
      </c>
      <c r="E543" s="2" t="s">
        <v>91</v>
      </c>
      <c r="F543" s="2">
        <v>2</v>
      </c>
      <c r="G543" s="5">
        <v>0</v>
      </c>
      <c r="H543" s="2" t="s">
        <v>19</v>
      </c>
      <c r="I543" s="2" t="s">
        <v>31</v>
      </c>
      <c r="J543" s="2" t="s">
        <v>21</v>
      </c>
      <c r="K543">
        <f>VLOOKUP(E543,Products!$A$2:$E$23,5,0)</f>
        <v>1199</v>
      </c>
      <c r="L543">
        <f>VLOOKUP(E543,Products!$A$2:$E$23,4,0)</f>
        <v>600</v>
      </c>
      <c r="M543" s="2">
        <f>K543*F543-Table1[[#This Row],[discount_amount]]</f>
        <v>2398</v>
      </c>
      <c r="N543">
        <f t="shared" si="17"/>
        <v>1200</v>
      </c>
      <c r="O543">
        <f t="shared" si="16"/>
        <v>1198</v>
      </c>
      <c r="P543">
        <f>Table1[[#This Row],[Quantity]]*Table1[[#This Row],[unit_price]]*Table1[[#This Row],[Discount]]</f>
        <v>0</v>
      </c>
      <c r="Q543" t="str">
        <f>VLOOKUP(E543,Products!$A$2:$E$23,2,0)</f>
        <v>Formal Shirt</v>
      </c>
      <c r="R543" t="str">
        <f>VLOOKUP(Table1[[#This Row],[Product ID]],Products!$A$2:$E$23,3,0)</f>
        <v>Clothing</v>
      </c>
      <c r="S543" t="str">
        <f>VLOOKUP(C543,Customers!$A$2:$F$201,4,0)</f>
        <v>Gujarat</v>
      </c>
      <c r="T543" t="str">
        <f>VLOOKUP(Table1[[#This Row],[Customer ID]],Customers!$A$2:$F$201,5,0)</f>
        <v>West</v>
      </c>
      <c r="U543" t="str">
        <f>VLOOKUP(Table1[[#This Row],[Customer ID]],Customers!$A$2:$F$201,6,0)</f>
        <v>Consumer</v>
      </c>
      <c r="V543" t="str">
        <f>TEXT(Table1[[#This Row],[Order Date]],"MMM")</f>
        <v>Dec</v>
      </c>
      <c r="W543" t="str">
        <f>TEXT(Table1[[#This Row],[Order Date]],"yyyy")</f>
        <v>2024</v>
      </c>
    </row>
    <row r="544" spans="1:23" x14ac:dyDescent="0.25">
      <c r="A544" s="2" t="s">
        <v>777</v>
      </c>
      <c r="B544" s="4">
        <v>45632</v>
      </c>
      <c r="C544" s="2" t="s">
        <v>287</v>
      </c>
      <c r="D544" s="2" t="str">
        <f>TEXT(Table1[[#This Row],[Order Date]],"mmmm")</f>
        <v>December</v>
      </c>
      <c r="E544" s="2" t="s">
        <v>155</v>
      </c>
      <c r="F544" s="2">
        <v>3</v>
      </c>
      <c r="G544" s="5">
        <v>0.1</v>
      </c>
      <c r="H544" s="2" t="s">
        <v>30</v>
      </c>
      <c r="I544" s="2" t="s">
        <v>38</v>
      </c>
      <c r="J544" s="2" t="s">
        <v>21</v>
      </c>
      <c r="K544">
        <f>VLOOKUP(E544,Products!$A$2:$E$23,5,0)</f>
        <v>1599</v>
      </c>
      <c r="L544">
        <f>VLOOKUP(E544,Products!$A$2:$E$23,4,0)</f>
        <v>900</v>
      </c>
      <c r="M544" s="2">
        <f>K544*F544-Table1[[#This Row],[discount_amount]]</f>
        <v>4317.3</v>
      </c>
      <c r="N544">
        <f t="shared" si="17"/>
        <v>2700</v>
      </c>
      <c r="O544">
        <f t="shared" si="16"/>
        <v>1617.3000000000002</v>
      </c>
      <c r="P544">
        <f>Table1[[#This Row],[Quantity]]*Table1[[#This Row],[unit_price]]*Table1[[#This Row],[Discount]]</f>
        <v>479.70000000000005</v>
      </c>
      <c r="Q544" t="str">
        <f>VLOOKUP(E544,Products!$A$2:$E$23,2,0)</f>
        <v>Headphones</v>
      </c>
      <c r="R544" t="str">
        <f>VLOOKUP(Table1[[#This Row],[Product ID]],Products!$A$2:$E$23,3,0)</f>
        <v>Electronics</v>
      </c>
      <c r="S544" t="str">
        <f>VLOOKUP(C544,Customers!$A$2:$F$201,4,0)</f>
        <v>Kerala</v>
      </c>
      <c r="T544" t="str">
        <f>VLOOKUP(Table1[[#This Row],[Customer ID]],Customers!$A$2:$F$201,5,0)</f>
        <v>South</v>
      </c>
      <c r="U544" t="str">
        <f>VLOOKUP(Table1[[#This Row],[Customer ID]],Customers!$A$2:$F$201,6,0)</f>
        <v>Corporate</v>
      </c>
      <c r="V544" t="str">
        <f>TEXT(Table1[[#This Row],[Order Date]],"MMM")</f>
        <v>Dec</v>
      </c>
      <c r="W544" t="str">
        <f>TEXT(Table1[[#This Row],[Order Date]],"yyyy")</f>
        <v>2024</v>
      </c>
    </row>
    <row r="545" spans="1:23" x14ac:dyDescent="0.25">
      <c r="A545" s="2" t="s">
        <v>778</v>
      </c>
      <c r="B545" s="4">
        <v>45633</v>
      </c>
      <c r="C545" s="2" t="s">
        <v>152</v>
      </c>
      <c r="D545" s="2" t="str">
        <f>TEXT(Table1[[#This Row],[Order Date]],"mmmm")</f>
        <v>December</v>
      </c>
      <c r="E545" s="2" t="s">
        <v>24</v>
      </c>
      <c r="F545" s="2">
        <v>5</v>
      </c>
      <c r="G545" s="5">
        <v>0.15</v>
      </c>
      <c r="H545" s="2" t="s">
        <v>30</v>
      </c>
      <c r="I545" s="2" t="s">
        <v>31</v>
      </c>
      <c r="J545" s="2" t="s">
        <v>21</v>
      </c>
      <c r="K545">
        <f>VLOOKUP(E545,Products!$A$2:$E$23,5,0)</f>
        <v>899</v>
      </c>
      <c r="L545">
        <f>VLOOKUP(E545,Products!$A$2:$E$23,4,0)</f>
        <v>500</v>
      </c>
      <c r="M545" s="2">
        <f>K545*F545-Table1[[#This Row],[discount_amount]]</f>
        <v>3820.75</v>
      </c>
      <c r="N545">
        <f t="shared" si="17"/>
        <v>2500</v>
      </c>
      <c r="O545">
        <f t="shared" si="16"/>
        <v>1320.75</v>
      </c>
      <c r="P545">
        <f>Table1[[#This Row],[Quantity]]*Table1[[#This Row],[unit_price]]*Table1[[#This Row],[Discount]]</f>
        <v>674.25</v>
      </c>
      <c r="Q545" t="str">
        <f>VLOOKUP(E545,Products!$A$2:$E$23,2,0)</f>
        <v>Monitor Stand</v>
      </c>
      <c r="R545" t="str">
        <f>VLOOKUP(Table1[[#This Row],[Product ID]],Products!$A$2:$E$23,3,0)</f>
        <v>Furniture</v>
      </c>
      <c r="S545" t="str">
        <f>VLOOKUP(C545,Customers!$A$2:$F$201,4,0)</f>
        <v>Gujarat</v>
      </c>
      <c r="T545" t="str">
        <f>VLOOKUP(Table1[[#This Row],[Customer ID]],Customers!$A$2:$F$201,5,0)</f>
        <v>West</v>
      </c>
      <c r="U545" t="str">
        <f>VLOOKUP(Table1[[#This Row],[Customer ID]],Customers!$A$2:$F$201,6,0)</f>
        <v>Consumer</v>
      </c>
      <c r="V545" t="str">
        <f>TEXT(Table1[[#This Row],[Order Date]],"MMM")</f>
        <v>Dec</v>
      </c>
      <c r="W545" t="str">
        <f>TEXT(Table1[[#This Row],[Order Date]],"yyyy")</f>
        <v>2024</v>
      </c>
    </row>
    <row r="546" spans="1:23" x14ac:dyDescent="0.25">
      <c r="A546" s="2" t="s">
        <v>779</v>
      </c>
      <c r="B546" s="4">
        <v>45633</v>
      </c>
      <c r="C546" s="2" t="s">
        <v>462</v>
      </c>
      <c r="D546" s="2" t="str">
        <f>TEXT(Table1[[#This Row],[Order Date]],"mmmm")</f>
        <v>December</v>
      </c>
      <c r="E546" s="2" t="s">
        <v>49</v>
      </c>
      <c r="F546" s="2">
        <v>5</v>
      </c>
      <c r="G546" s="5">
        <v>0</v>
      </c>
      <c r="H546" s="2" t="s">
        <v>25</v>
      </c>
      <c r="I546" s="2" t="s">
        <v>31</v>
      </c>
      <c r="J546" s="2" t="s">
        <v>21</v>
      </c>
      <c r="K546">
        <f>VLOOKUP(E546,Products!$A$2:$E$23,5,0)</f>
        <v>700</v>
      </c>
      <c r="L546">
        <f>VLOOKUP(E546,Products!$A$2:$E$23,4,0)</f>
        <v>450</v>
      </c>
      <c r="M546" s="2">
        <f>K546*F546-Table1[[#This Row],[discount_amount]]</f>
        <v>3500</v>
      </c>
      <c r="N546">
        <f t="shared" si="17"/>
        <v>2250</v>
      </c>
      <c r="O546">
        <f t="shared" si="16"/>
        <v>1250</v>
      </c>
      <c r="P546">
        <f>Table1[[#This Row],[Quantity]]*Table1[[#This Row],[unit_price]]*Table1[[#This Row],[Discount]]</f>
        <v>0</v>
      </c>
      <c r="Q546" t="str">
        <f>VLOOKUP(E546,Products!$A$2:$E$23,2,0)</f>
        <v>Wireless Mouse</v>
      </c>
      <c r="R546" t="str">
        <f>VLOOKUP(Table1[[#This Row],[Product ID]],Products!$A$2:$E$23,3,0)</f>
        <v>Electronics</v>
      </c>
      <c r="S546" t="str">
        <f>VLOOKUP(C546,Customers!$A$2:$F$201,4,0)</f>
        <v>Kerala</v>
      </c>
      <c r="T546" t="str">
        <f>VLOOKUP(Table1[[#This Row],[Customer ID]],Customers!$A$2:$F$201,5,0)</f>
        <v>South</v>
      </c>
      <c r="U546" t="str">
        <f>VLOOKUP(Table1[[#This Row],[Customer ID]],Customers!$A$2:$F$201,6,0)</f>
        <v>Consumer</v>
      </c>
      <c r="V546" t="str">
        <f>TEXT(Table1[[#This Row],[Order Date]],"MMM")</f>
        <v>Dec</v>
      </c>
      <c r="W546" t="str">
        <f>TEXT(Table1[[#This Row],[Order Date]],"yyyy")</f>
        <v>2024</v>
      </c>
    </row>
    <row r="547" spans="1:23" x14ac:dyDescent="0.25">
      <c r="A547" s="2" t="s">
        <v>780</v>
      </c>
      <c r="B547" s="4">
        <v>45633</v>
      </c>
      <c r="C547" s="2" t="s">
        <v>178</v>
      </c>
      <c r="D547" s="2" t="str">
        <f>TEXT(Table1[[#This Row],[Order Date]],"mmmm")</f>
        <v>December</v>
      </c>
      <c r="E547" s="2" t="s">
        <v>66</v>
      </c>
      <c r="F547" s="2">
        <v>20</v>
      </c>
      <c r="G547" s="5">
        <v>0</v>
      </c>
      <c r="H547" s="2" t="s">
        <v>25</v>
      </c>
      <c r="I547" s="2" t="s">
        <v>20</v>
      </c>
      <c r="J547" s="2" t="s">
        <v>21</v>
      </c>
      <c r="K547">
        <f>VLOOKUP(E547,Products!$A$2:$E$23,5,0)</f>
        <v>1299</v>
      </c>
      <c r="L547">
        <f>VLOOKUP(E547,Products!$A$2:$E$23,4,0)</f>
        <v>800</v>
      </c>
      <c r="M547" s="2">
        <f>K547*F547-Table1[[#This Row],[discount_amount]]</f>
        <v>25980</v>
      </c>
      <c r="N547">
        <f t="shared" si="17"/>
        <v>16000</v>
      </c>
      <c r="O547">
        <f t="shared" si="16"/>
        <v>9980</v>
      </c>
      <c r="P547">
        <f>Table1[[#This Row],[Quantity]]*Table1[[#This Row],[unit_price]]*Table1[[#This Row],[Discount]]</f>
        <v>0</v>
      </c>
      <c r="Q547" t="str">
        <f>VLOOKUP(E547,Products!$A$2:$E$23,2,0)</f>
        <v>Power Bank 10000mAh</v>
      </c>
      <c r="R547" t="str">
        <f>VLOOKUP(Table1[[#This Row],[Product ID]],Products!$A$2:$E$23,3,0)</f>
        <v>Electronics</v>
      </c>
      <c r="S547" t="str">
        <f>VLOOKUP(C547,Customers!$A$2:$F$201,4,0)</f>
        <v>Bihar</v>
      </c>
      <c r="T547" t="str">
        <f>VLOOKUP(Table1[[#This Row],[Customer ID]],Customers!$A$2:$F$201,5,0)</f>
        <v>East</v>
      </c>
      <c r="U547" t="str">
        <f>VLOOKUP(Table1[[#This Row],[Customer ID]],Customers!$A$2:$F$201,6,0)</f>
        <v>Corporate</v>
      </c>
      <c r="V547" t="str">
        <f>TEXT(Table1[[#This Row],[Order Date]],"MMM")</f>
        <v>Dec</v>
      </c>
      <c r="W547" t="str">
        <f>TEXT(Table1[[#This Row],[Order Date]],"yyyy")</f>
        <v>2024</v>
      </c>
    </row>
    <row r="548" spans="1:23" x14ac:dyDescent="0.25">
      <c r="A548" s="2" t="s">
        <v>781</v>
      </c>
      <c r="B548" s="4">
        <v>45633</v>
      </c>
      <c r="C548" s="2" t="s">
        <v>567</v>
      </c>
      <c r="D548" s="2" t="str">
        <f>TEXT(Table1[[#This Row],[Order Date]],"mmmm")</f>
        <v>December</v>
      </c>
      <c r="E548" s="2" t="s">
        <v>54</v>
      </c>
      <c r="F548" s="2">
        <v>10</v>
      </c>
      <c r="G548" s="5">
        <v>0</v>
      </c>
      <c r="H548" s="2" t="s">
        <v>19</v>
      </c>
      <c r="I548" s="2" t="s">
        <v>46</v>
      </c>
      <c r="J548" s="2" t="s">
        <v>21</v>
      </c>
      <c r="K548">
        <f>VLOOKUP(E548,Products!$A$2:$E$23,5,0)</f>
        <v>299</v>
      </c>
      <c r="L548">
        <f>VLOOKUP(E548,Products!$A$2:$E$23,4,0)</f>
        <v>180</v>
      </c>
      <c r="M548" s="2">
        <f>K548*F548-Table1[[#This Row],[discount_amount]]</f>
        <v>2990</v>
      </c>
      <c r="N548">
        <f t="shared" si="17"/>
        <v>1800</v>
      </c>
      <c r="O548">
        <f t="shared" si="16"/>
        <v>1190</v>
      </c>
      <c r="P548">
        <f>Table1[[#This Row],[Quantity]]*Table1[[#This Row],[unit_price]]*Table1[[#This Row],[Discount]]</f>
        <v>0</v>
      </c>
      <c r="Q548" t="str">
        <f>VLOOKUP(E548,Products!$A$2:$E$23,2,0)</f>
        <v>Notebook Pack of 5</v>
      </c>
      <c r="R548" t="str">
        <f>VLOOKUP(Table1[[#This Row],[Product ID]],Products!$A$2:$E$23,3,0)</f>
        <v>Office Supplies</v>
      </c>
      <c r="S548" t="str">
        <f>VLOOKUP(C548,Customers!$A$2:$F$201,4,0)</f>
        <v>Gujarat</v>
      </c>
      <c r="T548" t="str">
        <f>VLOOKUP(Table1[[#This Row],[Customer ID]],Customers!$A$2:$F$201,5,0)</f>
        <v>West</v>
      </c>
      <c r="U548" t="str">
        <f>VLOOKUP(Table1[[#This Row],[Customer ID]],Customers!$A$2:$F$201,6,0)</f>
        <v>Consumer</v>
      </c>
      <c r="V548" t="str">
        <f>TEXT(Table1[[#This Row],[Order Date]],"MMM")</f>
        <v>Dec</v>
      </c>
      <c r="W548" t="str">
        <f>TEXT(Table1[[#This Row],[Order Date]],"yyyy")</f>
        <v>2024</v>
      </c>
    </row>
    <row r="549" spans="1:23" x14ac:dyDescent="0.25">
      <c r="A549" s="2" t="s">
        <v>782</v>
      </c>
      <c r="B549" s="4">
        <v>45634</v>
      </c>
      <c r="C549" s="2" t="s">
        <v>783</v>
      </c>
      <c r="D549" s="2" t="str">
        <f>TEXT(Table1[[#This Row],[Order Date]],"mmmm")</f>
        <v>December</v>
      </c>
      <c r="E549" s="2" t="s">
        <v>66</v>
      </c>
      <c r="F549" s="2">
        <v>1</v>
      </c>
      <c r="G549" s="5">
        <v>0.05</v>
      </c>
      <c r="H549" s="2" t="s">
        <v>19</v>
      </c>
      <c r="I549" s="2" t="s">
        <v>26</v>
      </c>
      <c r="J549" s="2" t="s">
        <v>21</v>
      </c>
      <c r="K549">
        <f>VLOOKUP(E549,Products!$A$2:$E$23,5,0)</f>
        <v>1299</v>
      </c>
      <c r="L549">
        <f>VLOOKUP(E549,Products!$A$2:$E$23,4,0)</f>
        <v>800</v>
      </c>
      <c r="M549" s="2">
        <f>K549*F549-Table1[[#This Row],[discount_amount]]</f>
        <v>1234.05</v>
      </c>
      <c r="N549">
        <f t="shared" si="17"/>
        <v>800</v>
      </c>
      <c r="O549">
        <f t="shared" si="16"/>
        <v>434.04999999999995</v>
      </c>
      <c r="P549">
        <f>Table1[[#This Row],[Quantity]]*Table1[[#This Row],[unit_price]]*Table1[[#This Row],[Discount]]</f>
        <v>64.95</v>
      </c>
      <c r="Q549" t="str">
        <f>VLOOKUP(E549,Products!$A$2:$E$23,2,0)</f>
        <v>Power Bank 10000mAh</v>
      </c>
      <c r="R549" t="str">
        <f>VLOOKUP(Table1[[#This Row],[Product ID]],Products!$A$2:$E$23,3,0)</f>
        <v>Electronics</v>
      </c>
      <c r="S549" t="str">
        <f>VLOOKUP(C549,Customers!$A$2:$F$201,4,0)</f>
        <v>Chandigarh</v>
      </c>
      <c r="T549" t="str">
        <f>VLOOKUP(Table1[[#This Row],[Customer ID]],Customers!$A$2:$F$201,5,0)</f>
        <v>North</v>
      </c>
      <c r="U549" t="str">
        <f>VLOOKUP(Table1[[#This Row],[Customer ID]],Customers!$A$2:$F$201,6,0)</f>
        <v>Consumer</v>
      </c>
      <c r="V549" t="str">
        <f>TEXT(Table1[[#This Row],[Order Date]],"MMM")</f>
        <v>Dec</v>
      </c>
      <c r="W549" t="str">
        <f>TEXT(Table1[[#This Row],[Order Date]],"yyyy")</f>
        <v>2024</v>
      </c>
    </row>
    <row r="550" spans="1:23" x14ac:dyDescent="0.25">
      <c r="A550" s="2" t="s">
        <v>784</v>
      </c>
      <c r="B550" s="4">
        <v>45635</v>
      </c>
      <c r="C550" s="2" t="s">
        <v>104</v>
      </c>
      <c r="D550" s="2" t="str">
        <f>TEXT(Table1[[#This Row],[Order Date]],"mmmm")</f>
        <v>December</v>
      </c>
      <c r="E550" s="2" t="s">
        <v>29</v>
      </c>
      <c r="F550" s="2">
        <v>10</v>
      </c>
      <c r="G550" s="5">
        <v>0.1</v>
      </c>
      <c r="H550" s="2" t="s">
        <v>30</v>
      </c>
      <c r="I550" s="2" t="s">
        <v>20</v>
      </c>
      <c r="J550" s="2" t="s">
        <v>21</v>
      </c>
      <c r="K550">
        <f>VLOOKUP(E550,Products!$A$2:$E$23,5,0)</f>
        <v>599</v>
      </c>
      <c r="L550">
        <f>VLOOKUP(E550,Products!$A$2:$E$23,4,0)</f>
        <v>350</v>
      </c>
      <c r="M550" s="2">
        <f>K550*F550-Table1[[#This Row],[discount_amount]]</f>
        <v>5391</v>
      </c>
      <c r="N550">
        <f t="shared" si="17"/>
        <v>3500</v>
      </c>
      <c r="O550">
        <f t="shared" si="16"/>
        <v>1891</v>
      </c>
      <c r="P550">
        <f>Table1[[#This Row],[Quantity]]*Table1[[#This Row],[unit_price]]*Table1[[#This Row],[Discount]]</f>
        <v>599</v>
      </c>
      <c r="Q550" t="str">
        <f>VLOOKUP(E550,Products!$A$2:$E$23,2,0)</f>
        <v>USB Flash Drive 64GB</v>
      </c>
      <c r="R550" t="str">
        <f>VLOOKUP(Table1[[#This Row],[Product ID]],Products!$A$2:$E$23,3,0)</f>
        <v>Electronics</v>
      </c>
      <c r="S550" t="str">
        <f>VLOOKUP(C550,Customers!$A$2:$F$201,4,0)</f>
        <v>Rajasthan</v>
      </c>
      <c r="T550" t="str">
        <f>VLOOKUP(Table1[[#This Row],[Customer ID]],Customers!$A$2:$F$201,5,0)</f>
        <v>North</v>
      </c>
      <c r="U550" t="str">
        <f>VLOOKUP(Table1[[#This Row],[Customer ID]],Customers!$A$2:$F$201,6,0)</f>
        <v>Corporate</v>
      </c>
      <c r="V550" t="str">
        <f>TEXT(Table1[[#This Row],[Order Date]],"MMM")</f>
        <v>Dec</v>
      </c>
      <c r="W550" t="str">
        <f>TEXT(Table1[[#This Row],[Order Date]],"yyyy")</f>
        <v>2024</v>
      </c>
    </row>
    <row r="551" spans="1:23" x14ac:dyDescent="0.25">
      <c r="A551" s="2" t="s">
        <v>785</v>
      </c>
      <c r="B551" s="4">
        <v>45636</v>
      </c>
      <c r="C551" s="2" t="s">
        <v>239</v>
      </c>
      <c r="D551" s="2" t="str">
        <f>TEXT(Table1[[#This Row],[Order Date]],"mmmm")</f>
        <v>December</v>
      </c>
      <c r="E551" s="2" t="s">
        <v>121</v>
      </c>
      <c r="F551" s="2">
        <v>6</v>
      </c>
      <c r="G551" s="5">
        <v>0.1</v>
      </c>
      <c r="H551" s="2" t="s">
        <v>25</v>
      </c>
      <c r="I551" s="2" t="s">
        <v>31</v>
      </c>
      <c r="J551" s="2" t="s">
        <v>21</v>
      </c>
      <c r="K551">
        <f>VLOOKUP(E551,Products!$A$2:$E$23,5,0)</f>
        <v>499</v>
      </c>
      <c r="L551">
        <f>VLOOKUP(E551,Products!$A$2:$E$23,4,0)</f>
        <v>250</v>
      </c>
      <c r="M551" s="2">
        <f>K551*F551-Table1[[#This Row],[discount_amount]]</f>
        <v>2694.6</v>
      </c>
      <c r="N551">
        <f t="shared" si="17"/>
        <v>1500</v>
      </c>
      <c r="O551">
        <f t="shared" si="16"/>
        <v>1194.5999999999999</v>
      </c>
      <c r="P551">
        <f>Table1[[#This Row],[Quantity]]*Table1[[#This Row],[unit_price]]*Table1[[#This Row],[Discount]]</f>
        <v>299.40000000000003</v>
      </c>
      <c r="Q551" t="str">
        <f>VLOOKUP(E551,Products!$A$2:$E$23,2,0)</f>
        <v>Cotton T-Shirt</v>
      </c>
      <c r="R551" t="str">
        <f>VLOOKUP(Table1[[#This Row],[Product ID]],Products!$A$2:$E$23,3,0)</f>
        <v>Clothing</v>
      </c>
      <c r="S551" t="str">
        <f>VLOOKUP(C551,Customers!$A$2:$F$201,4,0)</f>
        <v>Karnataka</v>
      </c>
      <c r="T551" t="str">
        <f>VLOOKUP(Table1[[#This Row],[Customer ID]],Customers!$A$2:$F$201,5,0)</f>
        <v>South</v>
      </c>
      <c r="U551" t="str">
        <f>VLOOKUP(Table1[[#This Row],[Customer ID]],Customers!$A$2:$F$201,6,0)</f>
        <v>Consumer</v>
      </c>
      <c r="V551" t="str">
        <f>TEXT(Table1[[#This Row],[Order Date]],"MMM")</f>
        <v>Dec</v>
      </c>
      <c r="W551" t="str">
        <f>TEXT(Table1[[#This Row],[Order Date]],"yyyy")</f>
        <v>2024</v>
      </c>
    </row>
    <row r="552" spans="1:23" x14ac:dyDescent="0.25">
      <c r="A552" s="2" t="s">
        <v>786</v>
      </c>
      <c r="B552" s="4">
        <v>45638</v>
      </c>
      <c r="C552" s="2" t="s">
        <v>254</v>
      </c>
      <c r="D552" s="2" t="str">
        <f>TEXT(Table1[[#This Row],[Order Date]],"mmmm")</f>
        <v>December</v>
      </c>
      <c r="E552" s="2" t="s">
        <v>73</v>
      </c>
      <c r="F552" s="2">
        <v>1</v>
      </c>
      <c r="G552" s="5">
        <v>0.1</v>
      </c>
      <c r="H552" s="2" t="s">
        <v>25</v>
      </c>
      <c r="I552" s="2" t="s">
        <v>38</v>
      </c>
      <c r="J552" s="2" t="s">
        <v>21</v>
      </c>
      <c r="K552">
        <f>VLOOKUP(E552,Products!$A$2:$E$23,5,0)</f>
        <v>6499</v>
      </c>
      <c r="L552">
        <f>VLOOKUP(E552,Products!$A$2:$E$23,4,0)</f>
        <v>4200</v>
      </c>
      <c r="M552" s="2">
        <f>K552*F552-Table1[[#This Row],[discount_amount]]</f>
        <v>5849.1</v>
      </c>
      <c r="N552">
        <f t="shared" si="17"/>
        <v>4200</v>
      </c>
      <c r="O552">
        <f t="shared" si="16"/>
        <v>1649.1000000000004</v>
      </c>
      <c r="P552">
        <f>Table1[[#This Row],[Quantity]]*Table1[[#This Row],[unit_price]]*Table1[[#This Row],[Discount]]</f>
        <v>649.90000000000009</v>
      </c>
      <c r="Q552" t="str">
        <f>VLOOKUP(E552,Products!$A$2:$E$23,2,0)</f>
        <v>Study Table</v>
      </c>
      <c r="R552" t="str">
        <f>VLOOKUP(Table1[[#This Row],[Product ID]],Products!$A$2:$E$23,3,0)</f>
        <v>Furniture</v>
      </c>
      <c r="S552" t="str">
        <f>VLOOKUP(C552,Customers!$A$2:$F$201,4,0)</f>
        <v>Rajasthan</v>
      </c>
      <c r="T552" t="str">
        <f>VLOOKUP(Table1[[#This Row],[Customer ID]],Customers!$A$2:$F$201,5,0)</f>
        <v>North</v>
      </c>
      <c r="U552" t="str">
        <f>VLOOKUP(Table1[[#This Row],[Customer ID]],Customers!$A$2:$F$201,6,0)</f>
        <v>Consumer</v>
      </c>
      <c r="V552" t="str">
        <f>TEXT(Table1[[#This Row],[Order Date]],"MMM")</f>
        <v>Dec</v>
      </c>
      <c r="W552" t="str">
        <f>TEXT(Table1[[#This Row],[Order Date]],"yyyy")</f>
        <v>2024</v>
      </c>
    </row>
    <row r="553" spans="1:23" x14ac:dyDescent="0.25">
      <c r="A553" s="2" t="s">
        <v>787</v>
      </c>
      <c r="B553" s="4">
        <v>45638</v>
      </c>
      <c r="C553" s="2" t="s">
        <v>788</v>
      </c>
      <c r="D553" s="2" t="str">
        <f>TEXT(Table1[[#This Row],[Order Date]],"mmmm")</f>
        <v>December</v>
      </c>
      <c r="E553" s="2" t="s">
        <v>155</v>
      </c>
      <c r="F553" s="2">
        <v>5</v>
      </c>
      <c r="G553" s="5">
        <v>0</v>
      </c>
      <c r="H553" s="2" t="s">
        <v>19</v>
      </c>
      <c r="I553" s="2" t="s">
        <v>31</v>
      </c>
      <c r="J553" s="2" t="s">
        <v>21</v>
      </c>
      <c r="K553">
        <f>VLOOKUP(E553,Products!$A$2:$E$23,5,0)</f>
        <v>1599</v>
      </c>
      <c r="L553">
        <f>VLOOKUP(E553,Products!$A$2:$E$23,4,0)</f>
        <v>900</v>
      </c>
      <c r="M553" s="2">
        <f>K553*F553-Table1[[#This Row],[discount_amount]]</f>
        <v>7995</v>
      </c>
      <c r="N553">
        <f t="shared" si="17"/>
        <v>4500</v>
      </c>
      <c r="O553">
        <f t="shared" si="16"/>
        <v>3495</v>
      </c>
      <c r="P553">
        <f>Table1[[#This Row],[Quantity]]*Table1[[#This Row],[unit_price]]*Table1[[#This Row],[Discount]]</f>
        <v>0</v>
      </c>
      <c r="Q553" t="str">
        <f>VLOOKUP(E553,Products!$A$2:$E$23,2,0)</f>
        <v>Headphones</v>
      </c>
      <c r="R553" t="str">
        <f>VLOOKUP(Table1[[#This Row],[Product ID]],Products!$A$2:$E$23,3,0)</f>
        <v>Electronics</v>
      </c>
      <c r="S553" t="str">
        <f>VLOOKUP(C553,Customers!$A$2:$F$201,4,0)</f>
        <v>Uttar Pradesh</v>
      </c>
      <c r="T553" t="str">
        <f>VLOOKUP(Table1[[#This Row],[Customer ID]],Customers!$A$2:$F$201,5,0)</f>
        <v>North</v>
      </c>
      <c r="U553" t="str">
        <f>VLOOKUP(Table1[[#This Row],[Customer ID]],Customers!$A$2:$F$201,6,0)</f>
        <v>Home Office</v>
      </c>
      <c r="V553" t="str">
        <f>TEXT(Table1[[#This Row],[Order Date]],"MMM")</f>
        <v>Dec</v>
      </c>
      <c r="W553" t="str">
        <f>TEXT(Table1[[#This Row],[Order Date]],"yyyy")</f>
        <v>2024</v>
      </c>
    </row>
    <row r="554" spans="1:23" x14ac:dyDescent="0.25">
      <c r="A554" s="2" t="s">
        <v>789</v>
      </c>
      <c r="B554" s="4">
        <v>45638</v>
      </c>
      <c r="C554" s="2" t="s">
        <v>439</v>
      </c>
      <c r="D554" s="2" t="str">
        <f>TEXT(Table1[[#This Row],[Order Date]],"mmmm")</f>
        <v>December</v>
      </c>
      <c r="E554" s="2" t="s">
        <v>57</v>
      </c>
      <c r="F554" s="2">
        <v>3</v>
      </c>
      <c r="G554" s="5">
        <v>0.2</v>
      </c>
      <c r="H554" s="2" t="s">
        <v>19</v>
      </c>
      <c r="I554" s="2" t="s">
        <v>31</v>
      </c>
      <c r="J554" s="2" t="s">
        <v>21</v>
      </c>
      <c r="K554">
        <f>VLOOKUP(E554,Products!$A$2:$E$23,5,0)</f>
        <v>1599</v>
      </c>
      <c r="L554">
        <f>VLOOKUP(E554,Products!$A$2:$E$23,4,0)</f>
        <v>800</v>
      </c>
      <c r="M554" s="2">
        <f>K554*F554-Table1[[#This Row],[discount_amount]]</f>
        <v>3837.6</v>
      </c>
      <c r="N554">
        <f t="shared" si="17"/>
        <v>2400</v>
      </c>
      <c r="O554">
        <f t="shared" si="16"/>
        <v>1437.6</v>
      </c>
      <c r="P554">
        <f>Table1[[#This Row],[Quantity]]*Table1[[#This Row],[unit_price]]*Table1[[#This Row],[Discount]]</f>
        <v>959.40000000000009</v>
      </c>
      <c r="Q554" t="str">
        <f>VLOOKUP(E554,Products!$A$2:$E$23,2,0)</f>
        <v>Hoodie</v>
      </c>
      <c r="R554" t="str">
        <f>VLOOKUP(Table1[[#This Row],[Product ID]],Products!$A$2:$E$23,3,0)</f>
        <v>Clothing</v>
      </c>
      <c r="S554" t="str">
        <f>VLOOKUP(C554,Customers!$A$2:$F$201,4,0)</f>
        <v>Chandigarh</v>
      </c>
      <c r="T554" t="str">
        <f>VLOOKUP(Table1[[#This Row],[Customer ID]],Customers!$A$2:$F$201,5,0)</f>
        <v>North</v>
      </c>
      <c r="U554" t="str">
        <f>VLOOKUP(Table1[[#This Row],[Customer ID]],Customers!$A$2:$F$201,6,0)</f>
        <v>Corporate</v>
      </c>
      <c r="V554" t="str">
        <f>TEXT(Table1[[#This Row],[Order Date]],"MMM")</f>
        <v>Dec</v>
      </c>
      <c r="W554" t="str">
        <f>TEXT(Table1[[#This Row],[Order Date]],"yyyy")</f>
        <v>2024</v>
      </c>
    </row>
    <row r="555" spans="1:23" x14ac:dyDescent="0.25">
      <c r="A555" s="2" t="s">
        <v>790</v>
      </c>
      <c r="B555" s="4">
        <v>45638</v>
      </c>
      <c r="C555" s="2" t="s">
        <v>142</v>
      </c>
      <c r="D555" s="2" t="str">
        <f>TEXT(Table1[[#This Row],[Order Date]],"mmmm")</f>
        <v>December</v>
      </c>
      <c r="E555" s="2" t="s">
        <v>66</v>
      </c>
      <c r="F555" s="2">
        <v>1</v>
      </c>
      <c r="G555" s="5">
        <v>0</v>
      </c>
      <c r="H555" s="2" t="s">
        <v>25</v>
      </c>
      <c r="I555" s="2" t="s">
        <v>38</v>
      </c>
      <c r="J555" s="2" t="s">
        <v>21</v>
      </c>
      <c r="K555">
        <f>VLOOKUP(E555,Products!$A$2:$E$23,5,0)</f>
        <v>1299</v>
      </c>
      <c r="L555">
        <f>VLOOKUP(E555,Products!$A$2:$E$23,4,0)</f>
        <v>800</v>
      </c>
      <c r="M555" s="2">
        <f>K555*F555-Table1[[#This Row],[discount_amount]]</f>
        <v>1299</v>
      </c>
      <c r="N555">
        <f t="shared" si="17"/>
        <v>800</v>
      </c>
      <c r="O555">
        <f t="shared" si="16"/>
        <v>499</v>
      </c>
      <c r="P555">
        <f>Table1[[#This Row],[Quantity]]*Table1[[#This Row],[unit_price]]*Table1[[#This Row],[Discount]]</f>
        <v>0</v>
      </c>
      <c r="Q555" t="str">
        <f>VLOOKUP(E555,Products!$A$2:$E$23,2,0)</f>
        <v>Power Bank 10000mAh</v>
      </c>
      <c r="R555" t="str">
        <f>VLOOKUP(Table1[[#This Row],[Product ID]],Products!$A$2:$E$23,3,0)</f>
        <v>Electronics</v>
      </c>
      <c r="S555" t="str">
        <f>VLOOKUP(C555,Customers!$A$2:$F$201,4,0)</f>
        <v>Tamil Nadu</v>
      </c>
      <c r="T555" t="str">
        <f>VLOOKUP(Table1[[#This Row],[Customer ID]],Customers!$A$2:$F$201,5,0)</f>
        <v>South</v>
      </c>
      <c r="U555" t="str">
        <f>VLOOKUP(Table1[[#This Row],[Customer ID]],Customers!$A$2:$F$201,6,0)</f>
        <v>Corporate</v>
      </c>
      <c r="V555" t="str">
        <f>TEXT(Table1[[#This Row],[Order Date]],"MMM")</f>
        <v>Dec</v>
      </c>
      <c r="W555" t="str">
        <f>TEXT(Table1[[#This Row],[Order Date]],"yyyy")</f>
        <v>2024</v>
      </c>
    </row>
    <row r="556" spans="1:23" x14ac:dyDescent="0.25">
      <c r="A556" s="2" t="s">
        <v>791</v>
      </c>
      <c r="B556" s="4">
        <v>45639</v>
      </c>
      <c r="C556" s="2" t="s">
        <v>168</v>
      </c>
      <c r="D556" s="2" t="str">
        <f>TEXT(Table1[[#This Row],[Order Date]],"mmmm")</f>
        <v>December</v>
      </c>
      <c r="E556" s="2" t="s">
        <v>155</v>
      </c>
      <c r="F556" s="2">
        <v>1</v>
      </c>
      <c r="G556" s="5">
        <v>0.15</v>
      </c>
      <c r="H556" s="2" t="s">
        <v>19</v>
      </c>
      <c r="I556" s="2" t="s">
        <v>38</v>
      </c>
      <c r="J556" s="2" t="s">
        <v>94</v>
      </c>
      <c r="K556">
        <f>VLOOKUP(E556,Products!$A$2:$E$23,5,0)</f>
        <v>1599</v>
      </c>
      <c r="L556">
        <f>VLOOKUP(E556,Products!$A$2:$E$23,4,0)</f>
        <v>900</v>
      </c>
      <c r="M556" s="2">
        <f>K556*F556-Table1[[#This Row],[discount_amount]]</f>
        <v>1359.15</v>
      </c>
      <c r="N556">
        <f t="shared" si="17"/>
        <v>900</v>
      </c>
      <c r="O556">
        <f t="shared" si="16"/>
        <v>459.15000000000009</v>
      </c>
      <c r="P556">
        <f>Table1[[#This Row],[Quantity]]*Table1[[#This Row],[unit_price]]*Table1[[#This Row],[Discount]]</f>
        <v>239.85</v>
      </c>
      <c r="Q556" t="str">
        <f>VLOOKUP(E556,Products!$A$2:$E$23,2,0)</f>
        <v>Headphones</v>
      </c>
      <c r="R556" t="str">
        <f>VLOOKUP(Table1[[#This Row],[Product ID]],Products!$A$2:$E$23,3,0)</f>
        <v>Electronics</v>
      </c>
      <c r="S556" t="str">
        <f>VLOOKUP(C556,Customers!$A$2:$F$201,4,0)</f>
        <v>Delhi</v>
      </c>
      <c r="T556" t="str">
        <f>VLOOKUP(Table1[[#This Row],[Customer ID]],Customers!$A$2:$F$201,5,0)</f>
        <v>North</v>
      </c>
      <c r="U556" t="str">
        <f>VLOOKUP(Table1[[#This Row],[Customer ID]],Customers!$A$2:$F$201,6,0)</f>
        <v>Corporate</v>
      </c>
      <c r="V556" t="str">
        <f>TEXT(Table1[[#This Row],[Order Date]],"MMM")</f>
        <v>Dec</v>
      </c>
      <c r="W556" t="str">
        <f>TEXT(Table1[[#This Row],[Order Date]],"yyyy")</f>
        <v>2024</v>
      </c>
    </row>
    <row r="557" spans="1:23" x14ac:dyDescent="0.25">
      <c r="A557" s="2" t="s">
        <v>792</v>
      </c>
      <c r="B557" s="4">
        <v>45639</v>
      </c>
      <c r="C557" s="2" t="s">
        <v>320</v>
      </c>
      <c r="D557" s="2" t="str">
        <f>TEXT(Table1[[#This Row],[Order Date]],"mmmm")</f>
        <v>December</v>
      </c>
      <c r="E557" s="2" t="s">
        <v>24</v>
      </c>
      <c r="F557" s="2">
        <v>1</v>
      </c>
      <c r="G557" s="5">
        <v>0.05</v>
      </c>
      <c r="H557" s="2" t="s">
        <v>30</v>
      </c>
      <c r="I557" s="2" t="s">
        <v>31</v>
      </c>
      <c r="J557" s="2" t="s">
        <v>21</v>
      </c>
      <c r="K557">
        <f>VLOOKUP(E557,Products!$A$2:$E$23,5,0)</f>
        <v>899</v>
      </c>
      <c r="L557">
        <f>VLOOKUP(E557,Products!$A$2:$E$23,4,0)</f>
        <v>500</v>
      </c>
      <c r="M557" s="2">
        <f>K557*F557-Table1[[#This Row],[discount_amount]]</f>
        <v>854.05</v>
      </c>
      <c r="N557">
        <f t="shared" si="17"/>
        <v>500</v>
      </c>
      <c r="O557">
        <f t="shared" si="16"/>
        <v>354.04999999999995</v>
      </c>
      <c r="P557">
        <f>Table1[[#This Row],[Quantity]]*Table1[[#This Row],[unit_price]]*Table1[[#This Row],[Discount]]</f>
        <v>44.95</v>
      </c>
      <c r="Q557" t="str">
        <f>VLOOKUP(E557,Products!$A$2:$E$23,2,0)</f>
        <v>Monitor Stand</v>
      </c>
      <c r="R557" t="str">
        <f>VLOOKUP(Table1[[#This Row],[Product ID]],Products!$A$2:$E$23,3,0)</f>
        <v>Furniture</v>
      </c>
      <c r="S557" t="str">
        <f>VLOOKUP(C557,Customers!$A$2:$F$201,4,0)</f>
        <v>Gujarat</v>
      </c>
      <c r="T557" t="str">
        <f>VLOOKUP(Table1[[#This Row],[Customer ID]],Customers!$A$2:$F$201,5,0)</f>
        <v>West</v>
      </c>
      <c r="U557" t="str">
        <f>VLOOKUP(Table1[[#This Row],[Customer ID]],Customers!$A$2:$F$201,6,0)</f>
        <v>Consumer</v>
      </c>
      <c r="V557" t="str">
        <f>TEXT(Table1[[#This Row],[Order Date]],"MMM")</f>
        <v>Dec</v>
      </c>
      <c r="W557" t="str">
        <f>TEXT(Table1[[#This Row],[Order Date]],"yyyy")</f>
        <v>2024</v>
      </c>
    </row>
    <row r="558" spans="1:23" x14ac:dyDescent="0.25">
      <c r="A558" s="2" t="s">
        <v>793</v>
      </c>
      <c r="B558" s="4">
        <v>45639</v>
      </c>
      <c r="C558" s="2" t="s">
        <v>102</v>
      </c>
      <c r="D558" s="2" t="str">
        <f>TEXT(Table1[[#This Row],[Order Date]],"mmmm")</f>
        <v>December</v>
      </c>
      <c r="E558" s="2" t="s">
        <v>63</v>
      </c>
      <c r="F558" s="2">
        <v>20</v>
      </c>
      <c r="G558" s="5">
        <v>0.1</v>
      </c>
      <c r="H558" s="2" t="s">
        <v>25</v>
      </c>
      <c r="I558" s="2" t="s">
        <v>46</v>
      </c>
      <c r="J558" s="2" t="s">
        <v>21</v>
      </c>
      <c r="K558">
        <f>VLOOKUP(E558,Products!$A$2:$E$23,5,0)</f>
        <v>5499</v>
      </c>
      <c r="L558">
        <f>VLOOKUP(E558,Products!$A$2:$E$23,4,0)</f>
        <v>3500</v>
      </c>
      <c r="M558" s="2">
        <f>K558*F558-Table1[[#This Row],[discount_amount]]</f>
        <v>98982</v>
      </c>
      <c r="N558">
        <f t="shared" si="17"/>
        <v>70000</v>
      </c>
      <c r="O558">
        <f t="shared" si="16"/>
        <v>28982</v>
      </c>
      <c r="P558">
        <f>Table1[[#This Row],[Quantity]]*Table1[[#This Row],[unit_price]]*Table1[[#This Row],[Discount]]</f>
        <v>10998</v>
      </c>
      <c r="Q558" t="str">
        <f>VLOOKUP(E558,Products!$A$2:$E$23,2,0)</f>
        <v>Office Chair</v>
      </c>
      <c r="R558" t="str">
        <f>VLOOKUP(Table1[[#This Row],[Product ID]],Products!$A$2:$E$23,3,0)</f>
        <v>Furniture</v>
      </c>
      <c r="S558" t="str">
        <f>VLOOKUP(C558,Customers!$A$2:$F$201,4,0)</f>
        <v>Madhya Pradesh</v>
      </c>
      <c r="T558" t="str">
        <f>VLOOKUP(Table1[[#This Row],[Customer ID]],Customers!$A$2:$F$201,5,0)</f>
        <v>Central</v>
      </c>
      <c r="U558" t="str">
        <f>VLOOKUP(Table1[[#This Row],[Customer ID]],Customers!$A$2:$F$201,6,0)</f>
        <v>Consumer</v>
      </c>
      <c r="V558" t="str">
        <f>TEXT(Table1[[#This Row],[Order Date]],"MMM")</f>
        <v>Dec</v>
      </c>
      <c r="W558" t="str">
        <f>TEXT(Table1[[#This Row],[Order Date]],"yyyy")</f>
        <v>2024</v>
      </c>
    </row>
    <row r="559" spans="1:23" x14ac:dyDescent="0.25">
      <c r="A559" s="2" t="s">
        <v>794</v>
      </c>
      <c r="B559" s="4">
        <v>45640</v>
      </c>
      <c r="C559" s="2" t="s">
        <v>535</v>
      </c>
      <c r="D559" s="2" t="str">
        <f>TEXT(Table1[[#This Row],[Order Date]],"mmmm")</f>
        <v>December</v>
      </c>
      <c r="E559" s="2" t="s">
        <v>45</v>
      </c>
      <c r="F559" s="2">
        <v>10</v>
      </c>
      <c r="G559" s="5">
        <v>0.15</v>
      </c>
      <c r="H559" s="2" t="s">
        <v>19</v>
      </c>
      <c r="I559" s="2" t="s">
        <v>46</v>
      </c>
      <c r="J559" s="2" t="s">
        <v>21</v>
      </c>
      <c r="K559">
        <f>VLOOKUP(E559,Products!$A$2:$E$23,5,0)</f>
        <v>899</v>
      </c>
      <c r="L559">
        <f>VLOOKUP(E559,Products!$A$2:$E$23,4,0)</f>
        <v>450</v>
      </c>
      <c r="M559" s="2">
        <f>K559*F559-Table1[[#This Row],[discount_amount]]</f>
        <v>7641.5</v>
      </c>
      <c r="N559">
        <f t="shared" si="17"/>
        <v>4500</v>
      </c>
      <c r="O559">
        <f t="shared" si="16"/>
        <v>3141.5</v>
      </c>
      <c r="P559">
        <f>Table1[[#This Row],[Quantity]]*Table1[[#This Row],[unit_price]]*Table1[[#This Row],[Discount]]</f>
        <v>1348.5</v>
      </c>
      <c r="Q559" t="str">
        <f>VLOOKUP(E559,Products!$A$2:$E$23,2,0)</f>
        <v>Track Pants</v>
      </c>
      <c r="R559" t="str">
        <f>VLOOKUP(Table1[[#This Row],[Product ID]],Products!$A$2:$E$23,3,0)</f>
        <v>Clothing</v>
      </c>
      <c r="S559" t="str">
        <f>VLOOKUP(C559,Customers!$A$2:$F$201,4,0)</f>
        <v>Maharashtra</v>
      </c>
      <c r="T559" t="str">
        <f>VLOOKUP(Table1[[#This Row],[Customer ID]],Customers!$A$2:$F$201,5,0)</f>
        <v>Central</v>
      </c>
      <c r="U559" t="str">
        <f>VLOOKUP(Table1[[#This Row],[Customer ID]],Customers!$A$2:$F$201,6,0)</f>
        <v>Consumer</v>
      </c>
      <c r="V559" t="str">
        <f>TEXT(Table1[[#This Row],[Order Date]],"MMM")</f>
        <v>Dec</v>
      </c>
      <c r="W559" t="str">
        <f>TEXT(Table1[[#This Row],[Order Date]],"yyyy")</f>
        <v>2024</v>
      </c>
    </row>
    <row r="560" spans="1:23" x14ac:dyDescent="0.25">
      <c r="A560" s="2" t="s">
        <v>795</v>
      </c>
      <c r="B560" s="4">
        <v>45640</v>
      </c>
      <c r="C560" s="2" t="s">
        <v>636</v>
      </c>
      <c r="D560" s="2" t="str">
        <f>TEXT(Table1[[#This Row],[Order Date]],"mmmm")</f>
        <v>December</v>
      </c>
      <c r="E560" s="2" t="s">
        <v>127</v>
      </c>
      <c r="F560" s="2">
        <v>4</v>
      </c>
      <c r="G560" s="5">
        <v>0.05</v>
      </c>
      <c r="H560" s="2" t="s">
        <v>25</v>
      </c>
      <c r="I560" s="2" t="s">
        <v>38</v>
      </c>
      <c r="J560" s="2" t="s">
        <v>21</v>
      </c>
      <c r="K560">
        <f>VLOOKUP(E560,Products!$A$2:$E$23,5,0)</f>
        <v>1999</v>
      </c>
      <c r="L560">
        <f>VLOOKUP(E560,Products!$A$2:$E$23,4,0)</f>
        <v>1200</v>
      </c>
      <c r="M560" s="2">
        <f>K560*F560-Table1[[#This Row],[discount_amount]]</f>
        <v>7596.2</v>
      </c>
      <c r="N560">
        <f t="shared" si="17"/>
        <v>4800</v>
      </c>
      <c r="O560">
        <f t="shared" si="16"/>
        <v>2796.2</v>
      </c>
      <c r="P560">
        <f>Table1[[#This Row],[Quantity]]*Table1[[#This Row],[unit_price]]*Table1[[#This Row],[Discount]]</f>
        <v>399.8</v>
      </c>
      <c r="Q560" t="str">
        <f>VLOOKUP(E560,Products!$A$2:$E$23,2,0)</f>
        <v>Bluetooth Speaker</v>
      </c>
      <c r="R560" t="str">
        <f>VLOOKUP(Table1[[#This Row],[Product ID]],Products!$A$2:$E$23,3,0)</f>
        <v>Electronics</v>
      </c>
      <c r="S560" t="str">
        <f>VLOOKUP(C560,Customers!$A$2:$F$201,4,0)</f>
        <v>Rajasthan</v>
      </c>
      <c r="T560" t="str">
        <f>VLOOKUP(Table1[[#This Row],[Customer ID]],Customers!$A$2:$F$201,5,0)</f>
        <v>North</v>
      </c>
      <c r="U560" t="str">
        <f>VLOOKUP(Table1[[#This Row],[Customer ID]],Customers!$A$2:$F$201,6,0)</f>
        <v>Home Office</v>
      </c>
      <c r="V560" t="str">
        <f>TEXT(Table1[[#This Row],[Order Date]],"MMM")</f>
        <v>Dec</v>
      </c>
      <c r="W560" t="str">
        <f>TEXT(Table1[[#This Row],[Order Date]],"yyyy")</f>
        <v>2024</v>
      </c>
    </row>
    <row r="561" spans="1:23" x14ac:dyDescent="0.25">
      <c r="A561" s="2" t="s">
        <v>796</v>
      </c>
      <c r="B561" s="4">
        <v>45641</v>
      </c>
      <c r="C561" s="2" t="s">
        <v>59</v>
      </c>
      <c r="D561" s="2" t="str">
        <f>TEXT(Table1[[#This Row],[Order Date]],"mmmm")</f>
        <v>December</v>
      </c>
      <c r="E561" s="2" t="s">
        <v>29</v>
      </c>
      <c r="F561" s="2">
        <v>6</v>
      </c>
      <c r="G561" s="5">
        <v>0.15</v>
      </c>
      <c r="H561" s="2" t="s">
        <v>30</v>
      </c>
      <c r="I561" s="2" t="s">
        <v>38</v>
      </c>
      <c r="J561" s="2" t="s">
        <v>21</v>
      </c>
      <c r="K561">
        <f>VLOOKUP(E561,Products!$A$2:$E$23,5,0)</f>
        <v>599</v>
      </c>
      <c r="L561">
        <f>VLOOKUP(E561,Products!$A$2:$E$23,4,0)</f>
        <v>350</v>
      </c>
      <c r="M561" s="2">
        <f>K561*F561-Table1[[#This Row],[discount_amount]]</f>
        <v>3054.9</v>
      </c>
      <c r="N561">
        <f t="shared" si="17"/>
        <v>2100</v>
      </c>
      <c r="O561">
        <f t="shared" si="16"/>
        <v>954.90000000000009</v>
      </c>
      <c r="P561">
        <f>Table1[[#This Row],[Quantity]]*Table1[[#This Row],[unit_price]]*Table1[[#This Row],[Discount]]</f>
        <v>539.1</v>
      </c>
      <c r="Q561" t="str">
        <f>VLOOKUP(E561,Products!$A$2:$E$23,2,0)</f>
        <v>USB Flash Drive 64GB</v>
      </c>
      <c r="R561" t="str">
        <f>VLOOKUP(Table1[[#This Row],[Product ID]],Products!$A$2:$E$23,3,0)</f>
        <v>Electronics</v>
      </c>
      <c r="S561" t="str">
        <f>VLOOKUP(C561,Customers!$A$2:$F$201,4,0)</f>
        <v>Rajasthan</v>
      </c>
      <c r="T561" t="str">
        <f>VLOOKUP(Table1[[#This Row],[Customer ID]],Customers!$A$2:$F$201,5,0)</f>
        <v>North</v>
      </c>
      <c r="U561" t="str">
        <f>VLOOKUP(Table1[[#This Row],[Customer ID]],Customers!$A$2:$F$201,6,0)</f>
        <v>Corporate</v>
      </c>
      <c r="V561" t="str">
        <f>TEXT(Table1[[#This Row],[Order Date]],"MMM")</f>
        <v>Dec</v>
      </c>
      <c r="W561" t="str">
        <f>TEXT(Table1[[#This Row],[Order Date]],"yyyy")</f>
        <v>2024</v>
      </c>
    </row>
    <row r="562" spans="1:23" x14ac:dyDescent="0.25">
      <c r="A562" s="2" t="s">
        <v>797</v>
      </c>
      <c r="B562" s="4">
        <v>45641</v>
      </c>
      <c r="C562" s="2" t="s">
        <v>713</v>
      </c>
      <c r="D562" s="2" t="str">
        <f>TEXT(Table1[[#This Row],[Order Date]],"mmmm")</f>
        <v>December</v>
      </c>
      <c r="E562" s="2" t="s">
        <v>34</v>
      </c>
      <c r="F562" s="2">
        <v>5</v>
      </c>
      <c r="G562" s="5">
        <v>0.2</v>
      </c>
      <c r="H562" s="2" t="s">
        <v>25</v>
      </c>
      <c r="I562" s="2" t="s">
        <v>38</v>
      </c>
      <c r="J562" s="2" t="s">
        <v>21</v>
      </c>
      <c r="K562">
        <f>VLOOKUP(E562,Products!$A$2:$E$23,5,0)</f>
        <v>4599</v>
      </c>
      <c r="L562">
        <f>VLOOKUP(E562,Products!$A$2:$E$23,4,0)</f>
        <v>3000</v>
      </c>
      <c r="M562" s="2">
        <f>K562*F562-Table1[[#This Row],[discount_amount]]</f>
        <v>18396</v>
      </c>
      <c r="N562">
        <f t="shared" si="17"/>
        <v>15000</v>
      </c>
      <c r="O562">
        <f t="shared" si="16"/>
        <v>3396</v>
      </c>
      <c r="P562">
        <f>Table1[[#This Row],[Quantity]]*Table1[[#This Row],[unit_price]]*Table1[[#This Row],[Discount]]</f>
        <v>4599</v>
      </c>
      <c r="Q562" t="str">
        <f>VLOOKUP(E562,Products!$A$2:$E$23,2,0)</f>
        <v>Filing Cabinet</v>
      </c>
      <c r="R562" t="str">
        <f>VLOOKUP(Table1[[#This Row],[Product ID]],Products!$A$2:$E$23,3,0)</f>
        <v>Furniture</v>
      </c>
      <c r="S562" t="str">
        <f>VLOOKUP(C562,Customers!$A$2:$F$201,4,0)</f>
        <v>Gujarat</v>
      </c>
      <c r="T562" t="str">
        <f>VLOOKUP(Table1[[#This Row],[Customer ID]],Customers!$A$2:$F$201,5,0)</f>
        <v>West</v>
      </c>
      <c r="U562" t="str">
        <f>VLOOKUP(Table1[[#This Row],[Customer ID]],Customers!$A$2:$F$201,6,0)</f>
        <v>Consumer</v>
      </c>
      <c r="V562" t="str">
        <f>TEXT(Table1[[#This Row],[Order Date]],"MMM")</f>
        <v>Dec</v>
      </c>
      <c r="W562" t="str">
        <f>TEXT(Table1[[#This Row],[Order Date]],"yyyy")</f>
        <v>2024</v>
      </c>
    </row>
    <row r="563" spans="1:23" x14ac:dyDescent="0.25">
      <c r="A563" s="2" t="s">
        <v>798</v>
      </c>
      <c r="B563" s="4">
        <v>45643</v>
      </c>
      <c r="C563" s="2" t="s">
        <v>437</v>
      </c>
      <c r="D563" s="2" t="str">
        <f>TEXT(Table1[[#This Row],[Order Date]],"mmmm")</f>
        <v>December</v>
      </c>
      <c r="E563" s="2" t="s">
        <v>24</v>
      </c>
      <c r="F563" s="2">
        <v>10</v>
      </c>
      <c r="G563" s="5">
        <v>0</v>
      </c>
      <c r="H563" s="2" t="s">
        <v>19</v>
      </c>
      <c r="I563" s="2" t="s">
        <v>31</v>
      </c>
      <c r="J563" s="2" t="s">
        <v>21</v>
      </c>
      <c r="K563">
        <f>VLOOKUP(E563,Products!$A$2:$E$23,5,0)</f>
        <v>899</v>
      </c>
      <c r="L563">
        <f>VLOOKUP(E563,Products!$A$2:$E$23,4,0)</f>
        <v>500</v>
      </c>
      <c r="M563" s="2">
        <f>K563*F563-Table1[[#This Row],[discount_amount]]</f>
        <v>8990</v>
      </c>
      <c r="N563">
        <f t="shared" si="17"/>
        <v>5000</v>
      </c>
      <c r="O563">
        <f t="shared" si="16"/>
        <v>3990</v>
      </c>
      <c r="P563">
        <f>Table1[[#This Row],[Quantity]]*Table1[[#This Row],[unit_price]]*Table1[[#This Row],[Discount]]</f>
        <v>0</v>
      </c>
      <c r="Q563" t="str">
        <f>VLOOKUP(E563,Products!$A$2:$E$23,2,0)</f>
        <v>Monitor Stand</v>
      </c>
      <c r="R563" t="str">
        <f>VLOOKUP(Table1[[#This Row],[Product ID]],Products!$A$2:$E$23,3,0)</f>
        <v>Furniture</v>
      </c>
      <c r="S563" t="str">
        <f>VLOOKUP(C563,Customers!$A$2:$F$201,4,0)</f>
        <v>Maharashtra</v>
      </c>
      <c r="T563" t="str">
        <f>VLOOKUP(Table1[[#This Row],[Customer ID]],Customers!$A$2:$F$201,5,0)</f>
        <v>Central</v>
      </c>
      <c r="U563" t="str">
        <f>VLOOKUP(Table1[[#This Row],[Customer ID]],Customers!$A$2:$F$201,6,0)</f>
        <v>Consumer</v>
      </c>
      <c r="V563" t="str">
        <f>TEXT(Table1[[#This Row],[Order Date]],"MMM")</f>
        <v>Dec</v>
      </c>
      <c r="W563" t="str">
        <f>TEXT(Table1[[#This Row],[Order Date]],"yyyy")</f>
        <v>2024</v>
      </c>
    </row>
    <row r="564" spans="1:23" x14ac:dyDescent="0.25">
      <c r="A564" s="2" t="s">
        <v>799</v>
      </c>
      <c r="B564" s="4">
        <v>45645</v>
      </c>
      <c r="C564" s="2" t="s">
        <v>93</v>
      </c>
      <c r="D564" s="2" t="str">
        <f>TEXT(Table1[[#This Row],[Order Date]],"mmmm")</f>
        <v>December</v>
      </c>
      <c r="E564" s="2" t="s">
        <v>49</v>
      </c>
      <c r="F564" s="2">
        <v>4</v>
      </c>
      <c r="G564" s="5">
        <v>0</v>
      </c>
      <c r="H564" s="2" t="s">
        <v>25</v>
      </c>
      <c r="I564" s="2" t="s">
        <v>46</v>
      </c>
      <c r="J564" s="2" t="s">
        <v>21</v>
      </c>
      <c r="K564">
        <f>VLOOKUP(E564,Products!$A$2:$E$23,5,0)</f>
        <v>700</v>
      </c>
      <c r="L564">
        <f>VLOOKUP(E564,Products!$A$2:$E$23,4,0)</f>
        <v>450</v>
      </c>
      <c r="M564" s="2">
        <f>K564*F564-Table1[[#This Row],[discount_amount]]</f>
        <v>2800</v>
      </c>
      <c r="N564">
        <f t="shared" si="17"/>
        <v>1800</v>
      </c>
      <c r="O564">
        <f t="shared" si="16"/>
        <v>1000</v>
      </c>
      <c r="P564">
        <f>Table1[[#This Row],[Quantity]]*Table1[[#This Row],[unit_price]]*Table1[[#This Row],[Discount]]</f>
        <v>0</v>
      </c>
      <c r="Q564" t="str">
        <f>VLOOKUP(E564,Products!$A$2:$E$23,2,0)</f>
        <v>Wireless Mouse</v>
      </c>
      <c r="R564" t="str">
        <f>VLOOKUP(Table1[[#This Row],[Product ID]],Products!$A$2:$E$23,3,0)</f>
        <v>Electronics</v>
      </c>
      <c r="S564" t="str">
        <f>VLOOKUP(C564,Customers!$A$2:$F$201,4,0)</f>
        <v>Gujarat</v>
      </c>
      <c r="T564" t="str">
        <f>VLOOKUP(Table1[[#This Row],[Customer ID]],Customers!$A$2:$F$201,5,0)</f>
        <v>West</v>
      </c>
      <c r="U564" t="str">
        <f>VLOOKUP(Table1[[#This Row],[Customer ID]],Customers!$A$2:$F$201,6,0)</f>
        <v>Consumer</v>
      </c>
      <c r="V564" t="str">
        <f>TEXT(Table1[[#This Row],[Order Date]],"MMM")</f>
        <v>Dec</v>
      </c>
      <c r="W564" t="str">
        <f>TEXT(Table1[[#This Row],[Order Date]],"yyyy")</f>
        <v>2024</v>
      </c>
    </row>
    <row r="565" spans="1:23" x14ac:dyDescent="0.25">
      <c r="A565" s="2" t="s">
        <v>800</v>
      </c>
      <c r="B565" s="4">
        <v>45645</v>
      </c>
      <c r="C565" s="2" t="s">
        <v>68</v>
      </c>
      <c r="D565" s="2" t="str">
        <f>TEXT(Table1[[#This Row],[Order Date]],"mmmm")</f>
        <v>December</v>
      </c>
      <c r="E565" s="2" t="s">
        <v>49</v>
      </c>
      <c r="F565" s="2">
        <v>4</v>
      </c>
      <c r="G565" s="5">
        <v>0.05</v>
      </c>
      <c r="H565" s="2" t="s">
        <v>25</v>
      </c>
      <c r="I565" s="2" t="s">
        <v>26</v>
      </c>
      <c r="J565" s="2" t="s">
        <v>21</v>
      </c>
      <c r="K565">
        <f>VLOOKUP(E565,Products!$A$2:$E$23,5,0)</f>
        <v>700</v>
      </c>
      <c r="L565">
        <f>VLOOKUP(E565,Products!$A$2:$E$23,4,0)</f>
        <v>450</v>
      </c>
      <c r="M565" s="2">
        <f>K565*F565-Table1[[#This Row],[discount_amount]]</f>
        <v>2660</v>
      </c>
      <c r="N565">
        <f t="shared" si="17"/>
        <v>1800</v>
      </c>
      <c r="O565">
        <f t="shared" si="16"/>
        <v>860</v>
      </c>
      <c r="P565">
        <f>Table1[[#This Row],[Quantity]]*Table1[[#This Row],[unit_price]]*Table1[[#This Row],[Discount]]</f>
        <v>140</v>
      </c>
      <c r="Q565" t="str">
        <f>VLOOKUP(E565,Products!$A$2:$E$23,2,0)</f>
        <v>Wireless Mouse</v>
      </c>
      <c r="R565" t="str">
        <f>VLOOKUP(Table1[[#This Row],[Product ID]],Products!$A$2:$E$23,3,0)</f>
        <v>Electronics</v>
      </c>
      <c r="S565" t="str">
        <f>VLOOKUP(C565,Customers!$A$2:$F$201,4,0)</f>
        <v>Chandigarh</v>
      </c>
      <c r="T565" t="str">
        <f>VLOOKUP(Table1[[#This Row],[Customer ID]],Customers!$A$2:$F$201,5,0)</f>
        <v>North</v>
      </c>
      <c r="U565" t="str">
        <f>VLOOKUP(Table1[[#This Row],[Customer ID]],Customers!$A$2:$F$201,6,0)</f>
        <v>Consumer</v>
      </c>
      <c r="V565" t="str">
        <f>TEXT(Table1[[#This Row],[Order Date]],"MMM")</f>
        <v>Dec</v>
      </c>
      <c r="W565" t="str">
        <f>TEXT(Table1[[#This Row],[Order Date]],"yyyy")</f>
        <v>2024</v>
      </c>
    </row>
    <row r="566" spans="1:23" x14ac:dyDescent="0.25">
      <c r="A566" s="2" t="s">
        <v>801</v>
      </c>
      <c r="B566" s="4">
        <v>45645</v>
      </c>
      <c r="C566" s="2" t="s">
        <v>358</v>
      </c>
      <c r="D566" s="2" t="str">
        <f>TEXT(Table1[[#This Row],[Order Date]],"mmmm")</f>
        <v>December</v>
      </c>
      <c r="E566" s="2" t="s">
        <v>127</v>
      </c>
      <c r="F566" s="2">
        <v>3</v>
      </c>
      <c r="G566" s="5">
        <v>0.15</v>
      </c>
      <c r="H566" s="2" t="s">
        <v>30</v>
      </c>
      <c r="I566" s="2" t="s">
        <v>31</v>
      </c>
      <c r="J566" s="2" t="s">
        <v>21</v>
      </c>
      <c r="K566">
        <f>VLOOKUP(E566,Products!$A$2:$E$23,5,0)</f>
        <v>1999</v>
      </c>
      <c r="L566">
        <f>VLOOKUP(E566,Products!$A$2:$E$23,4,0)</f>
        <v>1200</v>
      </c>
      <c r="M566" s="2">
        <f>K566*F566-Table1[[#This Row],[discount_amount]]</f>
        <v>5097.45</v>
      </c>
      <c r="N566">
        <f t="shared" si="17"/>
        <v>3600</v>
      </c>
      <c r="O566">
        <f t="shared" si="16"/>
        <v>1497.4499999999998</v>
      </c>
      <c r="P566">
        <f>Table1[[#This Row],[Quantity]]*Table1[[#This Row],[unit_price]]*Table1[[#This Row],[Discount]]</f>
        <v>899.55</v>
      </c>
      <c r="Q566" t="str">
        <f>VLOOKUP(E566,Products!$A$2:$E$23,2,0)</f>
        <v>Bluetooth Speaker</v>
      </c>
      <c r="R566" t="str">
        <f>VLOOKUP(Table1[[#This Row],[Product ID]],Products!$A$2:$E$23,3,0)</f>
        <v>Electronics</v>
      </c>
      <c r="S566" t="str">
        <f>VLOOKUP(C566,Customers!$A$2:$F$201,4,0)</f>
        <v>Delhi</v>
      </c>
      <c r="T566" t="str">
        <f>VLOOKUP(Table1[[#This Row],[Customer ID]],Customers!$A$2:$F$201,5,0)</f>
        <v>North</v>
      </c>
      <c r="U566" t="str">
        <f>VLOOKUP(Table1[[#This Row],[Customer ID]],Customers!$A$2:$F$201,6,0)</f>
        <v>Consumer</v>
      </c>
      <c r="V566" t="str">
        <f>TEXT(Table1[[#This Row],[Order Date]],"MMM")</f>
        <v>Dec</v>
      </c>
      <c r="W566" t="str">
        <f>TEXT(Table1[[#This Row],[Order Date]],"yyyy")</f>
        <v>2024</v>
      </c>
    </row>
    <row r="567" spans="1:23" x14ac:dyDescent="0.25">
      <c r="A567" s="2" t="s">
        <v>802</v>
      </c>
      <c r="B567" s="4">
        <v>45645</v>
      </c>
      <c r="C567" s="2" t="s">
        <v>509</v>
      </c>
      <c r="D567" s="2" t="str">
        <f>TEXT(Table1[[#This Row],[Order Date]],"mmmm")</f>
        <v>December</v>
      </c>
      <c r="E567" s="2" t="s">
        <v>18</v>
      </c>
      <c r="F567" s="2">
        <v>2</v>
      </c>
      <c r="G567" s="5">
        <v>0.15</v>
      </c>
      <c r="H567" s="2" t="s">
        <v>30</v>
      </c>
      <c r="I567" s="2" t="s">
        <v>20</v>
      </c>
      <c r="J567" s="2" t="s">
        <v>21</v>
      </c>
      <c r="K567">
        <f>VLOOKUP(E567,Products!$A$2:$E$23,5,0)</f>
        <v>4299</v>
      </c>
      <c r="L567">
        <f>VLOOKUP(E567,Products!$A$2:$E$23,4,0)</f>
        <v>2800</v>
      </c>
      <c r="M567" s="2">
        <f>K567*F567-Table1[[#This Row],[discount_amount]]</f>
        <v>7308.3</v>
      </c>
      <c r="N567">
        <f t="shared" si="17"/>
        <v>5600</v>
      </c>
      <c r="O567">
        <f t="shared" si="16"/>
        <v>1708.3000000000002</v>
      </c>
      <c r="P567">
        <f>Table1[[#This Row],[Quantity]]*Table1[[#This Row],[unit_price]]*Table1[[#This Row],[Discount]]</f>
        <v>1289.7</v>
      </c>
      <c r="Q567" t="str">
        <f>VLOOKUP(E567,Products!$A$2:$E$23,2,0)</f>
        <v>Bookshelf</v>
      </c>
      <c r="R567" t="str">
        <f>VLOOKUP(Table1[[#This Row],[Product ID]],Products!$A$2:$E$23,3,0)</f>
        <v>Furniture</v>
      </c>
      <c r="S567" t="str">
        <f>VLOOKUP(C567,Customers!$A$2:$F$201,4,0)</f>
        <v>Madhya Pradesh</v>
      </c>
      <c r="T567" t="str">
        <f>VLOOKUP(Table1[[#This Row],[Customer ID]],Customers!$A$2:$F$201,5,0)</f>
        <v>Central</v>
      </c>
      <c r="U567" t="str">
        <f>VLOOKUP(Table1[[#This Row],[Customer ID]],Customers!$A$2:$F$201,6,0)</f>
        <v>Consumer</v>
      </c>
      <c r="V567" t="str">
        <f>TEXT(Table1[[#This Row],[Order Date]],"MMM")</f>
        <v>Dec</v>
      </c>
      <c r="W567" t="str">
        <f>TEXT(Table1[[#This Row],[Order Date]],"yyyy")</f>
        <v>2024</v>
      </c>
    </row>
    <row r="568" spans="1:23" x14ac:dyDescent="0.25">
      <c r="A568" s="2" t="s">
        <v>803</v>
      </c>
      <c r="B568" s="4">
        <v>45648</v>
      </c>
      <c r="C568" s="2" t="s">
        <v>217</v>
      </c>
      <c r="D568" s="2" t="str">
        <f>TEXT(Table1[[#This Row],[Order Date]],"mmmm")</f>
        <v>December</v>
      </c>
      <c r="E568" s="2" t="s">
        <v>60</v>
      </c>
      <c r="F568" s="2">
        <v>2</v>
      </c>
      <c r="G568" s="5">
        <v>0</v>
      </c>
      <c r="H568" s="2" t="s">
        <v>19</v>
      </c>
      <c r="I568" s="2" t="s">
        <v>31</v>
      </c>
      <c r="J568" s="2" t="s">
        <v>21</v>
      </c>
      <c r="K568">
        <f>VLOOKUP(E568,Products!$A$2:$E$23,5,0)</f>
        <v>449</v>
      </c>
      <c r="L568">
        <f>VLOOKUP(E568,Products!$A$2:$E$23,4,0)</f>
        <v>260</v>
      </c>
      <c r="M568" s="2">
        <f>K568*F568-Table1[[#This Row],[discount_amount]]</f>
        <v>898</v>
      </c>
      <c r="N568">
        <f t="shared" si="17"/>
        <v>520</v>
      </c>
      <c r="O568">
        <f t="shared" si="16"/>
        <v>378</v>
      </c>
      <c r="P568">
        <f>Table1[[#This Row],[Quantity]]*Table1[[#This Row],[unit_price]]*Table1[[#This Row],[Discount]]</f>
        <v>0</v>
      </c>
      <c r="Q568" t="str">
        <f>VLOOKUP(E568,Products!$A$2:$E$23,2,0)</f>
        <v>Desk Organizer</v>
      </c>
      <c r="R568" t="str">
        <f>VLOOKUP(Table1[[#This Row],[Product ID]],Products!$A$2:$E$23,3,0)</f>
        <v>Office Supplies</v>
      </c>
      <c r="S568" t="str">
        <f>VLOOKUP(C568,Customers!$A$2:$F$201,4,0)</f>
        <v>Madhya Pradesh</v>
      </c>
      <c r="T568" t="str">
        <f>VLOOKUP(Table1[[#This Row],[Customer ID]],Customers!$A$2:$F$201,5,0)</f>
        <v>Central</v>
      </c>
      <c r="U568" t="str">
        <f>VLOOKUP(Table1[[#This Row],[Customer ID]],Customers!$A$2:$F$201,6,0)</f>
        <v>Corporate</v>
      </c>
      <c r="V568" t="str">
        <f>TEXT(Table1[[#This Row],[Order Date]],"MMM")</f>
        <v>Dec</v>
      </c>
      <c r="W568" t="str">
        <f>TEXT(Table1[[#This Row],[Order Date]],"yyyy")</f>
        <v>2024</v>
      </c>
    </row>
    <row r="569" spans="1:23" x14ac:dyDescent="0.25">
      <c r="A569" s="2" t="s">
        <v>804</v>
      </c>
      <c r="B569" s="4">
        <v>45649</v>
      </c>
      <c r="C569" s="2" t="s">
        <v>615</v>
      </c>
      <c r="D569" s="2" t="str">
        <f>TEXT(Table1[[#This Row],[Order Date]],"mmmm")</f>
        <v>December</v>
      </c>
      <c r="E569" s="2" t="s">
        <v>24</v>
      </c>
      <c r="F569" s="2">
        <v>10</v>
      </c>
      <c r="G569" s="5">
        <v>0</v>
      </c>
      <c r="H569" s="2" t="s">
        <v>25</v>
      </c>
      <c r="I569" s="2" t="s">
        <v>46</v>
      </c>
      <c r="J569" s="2" t="s">
        <v>21</v>
      </c>
      <c r="K569">
        <f>VLOOKUP(E569,Products!$A$2:$E$23,5,0)</f>
        <v>899</v>
      </c>
      <c r="L569">
        <f>VLOOKUP(E569,Products!$A$2:$E$23,4,0)</f>
        <v>500</v>
      </c>
      <c r="M569" s="2">
        <f>K569*F569-Table1[[#This Row],[discount_amount]]</f>
        <v>8990</v>
      </c>
      <c r="N569">
        <f t="shared" si="17"/>
        <v>5000</v>
      </c>
      <c r="O569">
        <f t="shared" si="16"/>
        <v>3990</v>
      </c>
      <c r="P569">
        <f>Table1[[#This Row],[Quantity]]*Table1[[#This Row],[unit_price]]*Table1[[#This Row],[Discount]]</f>
        <v>0</v>
      </c>
      <c r="Q569" t="str">
        <f>VLOOKUP(E569,Products!$A$2:$E$23,2,0)</f>
        <v>Monitor Stand</v>
      </c>
      <c r="R569" t="str">
        <f>VLOOKUP(Table1[[#This Row],[Product ID]],Products!$A$2:$E$23,3,0)</f>
        <v>Furniture</v>
      </c>
      <c r="S569" t="str">
        <f>VLOOKUP(C569,Customers!$A$2:$F$201,4,0)</f>
        <v>Delhi</v>
      </c>
      <c r="T569" t="str">
        <f>VLOOKUP(Table1[[#This Row],[Customer ID]],Customers!$A$2:$F$201,5,0)</f>
        <v>North</v>
      </c>
      <c r="U569" t="str">
        <f>VLOOKUP(Table1[[#This Row],[Customer ID]],Customers!$A$2:$F$201,6,0)</f>
        <v>Corporate</v>
      </c>
      <c r="V569" t="str">
        <f>TEXT(Table1[[#This Row],[Order Date]],"MMM")</f>
        <v>Dec</v>
      </c>
      <c r="W569" t="str">
        <f>TEXT(Table1[[#This Row],[Order Date]],"yyyy")</f>
        <v>2024</v>
      </c>
    </row>
    <row r="570" spans="1:23" x14ac:dyDescent="0.25">
      <c r="A570" s="2" t="s">
        <v>805</v>
      </c>
      <c r="B570" s="4">
        <v>45649</v>
      </c>
      <c r="C570" s="2" t="s">
        <v>806</v>
      </c>
      <c r="D570" s="2" t="str">
        <f>TEXT(Table1[[#This Row],[Order Date]],"mmmm")</f>
        <v>December</v>
      </c>
      <c r="E570" s="2" t="s">
        <v>66</v>
      </c>
      <c r="F570" s="2">
        <v>10</v>
      </c>
      <c r="G570" s="5">
        <v>0.05</v>
      </c>
      <c r="H570" s="2" t="s">
        <v>30</v>
      </c>
      <c r="I570" s="2" t="s">
        <v>31</v>
      </c>
      <c r="J570" s="2" t="s">
        <v>79</v>
      </c>
      <c r="K570">
        <f>VLOOKUP(E570,Products!$A$2:$E$23,5,0)</f>
        <v>1299</v>
      </c>
      <c r="L570">
        <f>VLOOKUP(E570,Products!$A$2:$E$23,4,0)</f>
        <v>800</v>
      </c>
      <c r="M570" s="2">
        <f>K570*F570-Table1[[#This Row],[discount_amount]]</f>
        <v>12340.5</v>
      </c>
      <c r="N570">
        <f t="shared" si="17"/>
        <v>8000</v>
      </c>
      <c r="O570">
        <f t="shared" si="16"/>
        <v>4340.5</v>
      </c>
      <c r="P570">
        <f>Table1[[#This Row],[Quantity]]*Table1[[#This Row],[unit_price]]*Table1[[#This Row],[Discount]]</f>
        <v>649.5</v>
      </c>
      <c r="Q570" t="str">
        <f>VLOOKUP(E570,Products!$A$2:$E$23,2,0)</f>
        <v>Power Bank 10000mAh</v>
      </c>
      <c r="R570" t="str">
        <f>VLOOKUP(Table1[[#This Row],[Product ID]],Products!$A$2:$E$23,3,0)</f>
        <v>Electronics</v>
      </c>
      <c r="S570" t="str">
        <f>VLOOKUP(C570,Customers!$A$2:$F$201,4,0)</f>
        <v>Madhya Pradesh</v>
      </c>
      <c r="T570" t="str">
        <f>VLOOKUP(Table1[[#This Row],[Customer ID]],Customers!$A$2:$F$201,5,0)</f>
        <v>Central</v>
      </c>
      <c r="U570" t="str">
        <f>VLOOKUP(Table1[[#This Row],[Customer ID]],Customers!$A$2:$F$201,6,0)</f>
        <v>Consumer</v>
      </c>
      <c r="V570" t="str">
        <f>TEXT(Table1[[#This Row],[Order Date]],"MMM")</f>
        <v>Dec</v>
      </c>
      <c r="W570" t="str">
        <f>TEXT(Table1[[#This Row],[Order Date]],"yyyy")</f>
        <v>2024</v>
      </c>
    </row>
    <row r="571" spans="1:23" x14ac:dyDescent="0.25">
      <c r="A571" s="2" t="s">
        <v>807</v>
      </c>
      <c r="B571" s="4">
        <v>45650</v>
      </c>
      <c r="C571" s="2" t="s">
        <v>219</v>
      </c>
      <c r="D571" s="2" t="str">
        <f>TEXT(Table1[[#This Row],[Order Date]],"mmmm")</f>
        <v>December</v>
      </c>
      <c r="E571" s="2" t="s">
        <v>82</v>
      </c>
      <c r="F571" s="2">
        <v>2</v>
      </c>
      <c r="G571" s="5">
        <v>0.05</v>
      </c>
      <c r="H571" s="2" t="s">
        <v>30</v>
      </c>
      <c r="I571" s="2" t="s">
        <v>26</v>
      </c>
      <c r="J571" s="2" t="s">
        <v>21</v>
      </c>
      <c r="K571">
        <f>VLOOKUP(E571,Products!$A$2:$E$23,5,0)</f>
        <v>1799</v>
      </c>
      <c r="L571">
        <f>VLOOKUP(E571,Products!$A$2:$E$23,4,0)</f>
        <v>1100</v>
      </c>
      <c r="M571" s="2">
        <f>K571*F571-Table1[[#This Row],[discount_amount]]</f>
        <v>3418.1</v>
      </c>
      <c r="N571">
        <f t="shared" si="17"/>
        <v>2200</v>
      </c>
      <c r="O571">
        <f t="shared" si="16"/>
        <v>1218.0999999999999</v>
      </c>
      <c r="P571">
        <f>Table1[[#This Row],[Quantity]]*Table1[[#This Row],[unit_price]]*Table1[[#This Row],[Discount]]</f>
        <v>179.9</v>
      </c>
      <c r="Q571" t="str">
        <f>VLOOKUP(E571,Products!$A$2:$E$23,2,0)</f>
        <v>Webcam HD</v>
      </c>
      <c r="R571" t="str">
        <f>VLOOKUP(Table1[[#This Row],[Product ID]],Products!$A$2:$E$23,3,0)</f>
        <v>Electronics</v>
      </c>
      <c r="S571" t="str">
        <f>VLOOKUP(C571,Customers!$A$2:$F$201,4,0)</f>
        <v>Gujarat</v>
      </c>
      <c r="T571" t="str">
        <f>VLOOKUP(Table1[[#This Row],[Customer ID]],Customers!$A$2:$F$201,5,0)</f>
        <v>West</v>
      </c>
      <c r="U571" t="str">
        <f>VLOOKUP(Table1[[#This Row],[Customer ID]],Customers!$A$2:$F$201,6,0)</f>
        <v>Consumer</v>
      </c>
      <c r="V571" t="str">
        <f>TEXT(Table1[[#This Row],[Order Date]],"MMM")</f>
        <v>Dec</v>
      </c>
      <c r="W571" t="str">
        <f>TEXT(Table1[[#This Row],[Order Date]],"yyyy")</f>
        <v>2024</v>
      </c>
    </row>
    <row r="572" spans="1:23" x14ac:dyDescent="0.25">
      <c r="A572" s="2" t="s">
        <v>808</v>
      </c>
      <c r="B572" s="4">
        <v>45650</v>
      </c>
      <c r="C572" s="2" t="s">
        <v>28</v>
      </c>
      <c r="D572" s="2" t="str">
        <f>TEXT(Table1[[#This Row],[Order Date]],"mmmm")</f>
        <v>December</v>
      </c>
      <c r="E572" s="2" t="s">
        <v>66</v>
      </c>
      <c r="F572" s="2">
        <v>1</v>
      </c>
      <c r="G572" s="5">
        <v>0.15</v>
      </c>
      <c r="H572" s="2" t="s">
        <v>19</v>
      </c>
      <c r="I572" s="2" t="s">
        <v>26</v>
      </c>
      <c r="J572" s="2" t="s">
        <v>21</v>
      </c>
      <c r="K572">
        <f>VLOOKUP(E572,Products!$A$2:$E$23,5,0)</f>
        <v>1299</v>
      </c>
      <c r="L572">
        <f>VLOOKUP(E572,Products!$A$2:$E$23,4,0)</f>
        <v>800</v>
      </c>
      <c r="M572" s="2">
        <f>K572*F572-Table1[[#This Row],[discount_amount]]</f>
        <v>1104.1500000000001</v>
      </c>
      <c r="N572">
        <f t="shared" si="17"/>
        <v>800</v>
      </c>
      <c r="O572">
        <f t="shared" si="16"/>
        <v>304.15000000000009</v>
      </c>
      <c r="P572">
        <f>Table1[[#This Row],[Quantity]]*Table1[[#This Row],[unit_price]]*Table1[[#This Row],[Discount]]</f>
        <v>194.85</v>
      </c>
      <c r="Q572" t="str">
        <f>VLOOKUP(E572,Products!$A$2:$E$23,2,0)</f>
        <v>Power Bank 10000mAh</v>
      </c>
      <c r="R572" t="str">
        <f>VLOOKUP(Table1[[#This Row],[Product ID]],Products!$A$2:$E$23,3,0)</f>
        <v>Electronics</v>
      </c>
      <c r="S572" t="str">
        <f>VLOOKUP(C572,Customers!$A$2:$F$201,4,0)</f>
        <v>Maharashtra</v>
      </c>
      <c r="T572" t="str">
        <f>VLOOKUP(Table1[[#This Row],[Customer ID]],Customers!$A$2:$F$201,5,0)</f>
        <v>West</v>
      </c>
      <c r="U572" t="str">
        <f>VLOOKUP(Table1[[#This Row],[Customer ID]],Customers!$A$2:$F$201,6,0)</f>
        <v>Consumer</v>
      </c>
      <c r="V572" t="str">
        <f>TEXT(Table1[[#This Row],[Order Date]],"MMM")</f>
        <v>Dec</v>
      </c>
      <c r="W572" t="str">
        <f>TEXT(Table1[[#This Row],[Order Date]],"yyyy")</f>
        <v>2024</v>
      </c>
    </row>
    <row r="573" spans="1:23" x14ac:dyDescent="0.25">
      <c r="A573" s="2" t="s">
        <v>809</v>
      </c>
      <c r="B573" s="4">
        <v>45651</v>
      </c>
      <c r="C573" s="2" t="s">
        <v>266</v>
      </c>
      <c r="D573" s="2" t="str">
        <f>TEXT(Table1[[#This Row],[Order Date]],"mmmm")</f>
        <v>December</v>
      </c>
      <c r="E573" s="2" t="s">
        <v>54</v>
      </c>
      <c r="F573" s="2">
        <v>3</v>
      </c>
      <c r="G573" s="5">
        <v>0.1</v>
      </c>
      <c r="H573" s="2" t="s">
        <v>30</v>
      </c>
      <c r="I573" s="2" t="s">
        <v>38</v>
      </c>
      <c r="J573" s="2" t="s">
        <v>21</v>
      </c>
      <c r="K573">
        <f>VLOOKUP(E573,Products!$A$2:$E$23,5,0)</f>
        <v>299</v>
      </c>
      <c r="L573">
        <f>VLOOKUP(E573,Products!$A$2:$E$23,4,0)</f>
        <v>180</v>
      </c>
      <c r="M573" s="2">
        <f>K573*F573-Table1[[#This Row],[discount_amount]]</f>
        <v>807.3</v>
      </c>
      <c r="N573">
        <f t="shared" si="17"/>
        <v>540</v>
      </c>
      <c r="O573">
        <f t="shared" si="16"/>
        <v>267.29999999999995</v>
      </c>
      <c r="P573">
        <f>Table1[[#This Row],[Quantity]]*Table1[[#This Row],[unit_price]]*Table1[[#This Row],[Discount]]</f>
        <v>89.7</v>
      </c>
      <c r="Q573" t="str">
        <f>VLOOKUP(E573,Products!$A$2:$E$23,2,0)</f>
        <v>Notebook Pack of 5</v>
      </c>
      <c r="R573" t="str">
        <f>VLOOKUP(Table1[[#This Row],[Product ID]],Products!$A$2:$E$23,3,0)</f>
        <v>Office Supplies</v>
      </c>
      <c r="S573" t="str">
        <f>VLOOKUP(C573,Customers!$A$2:$F$201,4,0)</f>
        <v>Odisha</v>
      </c>
      <c r="T573" t="str">
        <f>VLOOKUP(Table1[[#This Row],[Customer ID]],Customers!$A$2:$F$201,5,0)</f>
        <v>East</v>
      </c>
      <c r="U573" t="str">
        <f>VLOOKUP(Table1[[#This Row],[Customer ID]],Customers!$A$2:$F$201,6,0)</f>
        <v>Consumer</v>
      </c>
      <c r="V573" t="str">
        <f>TEXT(Table1[[#This Row],[Order Date]],"MMM")</f>
        <v>Dec</v>
      </c>
      <c r="W573" t="str">
        <f>TEXT(Table1[[#This Row],[Order Date]],"yyyy")</f>
        <v>2024</v>
      </c>
    </row>
    <row r="574" spans="1:23" x14ac:dyDescent="0.25">
      <c r="A574" s="2" t="s">
        <v>810</v>
      </c>
      <c r="B574" s="4">
        <v>45651</v>
      </c>
      <c r="C574" s="2" t="s">
        <v>40</v>
      </c>
      <c r="D574" s="2" t="str">
        <f>TEXT(Table1[[#This Row],[Order Date]],"mmmm")</f>
        <v>December</v>
      </c>
      <c r="E574" s="2" t="s">
        <v>37</v>
      </c>
      <c r="F574" s="2">
        <v>6</v>
      </c>
      <c r="G574" s="5">
        <v>0.05</v>
      </c>
      <c r="H574" s="2" t="s">
        <v>30</v>
      </c>
      <c r="I574" s="2" t="s">
        <v>46</v>
      </c>
      <c r="J574" s="2" t="s">
        <v>21</v>
      </c>
      <c r="K574">
        <f>VLOOKUP(E574,Products!$A$2:$E$23,5,0)</f>
        <v>1799</v>
      </c>
      <c r="L574">
        <f>VLOOKUP(E574,Products!$A$2:$E$23,4,0)</f>
        <v>900</v>
      </c>
      <c r="M574" s="2">
        <f>K574*F574-Table1[[#This Row],[discount_amount]]</f>
        <v>10254.299999999999</v>
      </c>
      <c r="N574">
        <f t="shared" si="17"/>
        <v>5400</v>
      </c>
      <c r="O574">
        <f t="shared" si="16"/>
        <v>4854.2999999999993</v>
      </c>
      <c r="P574">
        <f>Table1[[#This Row],[Quantity]]*Table1[[#This Row],[unit_price]]*Table1[[#This Row],[Discount]]</f>
        <v>539.70000000000005</v>
      </c>
      <c r="Q574" t="str">
        <f>VLOOKUP(E574,Products!$A$2:$E$23,2,0)</f>
        <v>Denim Jeans</v>
      </c>
      <c r="R574" t="str">
        <f>VLOOKUP(Table1[[#This Row],[Product ID]],Products!$A$2:$E$23,3,0)</f>
        <v>Clothing</v>
      </c>
      <c r="S574" t="str">
        <f>VLOOKUP(C574,Customers!$A$2:$F$201,4,0)</f>
        <v>Telangana</v>
      </c>
      <c r="T574" t="str">
        <f>VLOOKUP(Table1[[#This Row],[Customer ID]],Customers!$A$2:$F$201,5,0)</f>
        <v>South</v>
      </c>
      <c r="U574" t="str">
        <f>VLOOKUP(Table1[[#This Row],[Customer ID]],Customers!$A$2:$F$201,6,0)</f>
        <v>Corporate</v>
      </c>
      <c r="V574" t="str">
        <f>TEXT(Table1[[#This Row],[Order Date]],"MMM")</f>
        <v>Dec</v>
      </c>
      <c r="W574" t="str">
        <f>TEXT(Table1[[#This Row],[Order Date]],"yyyy")</f>
        <v>2024</v>
      </c>
    </row>
    <row r="575" spans="1:23" x14ac:dyDescent="0.25">
      <c r="A575" s="2" t="s">
        <v>811</v>
      </c>
      <c r="B575" s="4">
        <v>45652</v>
      </c>
      <c r="C575" s="2" t="s">
        <v>439</v>
      </c>
      <c r="D575" s="2" t="str">
        <f>TEXT(Table1[[#This Row],[Order Date]],"mmmm")</f>
        <v>December</v>
      </c>
      <c r="E575" s="2" t="s">
        <v>45</v>
      </c>
      <c r="F575" s="2">
        <v>4</v>
      </c>
      <c r="G575" s="5">
        <v>0.1</v>
      </c>
      <c r="H575" s="2" t="s">
        <v>25</v>
      </c>
      <c r="I575" s="2" t="s">
        <v>31</v>
      </c>
      <c r="J575" s="2" t="s">
        <v>21</v>
      </c>
      <c r="K575">
        <f>VLOOKUP(E575,Products!$A$2:$E$23,5,0)</f>
        <v>899</v>
      </c>
      <c r="L575">
        <f>VLOOKUP(E575,Products!$A$2:$E$23,4,0)</f>
        <v>450</v>
      </c>
      <c r="M575" s="2">
        <f>K575*F575-Table1[[#This Row],[discount_amount]]</f>
        <v>3236.4</v>
      </c>
      <c r="N575">
        <f t="shared" si="17"/>
        <v>1800</v>
      </c>
      <c r="O575">
        <f t="shared" si="16"/>
        <v>1436.4</v>
      </c>
      <c r="P575">
        <f>Table1[[#This Row],[Quantity]]*Table1[[#This Row],[unit_price]]*Table1[[#This Row],[Discount]]</f>
        <v>359.6</v>
      </c>
      <c r="Q575" t="str">
        <f>VLOOKUP(E575,Products!$A$2:$E$23,2,0)</f>
        <v>Track Pants</v>
      </c>
      <c r="R575" t="str">
        <f>VLOOKUP(Table1[[#This Row],[Product ID]],Products!$A$2:$E$23,3,0)</f>
        <v>Clothing</v>
      </c>
      <c r="S575" t="str">
        <f>VLOOKUP(C575,Customers!$A$2:$F$201,4,0)</f>
        <v>Chandigarh</v>
      </c>
      <c r="T575" t="str">
        <f>VLOOKUP(Table1[[#This Row],[Customer ID]],Customers!$A$2:$F$201,5,0)</f>
        <v>North</v>
      </c>
      <c r="U575" t="str">
        <f>VLOOKUP(Table1[[#This Row],[Customer ID]],Customers!$A$2:$F$201,6,0)</f>
        <v>Corporate</v>
      </c>
      <c r="V575" t="str">
        <f>TEXT(Table1[[#This Row],[Order Date]],"MMM")</f>
        <v>Dec</v>
      </c>
      <c r="W575" t="str">
        <f>TEXT(Table1[[#This Row],[Order Date]],"yyyy")</f>
        <v>2024</v>
      </c>
    </row>
    <row r="576" spans="1:23" x14ac:dyDescent="0.25">
      <c r="A576" s="2" t="s">
        <v>812</v>
      </c>
      <c r="B576" s="4">
        <v>45652</v>
      </c>
      <c r="C576" s="2" t="s">
        <v>347</v>
      </c>
      <c r="D576" s="2" t="str">
        <f>TEXT(Table1[[#This Row],[Order Date]],"mmmm")</f>
        <v>December</v>
      </c>
      <c r="E576" s="2" t="s">
        <v>111</v>
      </c>
      <c r="F576" s="2">
        <v>4</v>
      </c>
      <c r="G576" s="5">
        <v>0.15</v>
      </c>
      <c r="H576" s="2" t="s">
        <v>30</v>
      </c>
      <c r="I576" s="2" t="s">
        <v>46</v>
      </c>
      <c r="J576" s="2" t="s">
        <v>21</v>
      </c>
      <c r="K576">
        <f>VLOOKUP(E576,Products!$A$2:$E$23,5,0)</f>
        <v>240</v>
      </c>
      <c r="L576">
        <f>VLOOKUP(E576,Products!$A$2:$E$23,4,0)</f>
        <v>140</v>
      </c>
      <c r="M576" s="2">
        <f>K576*F576-Table1[[#This Row],[discount_amount]]</f>
        <v>816</v>
      </c>
      <c r="N576">
        <f t="shared" si="17"/>
        <v>560</v>
      </c>
      <c r="O576">
        <f t="shared" si="16"/>
        <v>256</v>
      </c>
      <c r="P576">
        <f>Table1[[#This Row],[Quantity]]*Table1[[#This Row],[unit_price]]*Table1[[#This Row],[Discount]]</f>
        <v>144</v>
      </c>
      <c r="Q576" t="str">
        <f>VLOOKUP(E576,Products!$A$2:$E$23,2,0)</f>
        <v>Whiteboard Marker Set</v>
      </c>
      <c r="R576" t="str">
        <f>VLOOKUP(Table1[[#This Row],[Product ID]],Products!$A$2:$E$23,3,0)</f>
        <v>Office Supplies</v>
      </c>
      <c r="S576" t="str">
        <f>VLOOKUP(C576,Customers!$A$2:$F$201,4,0)</f>
        <v>Madhya Pradesh</v>
      </c>
      <c r="T576" t="str">
        <f>VLOOKUP(Table1[[#This Row],[Customer ID]],Customers!$A$2:$F$201,5,0)</f>
        <v>Central</v>
      </c>
      <c r="U576" t="str">
        <f>VLOOKUP(Table1[[#This Row],[Customer ID]],Customers!$A$2:$F$201,6,0)</f>
        <v>Home Office</v>
      </c>
      <c r="V576" t="str">
        <f>TEXT(Table1[[#This Row],[Order Date]],"MMM")</f>
        <v>Dec</v>
      </c>
      <c r="W576" t="str">
        <f>TEXT(Table1[[#This Row],[Order Date]],"yyyy")</f>
        <v>2024</v>
      </c>
    </row>
    <row r="577" spans="1:23" x14ac:dyDescent="0.25">
      <c r="A577" s="2" t="s">
        <v>813</v>
      </c>
      <c r="B577" s="4">
        <v>45652</v>
      </c>
      <c r="C577" s="2" t="s">
        <v>509</v>
      </c>
      <c r="D577" s="2" t="str">
        <f>TEXT(Table1[[#This Row],[Order Date]],"mmmm")</f>
        <v>December</v>
      </c>
      <c r="E577" s="2" t="s">
        <v>63</v>
      </c>
      <c r="F577" s="2">
        <v>1</v>
      </c>
      <c r="G577" s="5">
        <v>0.1</v>
      </c>
      <c r="H577" s="2" t="s">
        <v>19</v>
      </c>
      <c r="I577" s="2" t="s">
        <v>20</v>
      </c>
      <c r="J577" s="2" t="s">
        <v>21</v>
      </c>
      <c r="K577">
        <f>VLOOKUP(E577,Products!$A$2:$E$23,5,0)</f>
        <v>5499</v>
      </c>
      <c r="L577">
        <f>VLOOKUP(E577,Products!$A$2:$E$23,4,0)</f>
        <v>3500</v>
      </c>
      <c r="M577" s="2">
        <f>K577*F577-Table1[[#This Row],[discount_amount]]</f>
        <v>4949.1000000000004</v>
      </c>
      <c r="N577">
        <f t="shared" si="17"/>
        <v>3500</v>
      </c>
      <c r="O577">
        <f t="shared" si="16"/>
        <v>1449.1000000000004</v>
      </c>
      <c r="P577">
        <f>Table1[[#This Row],[Quantity]]*Table1[[#This Row],[unit_price]]*Table1[[#This Row],[Discount]]</f>
        <v>549.9</v>
      </c>
      <c r="Q577" t="str">
        <f>VLOOKUP(E577,Products!$A$2:$E$23,2,0)</f>
        <v>Office Chair</v>
      </c>
      <c r="R577" t="str">
        <f>VLOOKUP(Table1[[#This Row],[Product ID]],Products!$A$2:$E$23,3,0)</f>
        <v>Furniture</v>
      </c>
      <c r="S577" t="str">
        <f>VLOOKUP(C577,Customers!$A$2:$F$201,4,0)</f>
        <v>Madhya Pradesh</v>
      </c>
      <c r="T577" t="str">
        <f>VLOOKUP(Table1[[#This Row],[Customer ID]],Customers!$A$2:$F$201,5,0)</f>
        <v>Central</v>
      </c>
      <c r="U577" t="str">
        <f>VLOOKUP(Table1[[#This Row],[Customer ID]],Customers!$A$2:$F$201,6,0)</f>
        <v>Consumer</v>
      </c>
      <c r="V577" t="str">
        <f>TEXT(Table1[[#This Row],[Order Date]],"MMM")</f>
        <v>Dec</v>
      </c>
      <c r="W577" t="str">
        <f>TEXT(Table1[[#This Row],[Order Date]],"yyyy")</f>
        <v>2024</v>
      </c>
    </row>
    <row r="578" spans="1:23" x14ac:dyDescent="0.25">
      <c r="A578" s="2" t="s">
        <v>814</v>
      </c>
      <c r="B578" s="4">
        <v>45652</v>
      </c>
      <c r="C578" s="2" t="s">
        <v>266</v>
      </c>
      <c r="D578" s="2" t="str">
        <f>TEXT(Table1[[#This Row],[Order Date]],"mmmm")</f>
        <v>December</v>
      </c>
      <c r="E578" s="2" t="s">
        <v>73</v>
      </c>
      <c r="F578" s="2">
        <v>2</v>
      </c>
      <c r="G578" s="5">
        <v>0</v>
      </c>
      <c r="H578" s="2" t="s">
        <v>19</v>
      </c>
      <c r="I578" s="2" t="s">
        <v>31</v>
      </c>
      <c r="J578" s="2" t="s">
        <v>94</v>
      </c>
      <c r="K578">
        <f>VLOOKUP(E578,Products!$A$2:$E$23,5,0)</f>
        <v>6499</v>
      </c>
      <c r="L578">
        <f>VLOOKUP(E578,Products!$A$2:$E$23,4,0)</f>
        <v>4200</v>
      </c>
      <c r="M578" s="2">
        <f>K578*F578-Table1[[#This Row],[discount_amount]]</f>
        <v>12998</v>
      </c>
      <c r="N578">
        <f t="shared" si="17"/>
        <v>8400</v>
      </c>
      <c r="O578">
        <f t="shared" ref="O578:O641" si="18">M578-N578</f>
        <v>4598</v>
      </c>
      <c r="P578">
        <f>Table1[[#This Row],[Quantity]]*Table1[[#This Row],[unit_price]]*Table1[[#This Row],[Discount]]</f>
        <v>0</v>
      </c>
      <c r="Q578" t="str">
        <f>VLOOKUP(E578,Products!$A$2:$E$23,2,0)</f>
        <v>Study Table</v>
      </c>
      <c r="R578" t="str">
        <f>VLOOKUP(Table1[[#This Row],[Product ID]],Products!$A$2:$E$23,3,0)</f>
        <v>Furniture</v>
      </c>
      <c r="S578" t="str">
        <f>VLOOKUP(C578,Customers!$A$2:$F$201,4,0)</f>
        <v>Odisha</v>
      </c>
      <c r="T578" t="str">
        <f>VLOOKUP(Table1[[#This Row],[Customer ID]],Customers!$A$2:$F$201,5,0)</f>
        <v>East</v>
      </c>
      <c r="U578" t="str">
        <f>VLOOKUP(Table1[[#This Row],[Customer ID]],Customers!$A$2:$F$201,6,0)</f>
        <v>Consumer</v>
      </c>
      <c r="V578" t="str">
        <f>TEXT(Table1[[#This Row],[Order Date]],"MMM")</f>
        <v>Dec</v>
      </c>
      <c r="W578" t="str">
        <f>TEXT(Table1[[#This Row],[Order Date]],"yyyy")</f>
        <v>2024</v>
      </c>
    </row>
    <row r="579" spans="1:23" x14ac:dyDescent="0.25">
      <c r="A579" s="2" t="s">
        <v>815</v>
      </c>
      <c r="B579" s="4">
        <v>45653</v>
      </c>
      <c r="C579" s="2" t="s">
        <v>339</v>
      </c>
      <c r="D579" s="2" t="str">
        <f>TEXT(Table1[[#This Row],[Order Date]],"mmmm")</f>
        <v>December</v>
      </c>
      <c r="E579" s="2" t="s">
        <v>111</v>
      </c>
      <c r="F579" s="2">
        <v>4</v>
      </c>
      <c r="G579" s="5">
        <v>0.15</v>
      </c>
      <c r="H579" s="2" t="s">
        <v>30</v>
      </c>
      <c r="I579" s="2" t="s">
        <v>31</v>
      </c>
      <c r="J579" s="2" t="s">
        <v>21</v>
      </c>
      <c r="K579">
        <f>VLOOKUP(E579,Products!$A$2:$E$23,5,0)</f>
        <v>240</v>
      </c>
      <c r="L579">
        <f>VLOOKUP(E579,Products!$A$2:$E$23,4,0)</f>
        <v>140</v>
      </c>
      <c r="M579" s="2">
        <f>K579*F579-Table1[[#This Row],[discount_amount]]</f>
        <v>816</v>
      </c>
      <c r="N579">
        <f t="shared" ref="N579:N642" si="19">F579*L579</f>
        <v>560</v>
      </c>
      <c r="O579">
        <f t="shared" si="18"/>
        <v>256</v>
      </c>
      <c r="P579">
        <f>Table1[[#This Row],[Quantity]]*Table1[[#This Row],[unit_price]]*Table1[[#This Row],[Discount]]</f>
        <v>144</v>
      </c>
      <c r="Q579" t="str">
        <f>VLOOKUP(E579,Products!$A$2:$E$23,2,0)</f>
        <v>Whiteboard Marker Set</v>
      </c>
      <c r="R579" t="str">
        <f>VLOOKUP(Table1[[#This Row],[Product ID]],Products!$A$2:$E$23,3,0)</f>
        <v>Office Supplies</v>
      </c>
      <c r="S579" t="str">
        <f>VLOOKUP(C579,Customers!$A$2:$F$201,4,0)</f>
        <v>Tamil Nadu</v>
      </c>
      <c r="T579" t="str">
        <f>VLOOKUP(Table1[[#This Row],[Customer ID]],Customers!$A$2:$F$201,5,0)</f>
        <v>South</v>
      </c>
      <c r="U579" t="str">
        <f>VLOOKUP(Table1[[#This Row],[Customer ID]],Customers!$A$2:$F$201,6,0)</f>
        <v>Corporate</v>
      </c>
      <c r="V579" t="str">
        <f>TEXT(Table1[[#This Row],[Order Date]],"MMM")</f>
        <v>Dec</v>
      </c>
      <c r="W579" t="str">
        <f>TEXT(Table1[[#This Row],[Order Date]],"yyyy")</f>
        <v>2024</v>
      </c>
    </row>
    <row r="580" spans="1:23" x14ac:dyDescent="0.25">
      <c r="A580" s="2" t="s">
        <v>816</v>
      </c>
      <c r="B580" s="4">
        <v>45654</v>
      </c>
      <c r="C580" s="2" t="s">
        <v>108</v>
      </c>
      <c r="D580" s="2" t="str">
        <f>TEXT(Table1[[#This Row],[Order Date]],"mmmm")</f>
        <v>December</v>
      </c>
      <c r="E580" s="2" t="s">
        <v>118</v>
      </c>
      <c r="F580" s="2">
        <v>4</v>
      </c>
      <c r="G580" s="5">
        <v>0.05</v>
      </c>
      <c r="H580" s="2" t="s">
        <v>25</v>
      </c>
      <c r="I580" s="2" t="s">
        <v>31</v>
      </c>
      <c r="J580" s="2" t="s">
        <v>21</v>
      </c>
      <c r="K580">
        <f>VLOOKUP(E580,Products!$A$2:$E$23,5,0)</f>
        <v>150</v>
      </c>
      <c r="L580">
        <f>VLOOKUP(E580,Products!$A$2:$E$23,4,0)</f>
        <v>90</v>
      </c>
      <c r="M580" s="2">
        <f>K580*F580-Table1[[#This Row],[discount_amount]]</f>
        <v>570</v>
      </c>
      <c r="N580">
        <f t="shared" si="19"/>
        <v>360</v>
      </c>
      <c r="O580">
        <f t="shared" si="18"/>
        <v>210</v>
      </c>
      <c r="P580">
        <f>Table1[[#This Row],[Quantity]]*Table1[[#This Row],[unit_price]]*Table1[[#This Row],[Discount]]</f>
        <v>30</v>
      </c>
      <c r="Q580" t="str">
        <f>VLOOKUP(E580,Products!$A$2:$E$23,2,0)</f>
        <v>Gel Pen Box</v>
      </c>
      <c r="R580" t="str">
        <f>VLOOKUP(Table1[[#This Row],[Product ID]],Products!$A$2:$E$23,3,0)</f>
        <v>Office Supplies</v>
      </c>
      <c r="S580" t="str">
        <f>VLOOKUP(C580,Customers!$A$2:$F$201,4,0)</f>
        <v>West Bengal</v>
      </c>
      <c r="T580" t="str">
        <f>VLOOKUP(Table1[[#This Row],[Customer ID]],Customers!$A$2:$F$201,5,0)</f>
        <v>East</v>
      </c>
      <c r="U580" t="str">
        <f>VLOOKUP(Table1[[#This Row],[Customer ID]],Customers!$A$2:$F$201,6,0)</f>
        <v>Corporate</v>
      </c>
      <c r="V580" t="str">
        <f>TEXT(Table1[[#This Row],[Order Date]],"MMM")</f>
        <v>Dec</v>
      </c>
      <c r="W580" t="str">
        <f>TEXT(Table1[[#This Row],[Order Date]],"yyyy")</f>
        <v>2024</v>
      </c>
    </row>
    <row r="581" spans="1:23" x14ac:dyDescent="0.25">
      <c r="A581" s="2" t="s">
        <v>817</v>
      </c>
      <c r="B581" s="4">
        <v>45654</v>
      </c>
      <c r="C581" s="2" t="s">
        <v>98</v>
      </c>
      <c r="D581" s="2" t="str">
        <f>TEXT(Table1[[#This Row],[Order Date]],"mmmm")</f>
        <v>December</v>
      </c>
      <c r="E581" s="2" t="s">
        <v>60</v>
      </c>
      <c r="F581" s="2">
        <v>2</v>
      </c>
      <c r="G581" s="5">
        <v>0</v>
      </c>
      <c r="H581" s="2" t="s">
        <v>30</v>
      </c>
      <c r="I581" s="2" t="s">
        <v>46</v>
      </c>
      <c r="J581" s="2" t="s">
        <v>21</v>
      </c>
      <c r="K581">
        <f>VLOOKUP(E581,Products!$A$2:$E$23,5,0)</f>
        <v>449</v>
      </c>
      <c r="L581">
        <f>VLOOKUP(E581,Products!$A$2:$E$23,4,0)</f>
        <v>260</v>
      </c>
      <c r="M581" s="2">
        <f>K581*F581-Table1[[#This Row],[discount_amount]]</f>
        <v>898</v>
      </c>
      <c r="N581">
        <f t="shared" si="19"/>
        <v>520</v>
      </c>
      <c r="O581">
        <f t="shared" si="18"/>
        <v>378</v>
      </c>
      <c r="P581">
        <f>Table1[[#This Row],[Quantity]]*Table1[[#This Row],[unit_price]]*Table1[[#This Row],[Discount]]</f>
        <v>0</v>
      </c>
      <c r="Q581" t="str">
        <f>VLOOKUP(E581,Products!$A$2:$E$23,2,0)</f>
        <v>Desk Organizer</v>
      </c>
      <c r="R581" t="str">
        <f>VLOOKUP(Table1[[#This Row],[Product ID]],Products!$A$2:$E$23,3,0)</f>
        <v>Office Supplies</v>
      </c>
      <c r="S581" t="str">
        <f>VLOOKUP(C581,Customers!$A$2:$F$201,4,0)</f>
        <v>Tamil Nadu</v>
      </c>
      <c r="T581" t="str">
        <f>VLOOKUP(Table1[[#This Row],[Customer ID]],Customers!$A$2:$F$201,5,0)</f>
        <v>South</v>
      </c>
      <c r="U581" t="str">
        <f>VLOOKUP(Table1[[#This Row],[Customer ID]],Customers!$A$2:$F$201,6,0)</f>
        <v>Consumer</v>
      </c>
      <c r="V581" t="str">
        <f>TEXT(Table1[[#This Row],[Order Date]],"MMM")</f>
        <v>Dec</v>
      </c>
      <c r="W581" t="str">
        <f>TEXT(Table1[[#This Row],[Order Date]],"yyyy")</f>
        <v>2024</v>
      </c>
    </row>
    <row r="582" spans="1:23" x14ac:dyDescent="0.25">
      <c r="A582" s="2" t="s">
        <v>818</v>
      </c>
      <c r="B582" s="4">
        <v>45657</v>
      </c>
      <c r="C582" s="2" t="s">
        <v>115</v>
      </c>
      <c r="D582" s="2" t="str">
        <f>TEXT(Table1[[#This Row],[Order Date]],"mmmm")</f>
        <v>December</v>
      </c>
      <c r="E582" s="2" t="s">
        <v>60</v>
      </c>
      <c r="F582" s="2">
        <v>10</v>
      </c>
      <c r="G582" s="5">
        <v>0</v>
      </c>
      <c r="H582" s="2" t="s">
        <v>25</v>
      </c>
      <c r="I582" s="2" t="s">
        <v>38</v>
      </c>
      <c r="J582" s="2" t="s">
        <v>21</v>
      </c>
      <c r="K582">
        <f>VLOOKUP(E582,Products!$A$2:$E$23,5,0)</f>
        <v>449</v>
      </c>
      <c r="L582">
        <f>VLOOKUP(E582,Products!$A$2:$E$23,4,0)</f>
        <v>260</v>
      </c>
      <c r="M582" s="2">
        <f>K582*F582-Table1[[#This Row],[discount_amount]]</f>
        <v>4490</v>
      </c>
      <c r="N582">
        <f t="shared" si="19"/>
        <v>2600</v>
      </c>
      <c r="O582">
        <f t="shared" si="18"/>
        <v>1890</v>
      </c>
      <c r="P582">
        <f>Table1[[#This Row],[Quantity]]*Table1[[#This Row],[unit_price]]*Table1[[#This Row],[Discount]]</f>
        <v>0</v>
      </c>
      <c r="Q582" t="str">
        <f>VLOOKUP(E582,Products!$A$2:$E$23,2,0)</f>
        <v>Desk Organizer</v>
      </c>
      <c r="R582" t="str">
        <f>VLOOKUP(Table1[[#This Row],[Product ID]],Products!$A$2:$E$23,3,0)</f>
        <v>Office Supplies</v>
      </c>
      <c r="S582" t="str">
        <f>VLOOKUP(C582,Customers!$A$2:$F$201,4,0)</f>
        <v>Bihar</v>
      </c>
      <c r="T582" t="str">
        <f>VLOOKUP(Table1[[#This Row],[Customer ID]],Customers!$A$2:$F$201,5,0)</f>
        <v>East</v>
      </c>
      <c r="U582" t="str">
        <f>VLOOKUP(Table1[[#This Row],[Customer ID]],Customers!$A$2:$F$201,6,0)</f>
        <v>Consumer</v>
      </c>
      <c r="V582" t="str">
        <f>TEXT(Table1[[#This Row],[Order Date]],"MMM")</f>
        <v>Dec</v>
      </c>
      <c r="W582" t="str">
        <f>TEXT(Table1[[#This Row],[Order Date]],"yyyy")</f>
        <v>2024</v>
      </c>
    </row>
    <row r="583" spans="1:23" x14ac:dyDescent="0.25">
      <c r="A583" s="2" t="s">
        <v>819</v>
      </c>
      <c r="B583" s="4">
        <v>45657</v>
      </c>
      <c r="C583" s="2" t="s">
        <v>820</v>
      </c>
      <c r="D583" s="2" t="str">
        <f>TEXT(Table1[[#This Row],[Order Date]],"mmmm")</f>
        <v>December</v>
      </c>
      <c r="E583" s="2" t="s">
        <v>63</v>
      </c>
      <c r="F583" s="2">
        <v>6</v>
      </c>
      <c r="G583" s="5">
        <v>0.15</v>
      </c>
      <c r="H583" s="2" t="s">
        <v>19</v>
      </c>
      <c r="I583" s="2" t="s">
        <v>20</v>
      </c>
      <c r="J583" s="2" t="s">
        <v>21</v>
      </c>
      <c r="K583">
        <f>VLOOKUP(E583,Products!$A$2:$E$23,5,0)</f>
        <v>5499</v>
      </c>
      <c r="L583">
        <f>VLOOKUP(E583,Products!$A$2:$E$23,4,0)</f>
        <v>3500</v>
      </c>
      <c r="M583" s="2">
        <f>K583*F583-Table1[[#This Row],[discount_amount]]</f>
        <v>28044.9</v>
      </c>
      <c r="N583">
        <f t="shared" si="19"/>
        <v>21000</v>
      </c>
      <c r="O583">
        <f t="shared" si="18"/>
        <v>7044.9000000000015</v>
      </c>
      <c r="P583">
        <f>Table1[[#This Row],[Quantity]]*Table1[[#This Row],[unit_price]]*Table1[[#This Row],[Discount]]</f>
        <v>4949.0999999999995</v>
      </c>
      <c r="Q583" t="str">
        <f>VLOOKUP(E583,Products!$A$2:$E$23,2,0)</f>
        <v>Office Chair</v>
      </c>
      <c r="R583" t="str">
        <f>VLOOKUP(Table1[[#This Row],[Product ID]],Products!$A$2:$E$23,3,0)</f>
        <v>Furniture</v>
      </c>
      <c r="S583" t="str">
        <f>VLOOKUP(C583,Customers!$A$2:$F$201,4,0)</f>
        <v>Maharashtra</v>
      </c>
      <c r="T583" t="str">
        <f>VLOOKUP(Table1[[#This Row],[Customer ID]],Customers!$A$2:$F$201,5,0)</f>
        <v>Central</v>
      </c>
      <c r="U583" t="str">
        <f>VLOOKUP(Table1[[#This Row],[Customer ID]],Customers!$A$2:$F$201,6,0)</f>
        <v>Corporate</v>
      </c>
      <c r="V583" t="str">
        <f>TEXT(Table1[[#This Row],[Order Date]],"MMM")</f>
        <v>Dec</v>
      </c>
      <c r="W583" t="str">
        <f>TEXT(Table1[[#This Row],[Order Date]],"yyyy")</f>
        <v>2024</v>
      </c>
    </row>
    <row r="584" spans="1:23" x14ac:dyDescent="0.25">
      <c r="A584" s="2" t="s">
        <v>821</v>
      </c>
      <c r="B584" s="4">
        <v>45658</v>
      </c>
      <c r="C584" s="2" t="s">
        <v>322</v>
      </c>
      <c r="D584" s="2" t="str">
        <f>TEXT(Table1[[#This Row],[Order Date]],"mmmm")</f>
        <v>January</v>
      </c>
      <c r="E584" s="2" t="s">
        <v>82</v>
      </c>
      <c r="F584" s="2">
        <v>3</v>
      </c>
      <c r="G584" s="5">
        <v>0.05</v>
      </c>
      <c r="H584" s="2" t="s">
        <v>25</v>
      </c>
      <c r="I584" s="2" t="s">
        <v>46</v>
      </c>
      <c r="J584" s="2" t="s">
        <v>21</v>
      </c>
      <c r="K584">
        <f>VLOOKUP(E584,Products!$A$2:$E$23,5,0)</f>
        <v>1799</v>
      </c>
      <c r="L584">
        <f>VLOOKUP(E584,Products!$A$2:$E$23,4,0)</f>
        <v>1100</v>
      </c>
      <c r="M584" s="2">
        <f>K584*F584-Table1[[#This Row],[discount_amount]]</f>
        <v>5127.1499999999996</v>
      </c>
      <c r="N584">
        <f t="shared" si="19"/>
        <v>3300</v>
      </c>
      <c r="O584">
        <f t="shared" si="18"/>
        <v>1827.1499999999996</v>
      </c>
      <c r="P584">
        <f>Table1[[#This Row],[Quantity]]*Table1[[#This Row],[unit_price]]*Table1[[#This Row],[Discount]]</f>
        <v>269.85000000000002</v>
      </c>
      <c r="Q584" t="str">
        <f>VLOOKUP(E584,Products!$A$2:$E$23,2,0)</f>
        <v>Webcam HD</v>
      </c>
      <c r="R584" t="str">
        <f>VLOOKUP(Table1[[#This Row],[Product ID]],Products!$A$2:$E$23,3,0)</f>
        <v>Electronics</v>
      </c>
      <c r="S584" t="str">
        <f>VLOOKUP(C584,Customers!$A$2:$F$201,4,0)</f>
        <v>Chandigarh</v>
      </c>
      <c r="T584" t="str">
        <f>VLOOKUP(Table1[[#This Row],[Customer ID]],Customers!$A$2:$F$201,5,0)</f>
        <v>North</v>
      </c>
      <c r="U584" t="str">
        <f>VLOOKUP(Table1[[#This Row],[Customer ID]],Customers!$A$2:$F$201,6,0)</f>
        <v>Consumer</v>
      </c>
      <c r="V584" t="str">
        <f>TEXT(Table1[[#This Row],[Order Date]],"MMM")</f>
        <v>Jan</v>
      </c>
      <c r="W584" t="str">
        <f>TEXT(Table1[[#This Row],[Order Date]],"yyyy")</f>
        <v>2025</v>
      </c>
    </row>
    <row r="585" spans="1:23" x14ac:dyDescent="0.25">
      <c r="A585" s="2" t="s">
        <v>822</v>
      </c>
      <c r="B585" s="4">
        <v>45659</v>
      </c>
      <c r="C585" s="2" t="s">
        <v>166</v>
      </c>
      <c r="D585" s="2" t="str">
        <f>TEXT(Table1[[#This Row],[Order Date]],"mmmm")</f>
        <v>January</v>
      </c>
      <c r="E585" s="2" t="s">
        <v>54</v>
      </c>
      <c r="F585" s="2">
        <v>6</v>
      </c>
      <c r="G585" s="5">
        <v>0</v>
      </c>
      <c r="H585" s="2" t="s">
        <v>30</v>
      </c>
      <c r="I585" s="2" t="s">
        <v>31</v>
      </c>
      <c r="J585" s="2" t="s">
        <v>21</v>
      </c>
      <c r="K585">
        <f>VLOOKUP(E585,Products!$A$2:$E$23,5,0)</f>
        <v>299</v>
      </c>
      <c r="L585">
        <f>VLOOKUP(E585,Products!$A$2:$E$23,4,0)</f>
        <v>180</v>
      </c>
      <c r="M585" s="2">
        <f>K585*F585-Table1[[#This Row],[discount_amount]]</f>
        <v>1794</v>
      </c>
      <c r="N585">
        <f t="shared" si="19"/>
        <v>1080</v>
      </c>
      <c r="O585">
        <f t="shared" si="18"/>
        <v>714</v>
      </c>
      <c r="P585">
        <f>Table1[[#This Row],[Quantity]]*Table1[[#This Row],[unit_price]]*Table1[[#This Row],[Discount]]</f>
        <v>0</v>
      </c>
      <c r="Q585" t="str">
        <f>VLOOKUP(E585,Products!$A$2:$E$23,2,0)</f>
        <v>Notebook Pack of 5</v>
      </c>
      <c r="R585" t="str">
        <f>VLOOKUP(Table1[[#This Row],[Product ID]],Products!$A$2:$E$23,3,0)</f>
        <v>Office Supplies</v>
      </c>
      <c r="S585" t="str">
        <f>VLOOKUP(C585,Customers!$A$2:$F$201,4,0)</f>
        <v>Gujarat</v>
      </c>
      <c r="T585" t="str">
        <f>VLOOKUP(Table1[[#This Row],[Customer ID]],Customers!$A$2:$F$201,5,0)</f>
        <v>West</v>
      </c>
      <c r="U585" t="str">
        <f>VLOOKUP(Table1[[#This Row],[Customer ID]],Customers!$A$2:$F$201,6,0)</f>
        <v>Consumer</v>
      </c>
      <c r="V585" t="str">
        <f>TEXT(Table1[[#This Row],[Order Date]],"MMM")</f>
        <v>Jan</v>
      </c>
      <c r="W585" t="str">
        <f>TEXT(Table1[[#This Row],[Order Date]],"yyyy")</f>
        <v>2025</v>
      </c>
    </row>
    <row r="586" spans="1:23" x14ac:dyDescent="0.25">
      <c r="A586" s="2" t="s">
        <v>823</v>
      </c>
      <c r="B586" s="4">
        <v>45659</v>
      </c>
      <c r="C586" s="2" t="s">
        <v>582</v>
      </c>
      <c r="D586" s="2" t="str">
        <f>TEXT(Table1[[#This Row],[Order Date]],"mmmm")</f>
        <v>January</v>
      </c>
      <c r="E586" s="2" t="s">
        <v>121</v>
      </c>
      <c r="F586" s="2">
        <v>5</v>
      </c>
      <c r="G586" s="5">
        <v>0.05</v>
      </c>
      <c r="H586" s="2" t="s">
        <v>30</v>
      </c>
      <c r="I586" s="2" t="s">
        <v>20</v>
      </c>
      <c r="J586" s="2" t="s">
        <v>21</v>
      </c>
      <c r="K586">
        <f>VLOOKUP(E586,Products!$A$2:$E$23,5,0)</f>
        <v>499</v>
      </c>
      <c r="L586">
        <f>VLOOKUP(E586,Products!$A$2:$E$23,4,0)</f>
        <v>250</v>
      </c>
      <c r="M586" s="2">
        <f>K586*F586-Table1[[#This Row],[discount_amount]]</f>
        <v>2370.25</v>
      </c>
      <c r="N586">
        <f t="shared" si="19"/>
        <v>1250</v>
      </c>
      <c r="O586">
        <f t="shared" si="18"/>
        <v>1120.25</v>
      </c>
      <c r="P586">
        <f>Table1[[#This Row],[Quantity]]*Table1[[#This Row],[unit_price]]*Table1[[#This Row],[Discount]]</f>
        <v>124.75</v>
      </c>
      <c r="Q586" t="str">
        <f>VLOOKUP(E586,Products!$A$2:$E$23,2,0)</f>
        <v>Cotton T-Shirt</v>
      </c>
      <c r="R586" t="str">
        <f>VLOOKUP(Table1[[#This Row],[Product ID]],Products!$A$2:$E$23,3,0)</f>
        <v>Clothing</v>
      </c>
      <c r="S586" t="str">
        <f>VLOOKUP(C586,Customers!$A$2:$F$201,4,0)</f>
        <v>Bihar</v>
      </c>
      <c r="T586" t="str">
        <f>VLOOKUP(Table1[[#This Row],[Customer ID]],Customers!$A$2:$F$201,5,0)</f>
        <v>East</v>
      </c>
      <c r="U586" t="str">
        <f>VLOOKUP(Table1[[#This Row],[Customer ID]],Customers!$A$2:$F$201,6,0)</f>
        <v>Corporate</v>
      </c>
      <c r="V586" t="str">
        <f>TEXT(Table1[[#This Row],[Order Date]],"MMM")</f>
        <v>Jan</v>
      </c>
      <c r="W586" t="str">
        <f>TEXT(Table1[[#This Row],[Order Date]],"yyyy")</f>
        <v>2025</v>
      </c>
    </row>
    <row r="587" spans="1:23" x14ac:dyDescent="0.25">
      <c r="A587" s="2" t="s">
        <v>824</v>
      </c>
      <c r="B587" s="4">
        <v>45659</v>
      </c>
      <c r="C587" s="2" t="s">
        <v>347</v>
      </c>
      <c r="D587" s="2" t="str">
        <f>TEXT(Table1[[#This Row],[Order Date]],"mmmm")</f>
        <v>January</v>
      </c>
      <c r="E587" s="2" t="s">
        <v>91</v>
      </c>
      <c r="F587" s="2">
        <v>2</v>
      </c>
      <c r="G587" s="5">
        <v>0.15</v>
      </c>
      <c r="H587" s="2" t="s">
        <v>19</v>
      </c>
      <c r="I587" s="2" t="s">
        <v>46</v>
      </c>
      <c r="J587" s="2" t="s">
        <v>21</v>
      </c>
      <c r="K587">
        <f>VLOOKUP(E587,Products!$A$2:$E$23,5,0)</f>
        <v>1199</v>
      </c>
      <c r="L587">
        <f>VLOOKUP(E587,Products!$A$2:$E$23,4,0)</f>
        <v>600</v>
      </c>
      <c r="M587" s="2">
        <f>K587*F587-Table1[[#This Row],[discount_amount]]</f>
        <v>2038.3</v>
      </c>
      <c r="N587">
        <f t="shared" si="19"/>
        <v>1200</v>
      </c>
      <c r="O587">
        <f t="shared" si="18"/>
        <v>838.3</v>
      </c>
      <c r="P587">
        <f>Table1[[#This Row],[Quantity]]*Table1[[#This Row],[unit_price]]*Table1[[#This Row],[Discount]]</f>
        <v>359.7</v>
      </c>
      <c r="Q587" t="str">
        <f>VLOOKUP(E587,Products!$A$2:$E$23,2,0)</f>
        <v>Formal Shirt</v>
      </c>
      <c r="R587" t="str">
        <f>VLOOKUP(Table1[[#This Row],[Product ID]],Products!$A$2:$E$23,3,0)</f>
        <v>Clothing</v>
      </c>
      <c r="S587" t="str">
        <f>VLOOKUP(C587,Customers!$A$2:$F$201,4,0)</f>
        <v>Madhya Pradesh</v>
      </c>
      <c r="T587" t="str">
        <f>VLOOKUP(Table1[[#This Row],[Customer ID]],Customers!$A$2:$F$201,5,0)</f>
        <v>Central</v>
      </c>
      <c r="U587" t="str">
        <f>VLOOKUP(Table1[[#This Row],[Customer ID]],Customers!$A$2:$F$201,6,0)</f>
        <v>Home Office</v>
      </c>
      <c r="V587" t="str">
        <f>TEXT(Table1[[#This Row],[Order Date]],"MMM")</f>
        <v>Jan</v>
      </c>
      <c r="W587" t="str">
        <f>TEXT(Table1[[#This Row],[Order Date]],"yyyy")</f>
        <v>2025</v>
      </c>
    </row>
    <row r="588" spans="1:23" x14ac:dyDescent="0.25">
      <c r="A588" s="2" t="s">
        <v>825</v>
      </c>
      <c r="B588" s="4">
        <v>45661</v>
      </c>
      <c r="C588" s="2" t="s">
        <v>572</v>
      </c>
      <c r="D588" s="2" t="str">
        <f>TEXT(Table1[[#This Row],[Order Date]],"mmmm")</f>
        <v>January</v>
      </c>
      <c r="E588" s="2" t="s">
        <v>155</v>
      </c>
      <c r="F588" s="2">
        <v>1</v>
      </c>
      <c r="G588" s="5">
        <v>0.1</v>
      </c>
      <c r="H588" s="2" t="s">
        <v>30</v>
      </c>
      <c r="I588" s="2" t="s">
        <v>31</v>
      </c>
      <c r="J588" s="2" t="s">
        <v>21</v>
      </c>
      <c r="K588">
        <f>VLOOKUP(E588,Products!$A$2:$E$23,5,0)</f>
        <v>1599</v>
      </c>
      <c r="L588">
        <f>VLOOKUP(E588,Products!$A$2:$E$23,4,0)</f>
        <v>900</v>
      </c>
      <c r="M588" s="2">
        <f>K588*F588-Table1[[#This Row],[discount_amount]]</f>
        <v>1439.1</v>
      </c>
      <c r="N588">
        <f t="shared" si="19"/>
        <v>900</v>
      </c>
      <c r="O588">
        <f t="shared" si="18"/>
        <v>539.09999999999991</v>
      </c>
      <c r="P588">
        <f>Table1[[#This Row],[Quantity]]*Table1[[#This Row],[unit_price]]*Table1[[#This Row],[Discount]]</f>
        <v>159.9</v>
      </c>
      <c r="Q588" t="str">
        <f>VLOOKUP(E588,Products!$A$2:$E$23,2,0)</f>
        <v>Headphones</v>
      </c>
      <c r="R588" t="str">
        <f>VLOOKUP(Table1[[#This Row],[Product ID]],Products!$A$2:$E$23,3,0)</f>
        <v>Electronics</v>
      </c>
      <c r="S588" t="str">
        <f>VLOOKUP(C588,Customers!$A$2:$F$201,4,0)</f>
        <v>Telangana</v>
      </c>
      <c r="T588" t="str">
        <f>VLOOKUP(Table1[[#This Row],[Customer ID]],Customers!$A$2:$F$201,5,0)</f>
        <v>South</v>
      </c>
      <c r="U588" t="str">
        <f>VLOOKUP(Table1[[#This Row],[Customer ID]],Customers!$A$2:$F$201,6,0)</f>
        <v>Consumer</v>
      </c>
      <c r="V588" t="str">
        <f>TEXT(Table1[[#This Row],[Order Date]],"MMM")</f>
        <v>Jan</v>
      </c>
      <c r="W588" t="str">
        <f>TEXT(Table1[[#This Row],[Order Date]],"yyyy")</f>
        <v>2025</v>
      </c>
    </row>
    <row r="589" spans="1:23" x14ac:dyDescent="0.25">
      <c r="A589" s="2" t="s">
        <v>826</v>
      </c>
      <c r="B589" s="4">
        <v>45661</v>
      </c>
      <c r="C589" s="2" t="s">
        <v>28</v>
      </c>
      <c r="D589" s="2" t="str">
        <f>TEXT(Table1[[#This Row],[Order Date]],"mmmm")</f>
        <v>January</v>
      </c>
      <c r="E589" s="2" t="s">
        <v>118</v>
      </c>
      <c r="F589" s="2">
        <v>10</v>
      </c>
      <c r="G589" s="5">
        <v>0.05</v>
      </c>
      <c r="H589" s="2" t="s">
        <v>25</v>
      </c>
      <c r="I589" s="2" t="s">
        <v>20</v>
      </c>
      <c r="J589" s="2" t="s">
        <v>21</v>
      </c>
      <c r="K589">
        <f>VLOOKUP(E589,Products!$A$2:$E$23,5,0)</f>
        <v>150</v>
      </c>
      <c r="L589">
        <f>VLOOKUP(E589,Products!$A$2:$E$23,4,0)</f>
        <v>90</v>
      </c>
      <c r="M589" s="2">
        <f>K589*F589-Table1[[#This Row],[discount_amount]]</f>
        <v>1425</v>
      </c>
      <c r="N589">
        <f t="shared" si="19"/>
        <v>900</v>
      </c>
      <c r="O589">
        <f t="shared" si="18"/>
        <v>525</v>
      </c>
      <c r="P589">
        <f>Table1[[#This Row],[Quantity]]*Table1[[#This Row],[unit_price]]*Table1[[#This Row],[Discount]]</f>
        <v>75</v>
      </c>
      <c r="Q589" t="str">
        <f>VLOOKUP(E589,Products!$A$2:$E$23,2,0)</f>
        <v>Gel Pen Box</v>
      </c>
      <c r="R589" t="str">
        <f>VLOOKUP(Table1[[#This Row],[Product ID]],Products!$A$2:$E$23,3,0)</f>
        <v>Office Supplies</v>
      </c>
      <c r="S589" t="str">
        <f>VLOOKUP(C589,Customers!$A$2:$F$201,4,0)</f>
        <v>Maharashtra</v>
      </c>
      <c r="T589" t="str">
        <f>VLOOKUP(Table1[[#This Row],[Customer ID]],Customers!$A$2:$F$201,5,0)</f>
        <v>West</v>
      </c>
      <c r="U589" t="str">
        <f>VLOOKUP(Table1[[#This Row],[Customer ID]],Customers!$A$2:$F$201,6,0)</f>
        <v>Consumer</v>
      </c>
      <c r="V589" t="str">
        <f>TEXT(Table1[[#This Row],[Order Date]],"MMM")</f>
        <v>Jan</v>
      </c>
      <c r="W589" t="str">
        <f>TEXT(Table1[[#This Row],[Order Date]],"yyyy")</f>
        <v>2025</v>
      </c>
    </row>
    <row r="590" spans="1:23" x14ac:dyDescent="0.25">
      <c r="A590" s="2" t="s">
        <v>827</v>
      </c>
      <c r="B590" s="4">
        <v>45662</v>
      </c>
      <c r="C590" s="2" t="s">
        <v>81</v>
      </c>
      <c r="D590" s="2" t="str">
        <f>TEXT(Table1[[#This Row],[Order Date]],"mmmm")</f>
        <v>January</v>
      </c>
      <c r="E590" s="2" t="s">
        <v>127</v>
      </c>
      <c r="F590" s="2">
        <v>2</v>
      </c>
      <c r="G590" s="5">
        <v>0.15</v>
      </c>
      <c r="H590" s="2" t="s">
        <v>25</v>
      </c>
      <c r="I590" s="2" t="s">
        <v>46</v>
      </c>
      <c r="J590" s="2" t="s">
        <v>21</v>
      </c>
      <c r="K590">
        <f>VLOOKUP(E590,Products!$A$2:$E$23,5,0)</f>
        <v>1999</v>
      </c>
      <c r="L590">
        <f>VLOOKUP(E590,Products!$A$2:$E$23,4,0)</f>
        <v>1200</v>
      </c>
      <c r="M590" s="2">
        <f>K590*F590-Table1[[#This Row],[discount_amount]]</f>
        <v>3398.3</v>
      </c>
      <c r="N590">
        <f t="shared" si="19"/>
        <v>2400</v>
      </c>
      <c r="O590">
        <f t="shared" si="18"/>
        <v>998.30000000000018</v>
      </c>
      <c r="P590">
        <f>Table1[[#This Row],[Quantity]]*Table1[[#This Row],[unit_price]]*Table1[[#This Row],[Discount]]</f>
        <v>599.69999999999993</v>
      </c>
      <c r="Q590" t="str">
        <f>VLOOKUP(E590,Products!$A$2:$E$23,2,0)</f>
        <v>Bluetooth Speaker</v>
      </c>
      <c r="R590" t="str">
        <f>VLOOKUP(Table1[[#This Row],[Product ID]],Products!$A$2:$E$23,3,0)</f>
        <v>Electronics</v>
      </c>
      <c r="S590" t="str">
        <f>VLOOKUP(C590,Customers!$A$2:$F$201,4,0)</f>
        <v>Chandigarh</v>
      </c>
      <c r="T590" t="str">
        <f>VLOOKUP(Table1[[#This Row],[Customer ID]],Customers!$A$2:$F$201,5,0)</f>
        <v>North</v>
      </c>
      <c r="U590" t="str">
        <f>VLOOKUP(Table1[[#This Row],[Customer ID]],Customers!$A$2:$F$201,6,0)</f>
        <v>Consumer</v>
      </c>
      <c r="V590" t="str">
        <f>TEXT(Table1[[#This Row],[Order Date]],"MMM")</f>
        <v>Jan</v>
      </c>
      <c r="W590" t="str">
        <f>TEXT(Table1[[#This Row],[Order Date]],"yyyy")</f>
        <v>2025</v>
      </c>
    </row>
    <row r="591" spans="1:23" x14ac:dyDescent="0.25">
      <c r="A591" s="2" t="s">
        <v>828</v>
      </c>
      <c r="B591" s="4">
        <v>45662</v>
      </c>
      <c r="C591" s="2" t="s">
        <v>140</v>
      </c>
      <c r="D591" s="2" t="str">
        <f>TEXT(Table1[[#This Row],[Order Date]],"mmmm")</f>
        <v>January</v>
      </c>
      <c r="E591" s="2" t="s">
        <v>82</v>
      </c>
      <c r="F591" s="2">
        <v>2</v>
      </c>
      <c r="G591" s="5">
        <v>0.1</v>
      </c>
      <c r="H591" s="2" t="s">
        <v>19</v>
      </c>
      <c r="I591" s="2" t="s">
        <v>26</v>
      </c>
      <c r="J591" s="2" t="s">
        <v>21</v>
      </c>
      <c r="K591">
        <f>VLOOKUP(E591,Products!$A$2:$E$23,5,0)</f>
        <v>1799</v>
      </c>
      <c r="L591">
        <f>VLOOKUP(E591,Products!$A$2:$E$23,4,0)</f>
        <v>1100</v>
      </c>
      <c r="M591" s="2">
        <f>K591*F591-Table1[[#This Row],[discount_amount]]</f>
        <v>3238.2</v>
      </c>
      <c r="N591">
        <f t="shared" si="19"/>
        <v>2200</v>
      </c>
      <c r="O591">
        <f t="shared" si="18"/>
        <v>1038.1999999999998</v>
      </c>
      <c r="P591">
        <f>Table1[[#This Row],[Quantity]]*Table1[[#This Row],[unit_price]]*Table1[[#This Row],[Discount]]</f>
        <v>359.8</v>
      </c>
      <c r="Q591" t="str">
        <f>VLOOKUP(E591,Products!$A$2:$E$23,2,0)</f>
        <v>Webcam HD</v>
      </c>
      <c r="R591" t="str">
        <f>VLOOKUP(Table1[[#This Row],[Product ID]],Products!$A$2:$E$23,3,0)</f>
        <v>Electronics</v>
      </c>
      <c r="S591" t="str">
        <f>VLOOKUP(C591,Customers!$A$2:$F$201,4,0)</f>
        <v>Gujarat</v>
      </c>
      <c r="T591" t="str">
        <f>VLOOKUP(Table1[[#This Row],[Customer ID]],Customers!$A$2:$F$201,5,0)</f>
        <v>West</v>
      </c>
      <c r="U591" t="str">
        <f>VLOOKUP(Table1[[#This Row],[Customer ID]],Customers!$A$2:$F$201,6,0)</f>
        <v>Consumer</v>
      </c>
      <c r="V591" t="str">
        <f>TEXT(Table1[[#This Row],[Order Date]],"MMM")</f>
        <v>Jan</v>
      </c>
      <c r="W591" t="str">
        <f>TEXT(Table1[[#This Row],[Order Date]],"yyyy")</f>
        <v>2025</v>
      </c>
    </row>
    <row r="592" spans="1:23" x14ac:dyDescent="0.25">
      <c r="A592" s="2" t="s">
        <v>829</v>
      </c>
      <c r="B592" s="4">
        <v>45662</v>
      </c>
      <c r="C592" s="2" t="s">
        <v>120</v>
      </c>
      <c r="D592" s="2" t="str">
        <f>TEXT(Table1[[#This Row],[Order Date]],"mmmm")</f>
        <v>January</v>
      </c>
      <c r="E592" s="2" t="s">
        <v>54</v>
      </c>
      <c r="F592" s="2">
        <v>2</v>
      </c>
      <c r="G592" s="5">
        <v>0</v>
      </c>
      <c r="H592" s="2" t="s">
        <v>30</v>
      </c>
      <c r="I592" s="2" t="s">
        <v>38</v>
      </c>
      <c r="J592" s="2" t="s">
        <v>21</v>
      </c>
      <c r="K592">
        <f>VLOOKUP(E592,Products!$A$2:$E$23,5,0)</f>
        <v>299</v>
      </c>
      <c r="L592">
        <f>VLOOKUP(E592,Products!$A$2:$E$23,4,0)</f>
        <v>180</v>
      </c>
      <c r="M592" s="2">
        <f>K592*F592-Table1[[#This Row],[discount_amount]]</f>
        <v>598</v>
      </c>
      <c r="N592">
        <f t="shared" si="19"/>
        <v>360</v>
      </c>
      <c r="O592">
        <f t="shared" si="18"/>
        <v>238</v>
      </c>
      <c r="P592">
        <f>Table1[[#This Row],[Quantity]]*Table1[[#This Row],[unit_price]]*Table1[[#This Row],[Discount]]</f>
        <v>0</v>
      </c>
      <c r="Q592" t="str">
        <f>VLOOKUP(E592,Products!$A$2:$E$23,2,0)</f>
        <v>Notebook Pack of 5</v>
      </c>
      <c r="R592" t="str">
        <f>VLOOKUP(Table1[[#This Row],[Product ID]],Products!$A$2:$E$23,3,0)</f>
        <v>Office Supplies</v>
      </c>
      <c r="S592" t="str">
        <f>VLOOKUP(C592,Customers!$A$2:$F$201,4,0)</f>
        <v>Madhya Pradesh</v>
      </c>
      <c r="T592" t="str">
        <f>VLOOKUP(Table1[[#This Row],[Customer ID]],Customers!$A$2:$F$201,5,0)</f>
        <v>Central</v>
      </c>
      <c r="U592" t="str">
        <f>VLOOKUP(Table1[[#This Row],[Customer ID]],Customers!$A$2:$F$201,6,0)</f>
        <v>Corporate</v>
      </c>
      <c r="V592" t="str">
        <f>TEXT(Table1[[#This Row],[Order Date]],"MMM")</f>
        <v>Jan</v>
      </c>
      <c r="W592" t="str">
        <f>TEXT(Table1[[#This Row],[Order Date]],"yyyy")</f>
        <v>2025</v>
      </c>
    </row>
    <row r="593" spans="1:23" x14ac:dyDescent="0.25">
      <c r="A593" s="2" t="s">
        <v>830</v>
      </c>
      <c r="B593" s="4">
        <v>45662</v>
      </c>
      <c r="C593" s="2" t="s">
        <v>53</v>
      </c>
      <c r="D593" s="2" t="str">
        <f>TEXT(Table1[[#This Row],[Order Date]],"mmmm")</f>
        <v>January</v>
      </c>
      <c r="E593" s="2" t="s">
        <v>37</v>
      </c>
      <c r="F593" s="2">
        <v>3</v>
      </c>
      <c r="G593" s="5">
        <v>0</v>
      </c>
      <c r="H593" s="2" t="s">
        <v>19</v>
      </c>
      <c r="I593" s="2" t="s">
        <v>31</v>
      </c>
      <c r="J593" s="2" t="s">
        <v>21</v>
      </c>
      <c r="K593">
        <f>VLOOKUP(E593,Products!$A$2:$E$23,5,0)</f>
        <v>1799</v>
      </c>
      <c r="L593">
        <f>VLOOKUP(E593,Products!$A$2:$E$23,4,0)</f>
        <v>900</v>
      </c>
      <c r="M593" s="2">
        <f>K593*F593-Table1[[#This Row],[discount_amount]]</f>
        <v>5397</v>
      </c>
      <c r="N593">
        <f t="shared" si="19"/>
        <v>2700</v>
      </c>
      <c r="O593">
        <f t="shared" si="18"/>
        <v>2697</v>
      </c>
      <c r="P593">
        <f>Table1[[#This Row],[Quantity]]*Table1[[#This Row],[unit_price]]*Table1[[#This Row],[Discount]]</f>
        <v>0</v>
      </c>
      <c r="Q593" t="str">
        <f>VLOOKUP(E593,Products!$A$2:$E$23,2,0)</f>
        <v>Denim Jeans</v>
      </c>
      <c r="R593" t="str">
        <f>VLOOKUP(Table1[[#This Row],[Product ID]],Products!$A$2:$E$23,3,0)</f>
        <v>Clothing</v>
      </c>
      <c r="S593" t="str">
        <f>VLOOKUP(C593,Customers!$A$2:$F$201,4,0)</f>
        <v>Madhya Pradesh</v>
      </c>
      <c r="T593" t="str">
        <f>VLOOKUP(Table1[[#This Row],[Customer ID]],Customers!$A$2:$F$201,5,0)</f>
        <v>Central</v>
      </c>
      <c r="U593" t="str">
        <f>VLOOKUP(Table1[[#This Row],[Customer ID]],Customers!$A$2:$F$201,6,0)</f>
        <v>Corporate</v>
      </c>
      <c r="V593" t="str">
        <f>TEXT(Table1[[#This Row],[Order Date]],"MMM")</f>
        <v>Jan</v>
      </c>
      <c r="W593" t="str">
        <f>TEXT(Table1[[#This Row],[Order Date]],"yyyy")</f>
        <v>2025</v>
      </c>
    </row>
    <row r="594" spans="1:23" x14ac:dyDescent="0.25">
      <c r="A594" s="2" t="s">
        <v>831</v>
      </c>
      <c r="B594" s="4">
        <v>45663</v>
      </c>
      <c r="C594" s="2" t="s">
        <v>129</v>
      </c>
      <c r="D594" s="2" t="str">
        <f>TEXT(Table1[[#This Row],[Order Date]],"mmmm")</f>
        <v>January</v>
      </c>
      <c r="E594" s="2" t="s">
        <v>49</v>
      </c>
      <c r="F594" s="2">
        <v>6</v>
      </c>
      <c r="G594" s="5">
        <v>0</v>
      </c>
      <c r="H594" s="2" t="s">
        <v>19</v>
      </c>
      <c r="I594" s="2" t="s">
        <v>20</v>
      </c>
      <c r="J594" s="2" t="s">
        <v>21</v>
      </c>
      <c r="K594">
        <f>VLOOKUP(E594,Products!$A$2:$E$23,5,0)</f>
        <v>700</v>
      </c>
      <c r="L594">
        <f>VLOOKUP(E594,Products!$A$2:$E$23,4,0)</f>
        <v>450</v>
      </c>
      <c r="M594" s="2">
        <f>K594*F594-Table1[[#This Row],[discount_amount]]</f>
        <v>4200</v>
      </c>
      <c r="N594">
        <f t="shared" si="19"/>
        <v>2700</v>
      </c>
      <c r="O594">
        <f t="shared" si="18"/>
        <v>1500</v>
      </c>
      <c r="P594">
        <f>Table1[[#This Row],[Quantity]]*Table1[[#This Row],[unit_price]]*Table1[[#This Row],[Discount]]</f>
        <v>0</v>
      </c>
      <c r="Q594" t="str">
        <f>VLOOKUP(E594,Products!$A$2:$E$23,2,0)</f>
        <v>Wireless Mouse</v>
      </c>
      <c r="R594" t="str">
        <f>VLOOKUP(Table1[[#This Row],[Product ID]],Products!$A$2:$E$23,3,0)</f>
        <v>Electronics</v>
      </c>
      <c r="S594" t="str">
        <f>VLOOKUP(C594,Customers!$A$2:$F$201,4,0)</f>
        <v>Telangana</v>
      </c>
      <c r="T594" t="str">
        <f>VLOOKUP(Table1[[#This Row],[Customer ID]],Customers!$A$2:$F$201,5,0)</f>
        <v>South</v>
      </c>
      <c r="U594" t="str">
        <f>VLOOKUP(Table1[[#This Row],[Customer ID]],Customers!$A$2:$F$201,6,0)</f>
        <v>Consumer</v>
      </c>
      <c r="V594" t="str">
        <f>TEXT(Table1[[#This Row],[Order Date]],"MMM")</f>
        <v>Jan</v>
      </c>
      <c r="W594" t="str">
        <f>TEXT(Table1[[#This Row],[Order Date]],"yyyy")</f>
        <v>2025</v>
      </c>
    </row>
    <row r="595" spans="1:23" x14ac:dyDescent="0.25">
      <c r="A595" s="2" t="s">
        <v>832</v>
      </c>
      <c r="B595" s="4">
        <v>45663</v>
      </c>
      <c r="C595" s="2" t="s">
        <v>366</v>
      </c>
      <c r="D595" s="2" t="str">
        <f>TEXT(Table1[[#This Row],[Order Date]],"mmmm")</f>
        <v>January</v>
      </c>
      <c r="E595" s="2" t="s">
        <v>135</v>
      </c>
      <c r="F595" s="2">
        <v>1</v>
      </c>
      <c r="G595" s="5">
        <v>0.05</v>
      </c>
      <c r="H595" s="2" t="s">
        <v>25</v>
      </c>
      <c r="I595" s="2" t="s">
        <v>26</v>
      </c>
      <c r="J595" s="2" t="s">
        <v>21</v>
      </c>
      <c r="K595">
        <f>VLOOKUP(E595,Products!$A$2:$E$23,5,0)</f>
        <v>220</v>
      </c>
      <c r="L595">
        <f>VLOOKUP(E595,Products!$A$2:$E$23,4,0)</f>
        <v>120</v>
      </c>
      <c r="M595" s="2">
        <f>K595*F595-Table1[[#This Row],[discount_amount]]</f>
        <v>209</v>
      </c>
      <c r="N595">
        <f t="shared" si="19"/>
        <v>120</v>
      </c>
      <c r="O595">
        <f t="shared" si="18"/>
        <v>89</v>
      </c>
      <c r="P595">
        <f>Table1[[#This Row],[Quantity]]*Table1[[#This Row],[unit_price]]*Table1[[#This Row],[Discount]]</f>
        <v>11</v>
      </c>
      <c r="Q595" t="str">
        <f>VLOOKUP(E595,Products!$A$2:$E$23,2,0)</f>
        <v>Stapler</v>
      </c>
      <c r="R595" t="str">
        <f>VLOOKUP(Table1[[#This Row],[Product ID]],Products!$A$2:$E$23,3,0)</f>
        <v>Office Supplies</v>
      </c>
      <c r="S595" t="str">
        <f>VLOOKUP(C595,Customers!$A$2:$F$201,4,0)</f>
        <v>Bihar</v>
      </c>
      <c r="T595" t="str">
        <f>VLOOKUP(Table1[[#This Row],[Customer ID]],Customers!$A$2:$F$201,5,0)</f>
        <v>East</v>
      </c>
      <c r="U595" t="str">
        <f>VLOOKUP(Table1[[#This Row],[Customer ID]],Customers!$A$2:$F$201,6,0)</f>
        <v>Home Office</v>
      </c>
      <c r="V595" t="str">
        <f>TEXT(Table1[[#This Row],[Order Date]],"MMM")</f>
        <v>Jan</v>
      </c>
      <c r="W595" t="str">
        <f>TEXT(Table1[[#This Row],[Order Date]],"yyyy")</f>
        <v>2025</v>
      </c>
    </row>
    <row r="596" spans="1:23" x14ac:dyDescent="0.25">
      <c r="A596" s="2" t="s">
        <v>833</v>
      </c>
      <c r="B596" s="4">
        <v>45664</v>
      </c>
      <c r="C596" s="2" t="s">
        <v>358</v>
      </c>
      <c r="D596" s="2" t="str">
        <f>TEXT(Table1[[#This Row],[Order Date]],"mmmm")</f>
        <v>January</v>
      </c>
      <c r="E596" s="2" t="s">
        <v>37</v>
      </c>
      <c r="F596" s="2">
        <v>10</v>
      </c>
      <c r="G596" s="5">
        <v>0.1</v>
      </c>
      <c r="H596" s="2" t="s">
        <v>30</v>
      </c>
      <c r="I596" s="2" t="s">
        <v>46</v>
      </c>
      <c r="J596" s="2" t="s">
        <v>21</v>
      </c>
      <c r="K596">
        <f>VLOOKUP(E596,Products!$A$2:$E$23,5,0)</f>
        <v>1799</v>
      </c>
      <c r="L596">
        <f>VLOOKUP(E596,Products!$A$2:$E$23,4,0)</f>
        <v>900</v>
      </c>
      <c r="M596" s="2">
        <f>K596*F596-Table1[[#This Row],[discount_amount]]</f>
        <v>16191</v>
      </c>
      <c r="N596">
        <f t="shared" si="19"/>
        <v>9000</v>
      </c>
      <c r="O596">
        <f t="shared" si="18"/>
        <v>7191</v>
      </c>
      <c r="P596">
        <f>Table1[[#This Row],[Quantity]]*Table1[[#This Row],[unit_price]]*Table1[[#This Row],[Discount]]</f>
        <v>1799</v>
      </c>
      <c r="Q596" t="str">
        <f>VLOOKUP(E596,Products!$A$2:$E$23,2,0)</f>
        <v>Denim Jeans</v>
      </c>
      <c r="R596" t="str">
        <f>VLOOKUP(Table1[[#This Row],[Product ID]],Products!$A$2:$E$23,3,0)</f>
        <v>Clothing</v>
      </c>
      <c r="S596" t="str">
        <f>VLOOKUP(C596,Customers!$A$2:$F$201,4,0)</f>
        <v>Delhi</v>
      </c>
      <c r="T596" t="str">
        <f>VLOOKUP(Table1[[#This Row],[Customer ID]],Customers!$A$2:$F$201,5,0)</f>
        <v>North</v>
      </c>
      <c r="U596" t="str">
        <f>VLOOKUP(Table1[[#This Row],[Customer ID]],Customers!$A$2:$F$201,6,0)</f>
        <v>Consumer</v>
      </c>
      <c r="V596" t="str">
        <f>TEXT(Table1[[#This Row],[Order Date]],"MMM")</f>
        <v>Jan</v>
      </c>
      <c r="W596" t="str">
        <f>TEXT(Table1[[#This Row],[Order Date]],"yyyy")</f>
        <v>2025</v>
      </c>
    </row>
    <row r="597" spans="1:23" x14ac:dyDescent="0.25">
      <c r="A597" s="2" t="s">
        <v>834</v>
      </c>
      <c r="B597" s="4">
        <v>45665</v>
      </c>
      <c r="C597" s="2" t="s">
        <v>241</v>
      </c>
      <c r="D597" s="2" t="str">
        <f>TEXT(Table1[[#This Row],[Order Date]],"mmmm")</f>
        <v>January</v>
      </c>
      <c r="E597" s="2" t="s">
        <v>127</v>
      </c>
      <c r="F597" s="2">
        <v>4</v>
      </c>
      <c r="G597" s="5">
        <v>0</v>
      </c>
      <c r="H597" s="2" t="s">
        <v>25</v>
      </c>
      <c r="I597" s="2" t="s">
        <v>31</v>
      </c>
      <c r="J597" s="2" t="s">
        <v>21</v>
      </c>
      <c r="K597">
        <f>VLOOKUP(E597,Products!$A$2:$E$23,5,0)</f>
        <v>1999</v>
      </c>
      <c r="L597">
        <f>VLOOKUP(E597,Products!$A$2:$E$23,4,0)</f>
        <v>1200</v>
      </c>
      <c r="M597" s="2">
        <f>K597*F597-Table1[[#This Row],[discount_amount]]</f>
        <v>7996</v>
      </c>
      <c r="N597">
        <f t="shared" si="19"/>
        <v>4800</v>
      </c>
      <c r="O597">
        <f t="shared" si="18"/>
        <v>3196</v>
      </c>
      <c r="P597">
        <f>Table1[[#This Row],[Quantity]]*Table1[[#This Row],[unit_price]]*Table1[[#This Row],[Discount]]</f>
        <v>0</v>
      </c>
      <c r="Q597" t="str">
        <f>VLOOKUP(E597,Products!$A$2:$E$23,2,0)</f>
        <v>Bluetooth Speaker</v>
      </c>
      <c r="R597" t="str">
        <f>VLOOKUP(Table1[[#This Row],[Product ID]],Products!$A$2:$E$23,3,0)</f>
        <v>Electronics</v>
      </c>
      <c r="S597" t="str">
        <f>VLOOKUP(C597,Customers!$A$2:$F$201,4,0)</f>
        <v>Odisha</v>
      </c>
      <c r="T597" t="str">
        <f>VLOOKUP(Table1[[#This Row],[Customer ID]],Customers!$A$2:$F$201,5,0)</f>
        <v>East</v>
      </c>
      <c r="U597" t="str">
        <f>VLOOKUP(Table1[[#This Row],[Customer ID]],Customers!$A$2:$F$201,6,0)</f>
        <v>Home Office</v>
      </c>
      <c r="V597" t="str">
        <f>TEXT(Table1[[#This Row],[Order Date]],"MMM")</f>
        <v>Jan</v>
      </c>
      <c r="W597" t="str">
        <f>TEXT(Table1[[#This Row],[Order Date]],"yyyy")</f>
        <v>2025</v>
      </c>
    </row>
    <row r="598" spans="1:23" x14ac:dyDescent="0.25">
      <c r="A598" s="2" t="s">
        <v>835</v>
      </c>
      <c r="B598" s="4">
        <v>45665</v>
      </c>
      <c r="C598" s="2" t="s">
        <v>171</v>
      </c>
      <c r="D598" s="2" t="str">
        <f>TEXT(Table1[[#This Row],[Order Date]],"mmmm")</f>
        <v>January</v>
      </c>
      <c r="E598" s="2" t="s">
        <v>37</v>
      </c>
      <c r="F598" s="2">
        <v>4</v>
      </c>
      <c r="G598" s="5">
        <v>0.15</v>
      </c>
      <c r="H598" s="2" t="s">
        <v>19</v>
      </c>
      <c r="I598" s="2" t="s">
        <v>46</v>
      </c>
      <c r="J598" s="2" t="s">
        <v>21</v>
      </c>
      <c r="K598">
        <f>VLOOKUP(E598,Products!$A$2:$E$23,5,0)</f>
        <v>1799</v>
      </c>
      <c r="L598">
        <f>VLOOKUP(E598,Products!$A$2:$E$23,4,0)</f>
        <v>900</v>
      </c>
      <c r="M598" s="2">
        <f>K598*F598-Table1[[#This Row],[discount_amount]]</f>
        <v>6116.6</v>
      </c>
      <c r="N598">
        <f t="shared" si="19"/>
        <v>3600</v>
      </c>
      <c r="O598">
        <f t="shared" si="18"/>
        <v>2516.6000000000004</v>
      </c>
      <c r="P598">
        <f>Table1[[#This Row],[Quantity]]*Table1[[#This Row],[unit_price]]*Table1[[#This Row],[Discount]]</f>
        <v>1079.3999999999999</v>
      </c>
      <c r="Q598" t="str">
        <f>VLOOKUP(E598,Products!$A$2:$E$23,2,0)</f>
        <v>Denim Jeans</v>
      </c>
      <c r="R598" t="str">
        <f>VLOOKUP(Table1[[#This Row],[Product ID]],Products!$A$2:$E$23,3,0)</f>
        <v>Clothing</v>
      </c>
      <c r="S598" t="str">
        <f>VLOOKUP(C598,Customers!$A$2:$F$201,4,0)</f>
        <v>Delhi</v>
      </c>
      <c r="T598" t="str">
        <f>VLOOKUP(Table1[[#This Row],[Customer ID]],Customers!$A$2:$F$201,5,0)</f>
        <v>North</v>
      </c>
      <c r="U598" t="str">
        <f>VLOOKUP(Table1[[#This Row],[Customer ID]],Customers!$A$2:$F$201,6,0)</f>
        <v>Consumer</v>
      </c>
      <c r="V598" t="str">
        <f>TEXT(Table1[[#This Row],[Order Date]],"MMM")</f>
        <v>Jan</v>
      </c>
      <c r="W598" t="str">
        <f>TEXT(Table1[[#This Row],[Order Date]],"yyyy")</f>
        <v>2025</v>
      </c>
    </row>
    <row r="599" spans="1:23" x14ac:dyDescent="0.25">
      <c r="A599" s="2" t="s">
        <v>836</v>
      </c>
      <c r="B599" s="4">
        <v>45666</v>
      </c>
      <c r="C599" s="2" t="s">
        <v>194</v>
      </c>
      <c r="D599" s="2" t="str">
        <f>TEXT(Table1[[#This Row],[Order Date]],"mmmm")</f>
        <v>January</v>
      </c>
      <c r="E599" s="2" t="s">
        <v>82</v>
      </c>
      <c r="F599" s="2">
        <v>3</v>
      </c>
      <c r="G599" s="5">
        <v>0.05</v>
      </c>
      <c r="H599" s="2" t="s">
        <v>25</v>
      </c>
      <c r="I599" s="2" t="s">
        <v>31</v>
      </c>
      <c r="J599" s="2" t="s">
        <v>21</v>
      </c>
      <c r="K599">
        <f>VLOOKUP(E599,Products!$A$2:$E$23,5,0)</f>
        <v>1799</v>
      </c>
      <c r="L599">
        <f>VLOOKUP(E599,Products!$A$2:$E$23,4,0)</f>
        <v>1100</v>
      </c>
      <c r="M599" s="2">
        <f>K599*F599-Table1[[#This Row],[discount_amount]]</f>
        <v>5127.1499999999996</v>
      </c>
      <c r="N599">
        <f t="shared" si="19"/>
        <v>3300</v>
      </c>
      <c r="O599">
        <f t="shared" si="18"/>
        <v>1827.1499999999996</v>
      </c>
      <c r="P599">
        <f>Table1[[#This Row],[Quantity]]*Table1[[#This Row],[unit_price]]*Table1[[#This Row],[Discount]]</f>
        <v>269.85000000000002</v>
      </c>
      <c r="Q599" t="str">
        <f>VLOOKUP(E599,Products!$A$2:$E$23,2,0)</f>
        <v>Webcam HD</v>
      </c>
      <c r="R599" t="str">
        <f>VLOOKUP(Table1[[#This Row],[Product ID]],Products!$A$2:$E$23,3,0)</f>
        <v>Electronics</v>
      </c>
      <c r="S599" t="str">
        <f>VLOOKUP(C599,Customers!$A$2:$F$201,4,0)</f>
        <v>Telangana</v>
      </c>
      <c r="T599" t="str">
        <f>VLOOKUP(Table1[[#This Row],[Customer ID]],Customers!$A$2:$F$201,5,0)</f>
        <v>South</v>
      </c>
      <c r="U599" t="str">
        <f>VLOOKUP(Table1[[#This Row],[Customer ID]],Customers!$A$2:$F$201,6,0)</f>
        <v>Consumer</v>
      </c>
      <c r="V599" t="str">
        <f>TEXT(Table1[[#This Row],[Order Date]],"MMM")</f>
        <v>Jan</v>
      </c>
      <c r="W599" t="str">
        <f>TEXT(Table1[[#This Row],[Order Date]],"yyyy")</f>
        <v>2025</v>
      </c>
    </row>
    <row r="600" spans="1:23" x14ac:dyDescent="0.25">
      <c r="A600" s="2" t="s">
        <v>837</v>
      </c>
      <c r="B600" s="4">
        <v>45666</v>
      </c>
      <c r="C600" s="2" t="s">
        <v>676</v>
      </c>
      <c r="D600" s="2" t="str">
        <f>TEXT(Table1[[#This Row],[Order Date]],"mmmm")</f>
        <v>January</v>
      </c>
      <c r="E600" s="2" t="s">
        <v>121</v>
      </c>
      <c r="F600" s="2">
        <v>6</v>
      </c>
      <c r="G600" s="5">
        <v>0.1</v>
      </c>
      <c r="H600" s="2" t="s">
        <v>30</v>
      </c>
      <c r="I600" s="2" t="s">
        <v>38</v>
      </c>
      <c r="J600" s="2" t="s">
        <v>21</v>
      </c>
      <c r="K600">
        <f>VLOOKUP(E600,Products!$A$2:$E$23,5,0)</f>
        <v>499</v>
      </c>
      <c r="L600">
        <f>VLOOKUP(E600,Products!$A$2:$E$23,4,0)</f>
        <v>250</v>
      </c>
      <c r="M600" s="2">
        <f>K600*F600-Table1[[#This Row],[discount_amount]]</f>
        <v>2694.6</v>
      </c>
      <c r="N600">
        <f t="shared" si="19"/>
        <v>1500</v>
      </c>
      <c r="O600">
        <f t="shared" si="18"/>
        <v>1194.5999999999999</v>
      </c>
      <c r="P600">
        <f>Table1[[#This Row],[Quantity]]*Table1[[#This Row],[unit_price]]*Table1[[#This Row],[Discount]]</f>
        <v>299.40000000000003</v>
      </c>
      <c r="Q600" t="str">
        <f>VLOOKUP(E600,Products!$A$2:$E$23,2,0)</f>
        <v>Cotton T-Shirt</v>
      </c>
      <c r="R600" t="str">
        <f>VLOOKUP(Table1[[#This Row],[Product ID]],Products!$A$2:$E$23,3,0)</f>
        <v>Clothing</v>
      </c>
      <c r="S600" t="str">
        <f>VLOOKUP(C600,Customers!$A$2:$F$201,4,0)</f>
        <v>Tamil Nadu</v>
      </c>
      <c r="T600" t="str">
        <f>VLOOKUP(Table1[[#This Row],[Customer ID]],Customers!$A$2:$F$201,5,0)</f>
        <v>South</v>
      </c>
      <c r="U600" t="str">
        <f>VLOOKUP(Table1[[#This Row],[Customer ID]],Customers!$A$2:$F$201,6,0)</f>
        <v>Consumer</v>
      </c>
      <c r="V600" t="str">
        <f>TEXT(Table1[[#This Row],[Order Date]],"MMM")</f>
        <v>Jan</v>
      </c>
      <c r="W600" t="str">
        <f>TEXT(Table1[[#This Row],[Order Date]],"yyyy")</f>
        <v>2025</v>
      </c>
    </row>
    <row r="601" spans="1:23" x14ac:dyDescent="0.25">
      <c r="A601" s="2" t="s">
        <v>838</v>
      </c>
      <c r="B601" s="4">
        <v>45668</v>
      </c>
      <c r="C601" s="2" t="s">
        <v>33</v>
      </c>
      <c r="D601" s="2" t="str">
        <f>TEXT(Table1[[#This Row],[Order Date]],"mmmm")</f>
        <v>January</v>
      </c>
      <c r="E601" s="2" t="s">
        <v>34</v>
      </c>
      <c r="F601" s="2">
        <v>4</v>
      </c>
      <c r="G601" s="5">
        <v>0.15</v>
      </c>
      <c r="H601" s="2" t="s">
        <v>19</v>
      </c>
      <c r="I601" s="2" t="s">
        <v>31</v>
      </c>
      <c r="J601" s="2" t="s">
        <v>21</v>
      </c>
      <c r="K601">
        <f>VLOOKUP(E601,Products!$A$2:$E$23,5,0)</f>
        <v>4599</v>
      </c>
      <c r="L601">
        <f>VLOOKUP(E601,Products!$A$2:$E$23,4,0)</f>
        <v>3000</v>
      </c>
      <c r="M601" s="2">
        <f>K601*F601-Table1[[#This Row],[discount_amount]]</f>
        <v>15636.6</v>
      </c>
      <c r="N601">
        <f t="shared" si="19"/>
        <v>12000</v>
      </c>
      <c r="O601">
        <f t="shared" si="18"/>
        <v>3636.6000000000004</v>
      </c>
      <c r="P601">
        <f>Table1[[#This Row],[Quantity]]*Table1[[#This Row],[unit_price]]*Table1[[#This Row],[Discount]]</f>
        <v>2759.4</v>
      </c>
      <c r="Q601" t="str">
        <f>VLOOKUP(E601,Products!$A$2:$E$23,2,0)</f>
        <v>Filing Cabinet</v>
      </c>
      <c r="R601" t="str">
        <f>VLOOKUP(Table1[[#This Row],[Product ID]],Products!$A$2:$E$23,3,0)</f>
        <v>Furniture</v>
      </c>
      <c r="S601" t="str">
        <f>VLOOKUP(C601,Customers!$A$2:$F$201,4,0)</f>
        <v>West Bengal</v>
      </c>
      <c r="T601" t="str">
        <f>VLOOKUP(Table1[[#This Row],[Customer ID]],Customers!$A$2:$F$201,5,0)</f>
        <v>East</v>
      </c>
      <c r="U601" t="str">
        <f>VLOOKUP(Table1[[#This Row],[Customer ID]],Customers!$A$2:$F$201,6,0)</f>
        <v>Consumer</v>
      </c>
      <c r="V601" t="str">
        <f>TEXT(Table1[[#This Row],[Order Date]],"MMM")</f>
        <v>Jan</v>
      </c>
      <c r="W601" t="str">
        <f>TEXT(Table1[[#This Row],[Order Date]],"yyyy")</f>
        <v>2025</v>
      </c>
    </row>
    <row r="602" spans="1:23" x14ac:dyDescent="0.25">
      <c r="A602" s="2" t="s">
        <v>839</v>
      </c>
      <c r="B602" s="4">
        <v>45668</v>
      </c>
      <c r="C602" s="2" t="s">
        <v>820</v>
      </c>
      <c r="D602" s="2" t="str">
        <f>TEXT(Table1[[#This Row],[Order Date]],"mmmm")</f>
        <v>January</v>
      </c>
      <c r="E602" s="2" t="s">
        <v>29</v>
      </c>
      <c r="F602" s="2">
        <v>6</v>
      </c>
      <c r="G602" s="5">
        <v>0</v>
      </c>
      <c r="H602" s="2" t="s">
        <v>19</v>
      </c>
      <c r="I602" s="2" t="s">
        <v>26</v>
      </c>
      <c r="J602" s="2" t="s">
        <v>21</v>
      </c>
      <c r="K602">
        <f>VLOOKUP(E602,Products!$A$2:$E$23,5,0)</f>
        <v>599</v>
      </c>
      <c r="L602">
        <f>VLOOKUP(E602,Products!$A$2:$E$23,4,0)</f>
        <v>350</v>
      </c>
      <c r="M602" s="2">
        <f>K602*F602-Table1[[#This Row],[discount_amount]]</f>
        <v>3594</v>
      </c>
      <c r="N602">
        <f t="shared" si="19"/>
        <v>2100</v>
      </c>
      <c r="O602">
        <f t="shared" si="18"/>
        <v>1494</v>
      </c>
      <c r="P602">
        <f>Table1[[#This Row],[Quantity]]*Table1[[#This Row],[unit_price]]*Table1[[#This Row],[Discount]]</f>
        <v>0</v>
      </c>
      <c r="Q602" t="str">
        <f>VLOOKUP(E602,Products!$A$2:$E$23,2,0)</f>
        <v>USB Flash Drive 64GB</v>
      </c>
      <c r="R602" t="str">
        <f>VLOOKUP(Table1[[#This Row],[Product ID]],Products!$A$2:$E$23,3,0)</f>
        <v>Electronics</v>
      </c>
      <c r="S602" t="str">
        <f>VLOOKUP(C602,Customers!$A$2:$F$201,4,0)</f>
        <v>Maharashtra</v>
      </c>
      <c r="T602" t="str">
        <f>VLOOKUP(Table1[[#This Row],[Customer ID]],Customers!$A$2:$F$201,5,0)</f>
        <v>Central</v>
      </c>
      <c r="U602" t="str">
        <f>VLOOKUP(Table1[[#This Row],[Customer ID]],Customers!$A$2:$F$201,6,0)</f>
        <v>Corporate</v>
      </c>
      <c r="V602" t="str">
        <f>TEXT(Table1[[#This Row],[Order Date]],"MMM")</f>
        <v>Jan</v>
      </c>
      <c r="W602" t="str">
        <f>TEXT(Table1[[#This Row],[Order Date]],"yyyy")</f>
        <v>2025</v>
      </c>
    </row>
    <row r="603" spans="1:23" x14ac:dyDescent="0.25">
      <c r="A603" s="2" t="s">
        <v>840</v>
      </c>
      <c r="B603" s="4">
        <v>45668</v>
      </c>
      <c r="C603" s="2" t="s">
        <v>76</v>
      </c>
      <c r="D603" s="2" t="str">
        <f>TEXT(Table1[[#This Row],[Order Date]],"mmmm")</f>
        <v>January</v>
      </c>
      <c r="E603" s="2" t="s">
        <v>60</v>
      </c>
      <c r="F603" s="2">
        <v>10</v>
      </c>
      <c r="G603" s="5">
        <v>0</v>
      </c>
      <c r="H603" s="2" t="s">
        <v>30</v>
      </c>
      <c r="I603" s="2" t="s">
        <v>38</v>
      </c>
      <c r="J603" s="2" t="s">
        <v>21</v>
      </c>
      <c r="K603">
        <f>VLOOKUP(E603,Products!$A$2:$E$23,5,0)</f>
        <v>449</v>
      </c>
      <c r="L603">
        <f>VLOOKUP(E603,Products!$A$2:$E$23,4,0)</f>
        <v>260</v>
      </c>
      <c r="M603" s="2">
        <f>K603*F603-Table1[[#This Row],[discount_amount]]</f>
        <v>4490</v>
      </c>
      <c r="N603">
        <f t="shared" si="19"/>
        <v>2600</v>
      </c>
      <c r="O603">
        <f t="shared" si="18"/>
        <v>1890</v>
      </c>
      <c r="P603">
        <f>Table1[[#This Row],[Quantity]]*Table1[[#This Row],[unit_price]]*Table1[[#This Row],[Discount]]</f>
        <v>0</v>
      </c>
      <c r="Q603" t="str">
        <f>VLOOKUP(E603,Products!$A$2:$E$23,2,0)</f>
        <v>Desk Organizer</v>
      </c>
      <c r="R603" t="str">
        <f>VLOOKUP(Table1[[#This Row],[Product ID]],Products!$A$2:$E$23,3,0)</f>
        <v>Office Supplies</v>
      </c>
      <c r="S603" t="str">
        <f>VLOOKUP(C603,Customers!$A$2:$F$201,4,0)</f>
        <v>West Bengal</v>
      </c>
      <c r="T603" t="str">
        <f>VLOOKUP(Table1[[#This Row],[Customer ID]],Customers!$A$2:$F$201,5,0)</f>
        <v>East</v>
      </c>
      <c r="U603" t="str">
        <f>VLOOKUP(Table1[[#This Row],[Customer ID]],Customers!$A$2:$F$201,6,0)</f>
        <v>Corporate</v>
      </c>
      <c r="V603" t="str">
        <f>TEXT(Table1[[#This Row],[Order Date]],"MMM")</f>
        <v>Jan</v>
      </c>
      <c r="W603" t="str">
        <f>TEXT(Table1[[#This Row],[Order Date]],"yyyy")</f>
        <v>2025</v>
      </c>
    </row>
    <row r="604" spans="1:23" x14ac:dyDescent="0.25">
      <c r="A604" s="2" t="s">
        <v>841</v>
      </c>
      <c r="B604" s="4">
        <v>45669</v>
      </c>
      <c r="C604" s="2" t="s">
        <v>28</v>
      </c>
      <c r="D604" s="2" t="str">
        <f>TEXT(Table1[[#This Row],[Order Date]],"mmmm")</f>
        <v>January</v>
      </c>
      <c r="E604" s="2" t="s">
        <v>91</v>
      </c>
      <c r="F604" s="2">
        <v>10</v>
      </c>
      <c r="G604" s="5">
        <v>0.2</v>
      </c>
      <c r="H604" s="2" t="s">
        <v>25</v>
      </c>
      <c r="I604" s="2" t="s">
        <v>31</v>
      </c>
      <c r="J604" s="2" t="s">
        <v>21</v>
      </c>
      <c r="K604">
        <f>VLOOKUP(E604,Products!$A$2:$E$23,5,0)</f>
        <v>1199</v>
      </c>
      <c r="L604">
        <f>VLOOKUP(E604,Products!$A$2:$E$23,4,0)</f>
        <v>600</v>
      </c>
      <c r="M604" s="2">
        <f>K604*F604-Table1[[#This Row],[discount_amount]]</f>
        <v>9592</v>
      </c>
      <c r="N604">
        <f t="shared" si="19"/>
        <v>6000</v>
      </c>
      <c r="O604">
        <f t="shared" si="18"/>
        <v>3592</v>
      </c>
      <c r="P604">
        <f>Table1[[#This Row],[Quantity]]*Table1[[#This Row],[unit_price]]*Table1[[#This Row],[Discount]]</f>
        <v>2398</v>
      </c>
      <c r="Q604" t="str">
        <f>VLOOKUP(E604,Products!$A$2:$E$23,2,0)</f>
        <v>Formal Shirt</v>
      </c>
      <c r="R604" t="str">
        <f>VLOOKUP(Table1[[#This Row],[Product ID]],Products!$A$2:$E$23,3,0)</f>
        <v>Clothing</v>
      </c>
      <c r="S604" t="str">
        <f>VLOOKUP(C604,Customers!$A$2:$F$201,4,0)</f>
        <v>Maharashtra</v>
      </c>
      <c r="T604" t="str">
        <f>VLOOKUP(Table1[[#This Row],[Customer ID]],Customers!$A$2:$F$201,5,0)</f>
        <v>West</v>
      </c>
      <c r="U604" t="str">
        <f>VLOOKUP(Table1[[#This Row],[Customer ID]],Customers!$A$2:$F$201,6,0)</f>
        <v>Consumer</v>
      </c>
      <c r="V604" t="str">
        <f>TEXT(Table1[[#This Row],[Order Date]],"MMM")</f>
        <v>Jan</v>
      </c>
      <c r="W604" t="str">
        <f>TEXT(Table1[[#This Row],[Order Date]],"yyyy")</f>
        <v>2025</v>
      </c>
    </row>
    <row r="605" spans="1:23" x14ac:dyDescent="0.25">
      <c r="A605" s="2" t="s">
        <v>842</v>
      </c>
      <c r="B605" s="4">
        <v>45669</v>
      </c>
      <c r="C605" s="2" t="s">
        <v>639</v>
      </c>
      <c r="D605" s="2" t="str">
        <f>TEXT(Table1[[#This Row],[Order Date]],"mmmm")</f>
        <v>January</v>
      </c>
      <c r="E605" s="2" t="s">
        <v>34</v>
      </c>
      <c r="F605" s="2">
        <v>4</v>
      </c>
      <c r="G605" s="5">
        <v>0</v>
      </c>
      <c r="H605" s="2" t="s">
        <v>25</v>
      </c>
      <c r="I605" s="2" t="s">
        <v>26</v>
      </c>
      <c r="J605" s="2" t="s">
        <v>21</v>
      </c>
      <c r="K605">
        <f>VLOOKUP(E605,Products!$A$2:$E$23,5,0)</f>
        <v>4599</v>
      </c>
      <c r="L605">
        <f>VLOOKUP(E605,Products!$A$2:$E$23,4,0)</f>
        <v>3000</v>
      </c>
      <c r="M605" s="2">
        <f>K605*F605-Table1[[#This Row],[discount_amount]]</f>
        <v>18396</v>
      </c>
      <c r="N605">
        <f t="shared" si="19"/>
        <v>12000</v>
      </c>
      <c r="O605">
        <f t="shared" si="18"/>
        <v>6396</v>
      </c>
      <c r="P605">
        <f>Table1[[#This Row],[Quantity]]*Table1[[#This Row],[unit_price]]*Table1[[#This Row],[Discount]]</f>
        <v>0</v>
      </c>
      <c r="Q605" t="str">
        <f>VLOOKUP(E605,Products!$A$2:$E$23,2,0)</f>
        <v>Filing Cabinet</v>
      </c>
      <c r="R605" t="str">
        <f>VLOOKUP(Table1[[#This Row],[Product ID]],Products!$A$2:$E$23,3,0)</f>
        <v>Furniture</v>
      </c>
      <c r="S605" t="str">
        <f>VLOOKUP(C605,Customers!$A$2:$F$201,4,0)</f>
        <v>Madhya Pradesh</v>
      </c>
      <c r="T605" t="str">
        <f>VLOOKUP(Table1[[#This Row],[Customer ID]],Customers!$A$2:$F$201,5,0)</f>
        <v>Central</v>
      </c>
      <c r="U605" t="str">
        <f>VLOOKUP(Table1[[#This Row],[Customer ID]],Customers!$A$2:$F$201,6,0)</f>
        <v>Consumer</v>
      </c>
      <c r="V605" t="str">
        <f>TEXT(Table1[[#This Row],[Order Date]],"MMM")</f>
        <v>Jan</v>
      </c>
      <c r="W605" t="str">
        <f>TEXT(Table1[[#This Row],[Order Date]],"yyyy")</f>
        <v>2025</v>
      </c>
    </row>
    <row r="606" spans="1:23" x14ac:dyDescent="0.25">
      <c r="A606" s="2" t="s">
        <v>843</v>
      </c>
      <c r="B606" s="4">
        <v>45670</v>
      </c>
      <c r="C606" s="2" t="s">
        <v>40</v>
      </c>
      <c r="D606" s="2" t="str">
        <f>TEXT(Table1[[#This Row],[Order Date]],"mmmm")</f>
        <v>January</v>
      </c>
      <c r="E606" s="2" t="s">
        <v>66</v>
      </c>
      <c r="F606" s="2">
        <v>6</v>
      </c>
      <c r="G606" s="5">
        <v>0.05</v>
      </c>
      <c r="H606" s="2" t="s">
        <v>19</v>
      </c>
      <c r="I606" s="2" t="s">
        <v>46</v>
      </c>
      <c r="J606" s="2" t="s">
        <v>21</v>
      </c>
      <c r="K606">
        <f>VLOOKUP(E606,Products!$A$2:$E$23,5,0)</f>
        <v>1299</v>
      </c>
      <c r="L606">
        <f>VLOOKUP(E606,Products!$A$2:$E$23,4,0)</f>
        <v>800</v>
      </c>
      <c r="M606" s="2">
        <f>K606*F606-Table1[[#This Row],[discount_amount]]</f>
        <v>7404.3</v>
      </c>
      <c r="N606">
        <f t="shared" si="19"/>
        <v>4800</v>
      </c>
      <c r="O606">
        <f t="shared" si="18"/>
        <v>2604.3000000000002</v>
      </c>
      <c r="P606">
        <f>Table1[[#This Row],[Quantity]]*Table1[[#This Row],[unit_price]]*Table1[[#This Row],[Discount]]</f>
        <v>389.70000000000005</v>
      </c>
      <c r="Q606" t="str">
        <f>VLOOKUP(E606,Products!$A$2:$E$23,2,0)</f>
        <v>Power Bank 10000mAh</v>
      </c>
      <c r="R606" t="str">
        <f>VLOOKUP(Table1[[#This Row],[Product ID]],Products!$A$2:$E$23,3,0)</f>
        <v>Electronics</v>
      </c>
      <c r="S606" t="str">
        <f>VLOOKUP(C606,Customers!$A$2:$F$201,4,0)</f>
        <v>Telangana</v>
      </c>
      <c r="T606" t="str">
        <f>VLOOKUP(Table1[[#This Row],[Customer ID]],Customers!$A$2:$F$201,5,0)</f>
        <v>South</v>
      </c>
      <c r="U606" t="str">
        <f>VLOOKUP(Table1[[#This Row],[Customer ID]],Customers!$A$2:$F$201,6,0)</f>
        <v>Corporate</v>
      </c>
      <c r="V606" t="str">
        <f>TEXT(Table1[[#This Row],[Order Date]],"MMM")</f>
        <v>Jan</v>
      </c>
      <c r="W606" t="str">
        <f>TEXT(Table1[[#This Row],[Order Date]],"yyyy")</f>
        <v>2025</v>
      </c>
    </row>
    <row r="607" spans="1:23" x14ac:dyDescent="0.25">
      <c r="A607" s="2" t="s">
        <v>844</v>
      </c>
      <c r="B607" s="4">
        <v>45671</v>
      </c>
      <c r="C607" s="2" t="s">
        <v>162</v>
      </c>
      <c r="D607" s="2" t="str">
        <f>TEXT(Table1[[#This Row],[Order Date]],"mmmm")</f>
        <v>January</v>
      </c>
      <c r="E607" s="2" t="s">
        <v>37</v>
      </c>
      <c r="F607" s="2">
        <v>3</v>
      </c>
      <c r="G607" s="5">
        <v>0.2</v>
      </c>
      <c r="H607" s="2" t="s">
        <v>30</v>
      </c>
      <c r="I607" s="2" t="s">
        <v>20</v>
      </c>
      <c r="J607" s="2" t="s">
        <v>21</v>
      </c>
      <c r="K607">
        <f>VLOOKUP(E607,Products!$A$2:$E$23,5,0)</f>
        <v>1799</v>
      </c>
      <c r="L607">
        <f>VLOOKUP(E607,Products!$A$2:$E$23,4,0)</f>
        <v>900</v>
      </c>
      <c r="M607" s="2">
        <f>K607*F607-Table1[[#This Row],[discount_amount]]</f>
        <v>4317.6000000000004</v>
      </c>
      <c r="N607">
        <f t="shared" si="19"/>
        <v>2700</v>
      </c>
      <c r="O607">
        <f t="shared" si="18"/>
        <v>1617.6000000000004</v>
      </c>
      <c r="P607">
        <f>Table1[[#This Row],[Quantity]]*Table1[[#This Row],[unit_price]]*Table1[[#This Row],[Discount]]</f>
        <v>1079.4000000000001</v>
      </c>
      <c r="Q607" t="str">
        <f>VLOOKUP(E607,Products!$A$2:$E$23,2,0)</f>
        <v>Denim Jeans</v>
      </c>
      <c r="R607" t="str">
        <f>VLOOKUP(Table1[[#This Row],[Product ID]],Products!$A$2:$E$23,3,0)</f>
        <v>Clothing</v>
      </c>
      <c r="S607" t="str">
        <f>VLOOKUP(C607,Customers!$A$2:$F$201,4,0)</f>
        <v>Gujarat</v>
      </c>
      <c r="T607" t="str">
        <f>VLOOKUP(Table1[[#This Row],[Customer ID]],Customers!$A$2:$F$201,5,0)</f>
        <v>West</v>
      </c>
      <c r="U607" t="str">
        <f>VLOOKUP(Table1[[#This Row],[Customer ID]],Customers!$A$2:$F$201,6,0)</f>
        <v>Home Office</v>
      </c>
      <c r="V607" t="str">
        <f>TEXT(Table1[[#This Row],[Order Date]],"MMM")</f>
        <v>Jan</v>
      </c>
      <c r="W607" t="str">
        <f>TEXT(Table1[[#This Row],[Order Date]],"yyyy")</f>
        <v>2025</v>
      </c>
    </row>
    <row r="608" spans="1:23" x14ac:dyDescent="0.25">
      <c r="A608" s="2" t="s">
        <v>845</v>
      </c>
      <c r="B608" s="4">
        <v>45671</v>
      </c>
      <c r="C608" s="2" t="s">
        <v>183</v>
      </c>
      <c r="D608" s="2" t="str">
        <f>TEXT(Table1[[#This Row],[Order Date]],"mmmm")</f>
        <v>January</v>
      </c>
      <c r="E608" s="2" t="s">
        <v>57</v>
      </c>
      <c r="F608" s="2">
        <v>2</v>
      </c>
      <c r="G608" s="5">
        <v>0.1</v>
      </c>
      <c r="H608" s="2" t="s">
        <v>19</v>
      </c>
      <c r="I608" s="2" t="s">
        <v>38</v>
      </c>
      <c r="J608" s="2" t="s">
        <v>42</v>
      </c>
      <c r="K608">
        <f>VLOOKUP(E608,Products!$A$2:$E$23,5,0)</f>
        <v>1599</v>
      </c>
      <c r="L608">
        <f>VLOOKUP(E608,Products!$A$2:$E$23,4,0)</f>
        <v>800</v>
      </c>
      <c r="M608" s="2">
        <f>K608*F608-Table1[[#This Row],[discount_amount]]</f>
        <v>2878.2</v>
      </c>
      <c r="N608">
        <f t="shared" si="19"/>
        <v>1600</v>
      </c>
      <c r="O608">
        <f t="shared" si="18"/>
        <v>1278.1999999999998</v>
      </c>
      <c r="P608">
        <f>Table1[[#This Row],[Quantity]]*Table1[[#This Row],[unit_price]]*Table1[[#This Row],[Discount]]</f>
        <v>319.8</v>
      </c>
      <c r="Q608" t="str">
        <f>VLOOKUP(E608,Products!$A$2:$E$23,2,0)</f>
        <v>Hoodie</v>
      </c>
      <c r="R608" t="str">
        <f>VLOOKUP(Table1[[#This Row],[Product ID]],Products!$A$2:$E$23,3,0)</f>
        <v>Clothing</v>
      </c>
      <c r="S608" t="str">
        <f>VLOOKUP(C608,Customers!$A$2:$F$201,4,0)</f>
        <v>Madhya Pradesh</v>
      </c>
      <c r="T608" t="str">
        <f>VLOOKUP(Table1[[#This Row],[Customer ID]],Customers!$A$2:$F$201,5,0)</f>
        <v>Central</v>
      </c>
      <c r="U608" t="str">
        <f>VLOOKUP(Table1[[#This Row],[Customer ID]],Customers!$A$2:$F$201,6,0)</f>
        <v>Corporate</v>
      </c>
      <c r="V608" t="str">
        <f>TEXT(Table1[[#This Row],[Order Date]],"MMM")</f>
        <v>Jan</v>
      </c>
      <c r="W608" t="str">
        <f>TEXT(Table1[[#This Row],[Order Date]],"yyyy")</f>
        <v>2025</v>
      </c>
    </row>
    <row r="609" spans="1:23" x14ac:dyDescent="0.25">
      <c r="A609" s="2" t="s">
        <v>846</v>
      </c>
      <c r="B609" s="4">
        <v>45672</v>
      </c>
      <c r="C609" s="2" t="s">
        <v>152</v>
      </c>
      <c r="D609" s="2" t="str">
        <f>TEXT(Table1[[#This Row],[Order Date]],"mmmm")</f>
        <v>January</v>
      </c>
      <c r="E609" s="2" t="s">
        <v>24</v>
      </c>
      <c r="F609" s="2">
        <v>10</v>
      </c>
      <c r="G609" s="5">
        <v>0.1</v>
      </c>
      <c r="H609" s="2" t="s">
        <v>25</v>
      </c>
      <c r="I609" s="2" t="s">
        <v>46</v>
      </c>
      <c r="J609" s="2" t="s">
        <v>21</v>
      </c>
      <c r="K609">
        <f>VLOOKUP(E609,Products!$A$2:$E$23,5,0)</f>
        <v>899</v>
      </c>
      <c r="L609">
        <f>VLOOKUP(E609,Products!$A$2:$E$23,4,0)</f>
        <v>500</v>
      </c>
      <c r="M609" s="2">
        <f>K609*F609-Table1[[#This Row],[discount_amount]]</f>
        <v>8091</v>
      </c>
      <c r="N609">
        <f t="shared" si="19"/>
        <v>5000</v>
      </c>
      <c r="O609">
        <f t="shared" si="18"/>
        <v>3091</v>
      </c>
      <c r="P609">
        <f>Table1[[#This Row],[Quantity]]*Table1[[#This Row],[unit_price]]*Table1[[#This Row],[Discount]]</f>
        <v>899</v>
      </c>
      <c r="Q609" t="str">
        <f>VLOOKUP(E609,Products!$A$2:$E$23,2,0)</f>
        <v>Monitor Stand</v>
      </c>
      <c r="R609" t="str">
        <f>VLOOKUP(Table1[[#This Row],[Product ID]],Products!$A$2:$E$23,3,0)</f>
        <v>Furniture</v>
      </c>
      <c r="S609" t="str">
        <f>VLOOKUP(C609,Customers!$A$2:$F$201,4,0)</f>
        <v>Gujarat</v>
      </c>
      <c r="T609" t="str">
        <f>VLOOKUP(Table1[[#This Row],[Customer ID]],Customers!$A$2:$F$201,5,0)</f>
        <v>West</v>
      </c>
      <c r="U609" t="str">
        <f>VLOOKUP(Table1[[#This Row],[Customer ID]],Customers!$A$2:$F$201,6,0)</f>
        <v>Consumer</v>
      </c>
      <c r="V609" t="str">
        <f>TEXT(Table1[[#This Row],[Order Date]],"MMM")</f>
        <v>Jan</v>
      </c>
      <c r="W609" t="str">
        <f>TEXT(Table1[[#This Row],[Order Date]],"yyyy")</f>
        <v>2025</v>
      </c>
    </row>
    <row r="610" spans="1:23" x14ac:dyDescent="0.25">
      <c r="A610" s="2" t="s">
        <v>847</v>
      </c>
      <c r="B610" s="4">
        <v>45672</v>
      </c>
      <c r="C610" s="2" t="s">
        <v>848</v>
      </c>
      <c r="D610" s="2" t="str">
        <f>TEXT(Table1[[#This Row],[Order Date]],"mmmm")</f>
        <v>January</v>
      </c>
      <c r="E610" s="2" t="s">
        <v>34</v>
      </c>
      <c r="F610" s="2">
        <v>1</v>
      </c>
      <c r="G610" s="5">
        <v>0</v>
      </c>
      <c r="H610" s="2" t="s">
        <v>19</v>
      </c>
      <c r="I610" s="2" t="s">
        <v>38</v>
      </c>
      <c r="J610" s="2" t="s">
        <v>21</v>
      </c>
      <c r="K610">
        <f>VLOOKUP(E610,Products!$A$2:$E$23,5,0)</f>
        <v>4599</v>
      </c>
      <c r="L610">
        <f>VLOOKUP(E610,Products!$A$2:$E$23,4,0)</f>
        <v>3000</v>
      </c>
      <c r="M610" s="2">
        <f>K610*F610-Table1[[#This Row],[discount_amount]]</f>
        <v>4599</v>
      </c>
      <c r="N610">
        <f t="shared" si="19"/>
        <v>3000</v>
      </c>
      <c r="O610">
        <f t="shared" si="18"/>
        <v>1599</v>
      </c>
      <c r="P610">
        <f>Table1[[#This Row],[Quantity]]*Table1[[#This Row],[unit_price]]*Table1[[#This Row],[Discount]]</f>
        <v>0</v>
      </c>
      <c r="Q610" t="str">
        <f>VLOOKUP(E610,Products!$A$2:$E$23,2,0)</f>
        <v>Filing Cabinet</v>
      </c>
      <c r="R610" t="str">
        <f>VLOOKUP(Table1[[#This Row],[Product ID]],Products!$A$2:$E$23,3,0)</f>
        <v>Furniture</v>
      </c>
      <c r="S610" t="str">
        <f>VLOOKUP(C610,Customers!$A$2:$F$201,4,0)</f>
        <v>West Bengal</v>
      </c>
      <c r="T610" t="str">
        <f>VLOOKUP(Table1[[#This Row],[Customer ID]],Customers!$A$2:$F$201,5,0)</f>
        <v>East</v>
      </c>
      <c r="U610" t="str">
        <f>VLOOKUP(Table1[[#This Row],[Customer ID]],Customers!$A$2:$F$201,6,0)</f>
        <v>Corporate</v>
      </c>
      <c r="V610" t="str">
        <f>TEXT(Table1[[#This Row],[Order Date]],"MMM")</f>
        <v>Jan</v>
      </c>
      <c r="W610" t="str">
        <f>TEXT(Table1[[#This Row],[Order Date]],"yyyy")</f>
        <v>2025</v>
      </c>
    </row>
    <row r="611" spans="1:23" x14ac:dyDescent="0.25">
      <c r="A611" s="2" t="s">
        <v>849</v>
      </c>
      <c r="B611" s="4">
        <v>45673</v>
      </c>
      <c r="C611" s="2" t="s">
        <v>421</v>
      </c>
      <c r="D611" s="2" t="str">
        <f>TEXT(Table1[[#This Row],[Order Date]],"mmmm")</f>
        <v>January</v>
      </c>
      <c r="E611" s="2" t="s">
        <v>155</v>
      </c>
      <c r="F611" s="2">
        <v>4</v>
      </c>
      <c r="G611" s="5">
        <v>0</v>
      </c>
      <c r="H611" s="2" t="s">
        <v>25</v>
      </c>
      <c r="I611" s="2" t="s">
        <v>38</v>
      </c>
      <c r="J611" s="2" t="s">
        <v>21</v>
      </c>
      <c r="K611">
        <f>VLOOKUP(E611,Products!$A$2:$E$23,5,0)</f>
        <v>1599</v>
      </c>
      <c r="L611">
        <f>VLOOKUP(E611,Products!$A$2:$E$23,4,0)</f>
        <v>900</v>
      </c>
      <c r="M611" s="2">
        <f>K611*F611-Table1[[#This Row],[discount_amount]]</f>
        <v>6396</v>
      </c>
      <c r="N611">
        <f t="shared" si="19"/>
        <v>3600</v>
      </c>
      <c r="O611">
        <f t="shared" si="18"/>
        <v>2796</v>
      </c>
      <c r="P611">
        <f>Table1[[#This Row],[Quantity]]*Table1[[#This Row],[unit_price]]*Table1[[#This Row],[Discount]]</f>
        <v>0</v>
      </c>
      <c r="Q611" t="str">
        <f>VLOOKUP(E611,Products!$A$2:$E$23,2,0)</f>
        <v>Headphones</v>
      </c>
      <c r="R611" t="str">
        <f>VLOOKUP(Table1[[#This Row],[Product ID]],Products!$A$2:$E$23,3,0)</f>
        <v>Electronics</v>
      </c>
      <c r="S611" t="str">
        <f>VLOOKUP(C611,Customers!$A$2:$F$201,4,0)</f>
        <v>Madhya Pradesh</v>
      </c>
      <c r="T611" t="str">
        <f>VLOOKUP(Table1[[#This Row],[Customer ID]],Customers!$A$2:$F$201,5,0)</f>
        <v>Central</v>
      </c>
      <c r="U611" t="str">
        <f>VLOOKUP(Table1[[#This Row],[Customer ID]],Customers!$A$2:$F$201,6,0)</f>
        <v>Consumer</v>
      </c>
      <c r="V611" t="str">
        <f>TEXT(Table1[[#This Row],[Order Date]],"MMM")</f>
        <v>Jan</v>
      </c>
      <c r="W611" t="str">
        <f>TEXT(Table1[[#This Row],[Order Date]],"yyyy")</f>
        <v>2025</v>
      </c>
    </row>
    <row r="612" spans="1:23" x14ac:dyDescent="0.25">
      <c r="A612" s="2" t="s">
        <v>850</v>
      </c>
      <c r="B612" s="4">
        <v>45673</v>
      </c>
      <c r="C612" s="2" t="s">
        <v>684</v>
      </c>
      <c r="D612" s="2" t="str">
        <f>TEXT(Table1[[#This Row],[Order Date]],"mmmm")</f>
        <v>January</v>
      </c>
      <c r="E612" s="2" t="s">
        <v>82</v>
      </c>
      <c r="F612" s="2">
        <v>4</v>
      </c>
      <c r="G612" s="5">
        <v>0.1</v>
      </c>
      <c r="H612" s="2" t="s">
        <v>19</v>
      </c>
      <c r="I612" s="2" t="s">
        <v>20</v>
      </c>
      <c r="J612" s="2" t="s">
        <v>94</v>
      </c>
      <c r="K612">
        <f>VLOOKUP(E612,Products!$A$2:$E$23,5,0)</f>
        <v>1799</v>
      </c>
      <c r="L612">
        <f>VLOOKUP(E612,Products!$A$2:$E$23,4,0)</f>
        <v>1100</v>
      </c>
      <c r="M612" s="2">
        <f>K612*F612-Table1[[#This Row],[discount_amount]]</f>
        <v>6476.4</v>
      </c>
      <c r="N612">
        <f t="shared" si="19"/>
        <v>4400</v>
      </c>
      <c r="O612">
        <f t="shared" si="18"/>
        <v>2076.3999999999996</v>
      </c>
      <c r="P612">
        <f>Table1[[#This Row],[Quantity]]*Table1[[#This Row],[unit_price]]*Table1[[#This Row],[Discount]]</f>
        <v>719.6</v>
      </c>
      <c r="Q612" t="str">
        <f>VLOOKUP(E612,Products!$A$2:$E$23,2,0)</f>
        <v>Webcam HD</v>
      </c>
      <c r="R612" t="str">
        <f>VLOOKUP(Table1[[#This Row],[Product ID]],Products!$A$2:$E$23,3,0)</f>
        <v>Electronics</v>
      </c>
      <c r="S612" t="str">
        <f>VLOOKUP(C612,Customers!$A$2:$F$201,4,0)</f>
        <v>Gujarat</v>
      </c>
      <c r="T612" t="str">
        <f>VLOOKUP(Table1[[#This Row],[Customer ID]],Customers!$A$2:$F$201,5,0)</f>
        <v>West</v>
      </c>
      <c r="U612" t="str">
        <f>VLOOKUP(Table1[[#This Row],[Customer ID]],Customers!$A$2:$F$201,6,0)</f>
        <v>Home Office</v>
      </c>
      <c r="V612" t="str">
        <f>TEXT(Table1[[#This Row],[Order Date]],"MMM")</f>
        <v>Jan</v>
      </c>
      <c r="W612" t="str">
        <f>TEXT(Table1[[#This Row],[Order Date]],"yyyy")</f>
        <v>2025</v>
      </c>
    </row>
    <row r="613" spans="1:23" x14ac:dyDescent="0.25">
      <c r="A613" s="2" t="s">
        <v>851</v>
      </c>
      <c r="B613" s="4">
        <v>45674</v>
      </c>
      <c r="C613" s="2" t="s">
        <v>166</v>
      </c>
      <c r="D613" s="2" t="str">
        <f>TEXT(Table1[[#This Row],[Order Date]],"mmmm")</f>
        <v>January</v>
      </c>
      <c r="E613" s="2" t="s">
        <v>127</v>
      </c>
      <c r="F613" s="2">
        <v>2</v>
      </c>
      <c r="G613" s="5">
        <v>0.05</v>
      </c>
      <c r="H613" s="2" t="s">
        <v>25</v>
      </c>
      <c r="I613" s="2" t="s">
        <v>26</v>
      </c>
      <c r="J613" s="2" t="s">
        <v>21</v>
      </c>
      <c r="K613">
        <f>VLOOKUP(E613,Products!$A$2:$E$23,5,0)</f>
        <v>1999</v>
      </c>
      <c r="L613">
        <f>VLOOKUP(E613,Products!$A$2:$E$23,4,0)</f>
        <v>1200</v>
      </c>
      <c r="M613" s="2">
        <f>K613*F613-Table1[[#This Row],[discount_amount]]</f>
        <v>3798.1</v>
      </c>
      <c r="N613">
        <f t="shared" si="19"/>
        <v>2400</v>
      </c>
      <c r="O613">
        <f t="shared" si="18"/>
        <v>1398.1</v>
      </c>
      <c r="P613">
        <f>Table1[[#This Row],[Quantity]]*Table1[[#This Row],[unit_price]]*Table1[[#This Row],[Discount]]</f>
        <v>199.9</v>
      </c>
      <c r="Q613" t="str">
        <f>VLOOKUP(E613,Products!$A$2:$E$23,2,0)</f>
        <v>Bluetooth Speaker</v>
      </c>
      <c r="R613" t="str">
        <f>VLOOKUP(Table1[[#This Row],[Product ID]],Products!$A$2:$E$23,3,0)</f>
        <v>Electronics</v>
      </c>
      <c r="S613" t="str">
        <f>VLOOKUP(C613,Customers!$A$2:$F$201,4,0)</f>
        <v>Gujarat</v>
      </c>
      <c r="T613" t="str">
        <f>VLOOKUP(Table1[[#This Row],[Customer ID]],Customers!$A$2:$F$201,5,0)</f>
        <v>West</v>
      </c>
      <c r="U613" t="str">
        <f>VLOOKUP(Table1[[#This Row],[Customer ID]],Customers!$A$2:$F$201,6,0)</f>
        <v>Consumer</v>
      </c>
      <c r="V613" t="str">
        <f>TEXT(Table1[[#This Row],[Order Date]],"MMM")</f>
        <v>Jan</v>
      </c>
      <c r="W613" t="str">
        <f>TEXT(Table1[[#This Row],[Order Date]],"yyyy")</f>
        <v>2025</v>
      </c>
    </row>
    <row r="614" spans="1:23" x14ac:dyDescent="0.25">
      <c r="A614" s="2" t="s">
        <v>852</v>
      </c>
      <c r="B614" s="4">
        <v>45674</v>
      </c>
      <c r="C614" s="2" t="s">
        <v>76</v>
      </c>
      <c r="D614" s="2" t="str">
        <f>TEXT(Table1[[#This Row],[Order Date]],"mmmm")</f>
        <v>January</v>
      </c>
      <c r="E614" s="2" t="s">
        <v>54</v>
      </c>
      <c r="F614" s="2">
        <v>1</v>
      </c>
      <c r="G614" s="5">
        <v>0.1</v>
      </c>
      <c r="H614" s="2" t="s">
        <v>25</v>
      </c>
      <c r="I614" s="2" t="s">
        <v>26</v>
      </c>
      <c r="J614" s="2" t="s">
        <v>21</v>
      </c>
      <c r="K614">
        <f>VLOOKUP(E614,Products!$A$2:$E$23,5,0)</f>
        <v>299</v>
      </c>
      <c r="L614">
        <f>VLOOKUP(E614,Products!$A$2:$E$23,4,0)</f>
        <v>180</v>
      </c>
      <c r="M614" s="2">
        <f>K614*F614-Table1[[#This Row],[discount_amount]]</f>
        <v>269.10000000000002</v>
      </c>
      <c r="N614">
        <f t="shared" si="19"/>
        <v>180</v>
      </c>
      <c r="O614">
        <f t="shared" si="18"/>
        <v>89.100000000000023</v>
      </c>
      <c r="P614">
        <f>Table1[[#This Row],[Quantity]]*Table1[[#This Row],[unit_price]]*Table1[[#This Row],[Discount]]</f>
        <v>29.900000000000002</v>
      </c>
      <c r="Q614" t="str">
        <f>VLOOKUP(E614,Products!$A$2:$E$23,2,0)</f>
        <v>Notebook Pack of 5</v>
      </c>
      <c r="R614" t="str">
        <f>VLOOKUP(Table1[[#This Row],[Product ID]],Products!$A$2:$E$23,3,0)</f>
        <v>Office Supplies</v>
      </c>
      <c r="S614" t="str">
        <f>VLOOKUP(C614,Customers!$A$2:$F$201,4,0)</f>
        <v>West Bengal</v>
      </c>
      <c r="T614" t="str">
        <f>VLOOKUP(Table1[[#This Row],[Customer ID]],Customers!$A$2:$F$201,5,0)</f>
        <v>East</v>
      </c>
      <c r="U614" t="str">
        <f>VLOOKUP(Table1[[#This Row],[Customer ID]],Customers!$A$2:$F$201,6,0)</f>
        <v>Corporate</v>
      </c>
      <c r="V614" t="str">
        <f>TEXT(Table1[[#This Row],[Order Date]],"MMM")</f>
        <v>Jan</v>
      </c>
      <c r="W614" t="str">
        <f>TEXT(Table1[[#This Row],[Order Date]],"yyyy")</f>
        <v>2025</v>
      </c>
    </row>
    <row r="615" spans="1:23" x14ac:dyDescent="0.25">
      <c r="A615" s="2" t="s">
        <v>853</v>
      </c>
      <c r="B615" s="4">
        <v>45675</v>
      </c>
      <c r="C615" s="2" t="s">
        <v>115</v>
      </c>
      <c r="D615" s="2" t="str">
        <f>TEXT(Table1[[#This Row],[Order Date]],"mmmm")</f>
        <v>January</v>
      </c>
      <c r="E615" s="2" t="s">
        <v>121</v>
      </c>
      <c r="F615" s="2">
        <v>1</v>
      </c>
      <c r="G615" s="5">
        <v>0</v>
      </c>
      <c r="H615" s="2" t="s">
        <v>19</v>
      </c>
      <c r="I615" s="2" t="s">
        <v>38</v>
      </c>
      <c r="J615" s="2" t="s">
        <v>21</v>
      </c>
      <c r="K615">
        <f>VLOOKUP(E615,Products!$A$2:$E$23,5,0)</f>
        <v>499</v>
      </c>
      <c r="L615">
        <f>VLOOKUP(E615,Products!$A$2:$E$23,4,0)</f>
        <v>250</v>
      </c>
      <c r="M615" s="2">
        <f>K615*F615-Table1[[#This Row],[discount_amount]]</f>
        <v>499</v>
      </c>
      <c r="N615">
        <f t="shared" si="19"/>
        <v>250</v>
      </c>
      <c r="O615">
        <f t="shared" si="18"/>
        <v>249</v>
      </c>
      <c r="P615">
        <f>Table1[[#This Row],[Quantity]]*Table1[[#This Row],[unit_price]]*Table1[[#This Row],[Discount]]</f>
        <v>0</v>
      </c>
      <c r="Q615" t="str">
        <f>VLOOKUP(E615,Products!$A$2:$E$23,2,0)</f>
        <v>Cotton T-Shirt</v>
      </c>
      <c r="R615" t="str">
        <f>VLOOKUP(Table1[[#This Row],[Product ID]],Products!$A$2:$E$23,3,0)</f>
        <v>Clothing</v>
      </c>
      <c r="S615" t="str">
        <f>VLOOKUP(C615,Customers!$A$2:$F$201,4,0)</f>
        <v>Bihar</v>
      </c>
      <c r="T615" t="str">
        <f>VLOOKUP(Table1[[#This Row],[Customer ID]],Customers!$A$2:$F$201,5,0)</f>
        <v>East</v>
      </c>
      <c r="U615" t="str">
        <f>VLOOKUP(Table1[[#This Row],[Customer ID]],Customers!$A$2:$F$201,6,0)</f>
        <v>Consumer</v>
      </c>
      <c r="V615" t="str">
        <f>TEXT(Table1[[#This Row],[Order Date]],"MMM")</f>
        <v>Jan</v>
      </c>
      <c r="W615" t="str">
        <f>TEXT(Table1[[#This Row],[Order Date]],"yyyy")</f>
        <v>2025</v>
      </c>
    </row>
    <row r="616" spans="1:23" x14ac:dyDescent="0.25">
      <c r="A616" s="2" t="s">
        <v>854</v>
      </c>
      <c r="B616" s="4">
        <v>45675</v>
      </c>
      <c r="C616" s="2" t="s">
        <v>56</v>
      </c>
      <c r="D616" s="2" t="str">
        <f>TEXT(Table1[[#This Row],[Order Date]],"mmmm")</f>
        <v>January</v>
      </c>
      <c r="E616" s="2" t="s">
        <v>66</v>
      </c>
      <c r="F616" s="2">
        <v>1</v>
      </c>
      <c r="G616" s="5">
        <v>0</v>
      </c>
      <c r="H616" s="2" t="s">
        <v>25</v>
      </c>
      <c r="I616" s="2" t="s">
        <v>46</v>
      </c>
      <c r="J616" s="2" t="s">
        <v>21</v>
      </c>
      <c r="K616">
        <f>VLOOKUP(E616,Products!$A$2:$E$23,5,0)</f>
        <v>1299</v>
      </c>
      <c r="L616">
        <f>VLOOKUP(E616,Products!$A$2:$E$23,4,0)</f>
        <v>800</v>
      </c>
      <c r="M616" s="2">
        <f>K616*F616-Table1[[#This Row],[discount_amount]]</f>
        <v>1299</v>
      </c>
      <c r="N616">
        <f t="shared" si="19"/>
        <v>800</v>
      </c>
      <c r="O616">
        <f t="shared" si="18"/>
        <v>499</v>
      </c>
      <c r="P616">
        <f>Table1[[#This Row],[Quantity]]*Table1[[#This Row],[unit_price]]*Table1[[#This Row],[Discount]]</f>
        <v>0</v>
      </c>
      <c r="Q616" t="str">
        <f>VLOOKUP(E616,Products!$A$2:$E$23,2,0)</f>
        <v>Power Bank 10000mAh</v>
      </c>
      <c r="R616" t="str">
        <f>VLOOKUP(Table1[[#This Row],[Product ID]],Products!$A$2:$E$23,3,0)</f>
        <v>Electronics</v>
      </c>
      <c r="S616" t="str">
        <f>VLOOKUP(C616,Customers!$A$2:$F$201,4,0)</f>
        <v>Maharashtra</v>
      </c>
      <c r="T616" t="str">
        <f>VLOOKUP(Table1[[#This Row],[Customer ID]],Customers!$A$2:$F$201,5,0)</f>
        <v>West</v>
      </c>
      <c r="U616" t="str">
        <f>VLOOKUP(Table1[[#This Row],[Customer ID]],Customers!$A$2:$F$201,6,0)</f>
        <v>Consumer</v>
      </c>
      <c r="V616" t="str">
        <f>TEXT(Table1[[#This Row],[Order Date]],"MMM")</f>
        <v>Jan</v>
      </c>
      <c r="W616" t="str">
        <f>TEXT(Table1[[#This Row],[Order Date]],"yyyy")</f>
        <v>2025</v>
      </c>
    </row>
    <row r="617" spans="1:23" x14ac:dyDescent="0.25">
      <c r="A617" s="2" t="s">
        <v>855</v>
      </c>
      <c r="B617" s="4">
        <v>45675</v>
      </c>
      <c r="C617" s="2" t="s">
        <v>129</v>
      </c>
      <c r="D617" s="2" t="str">
        <f>TEXT(Table1[[#This Row],[Order Date]],"mmmm")</f>
        <v>January</v>
      </c>
      <c r="E617" s="2" t="s">
        <v>91</v>
      </c>
      <c r="F617" s="2">
        <v>5</v>
      </c>
      <c r="G617" s="5">
        <v>0</v>
      </c>
      <c r="H617" s="2" t="s">
        <v>19</v>
      </c>
      <c r="I617" s="2" t="s">
        <v>26</v>
      </c>
      <c r="J617" s="2" t="s">
        <v>21</v>
      </c>
      <c r="K617">
        <f>VLOOKUP(E617,Products!$A$2:$E$23,5,0)</f>
        <v>1199</v>
      </c>
      <c r="L617">
        <f>VLOOKUP(E617,Products!$A$2:$E$23,4,0)</f>
        <v>600</v>
      </c>
      <c r="M617" s="2">
        <f>K617*F617-Table1[[#This Row],[discount_amount]]</f>
        <v>5995</v>
      </c>
      <c r="N617">
        <f t="shared" si="19"/>
        <v>3000</v>
      </c>
      <c r="O617">
        <f t="shared" si="18"/>
        <v>2995</v>
      </c>
      <c r="P617">
        <f>Table1[[#This Row],[Quantity]]*Table1[[#This Row],[unit_price]]*Table1[[#This Row],[Discount]]</f>
        <v>0</v>
      </c>
      <c r="Q617" t="str">
        <f>VLOOKUP(E617,Products!$A$2:$E$23,2,0)</f>
        <v>Formal Shirt</v>
      </c>
      <c r="R617" t="str">
        <f>VLOOKUP(Table1[[#This Row],[Product ID]],Products!$A$2:$E$23,3,0)</f>
        <v>Clothing</v>
      </c>
      <c r="S617" t="str">
        <f>VLOOKUP(C617,Customers!$A$2:$F$201,4,0)</f>
        <v>Telangana</v>
      </c>
      <c r="T617" t="str">
        <f>VLOOKUP(Table1[[#This Row],[Customer ID]],Customers!$A$2:$F$201,5,0)</f>
        <v>South</v>
      </c>
      <c r="U617" t="str">
        <f>VLOOKUP(Table1[[#This Row],[Customer ID]],Customers!$A$2:$F$201,6,0)</f>
        <v>Consumer</v>
      </c>
      <c r="V617" t="str">
        <f>TEXT(Table1[[#This Row],[Order Date]],"MMM")</f>
        <v>Jan</v>
      </c>
      <c r="W617" t="str">
        <f>TEXT(Table1[[#This Row],[Order Date]],"yyyy")</f>
        <v>2025</v>
      </c>
    </row>
    <row r="618" spans="1:23" x14ac:dyDescent="0.25">
      <c r="A618" s="2" t="s">
        <v>856</v>
      </c>
      <c r="B618" s="4">
        <v>45677</v>
      </c>
      <c r="C618" s="2" t="s">
        <v>261</v>
      </c>
      <c r="D618" s="2" t="str">
        <f>TEXT(Table1[[#This Row],[Order Date]],"mmmm")</f>
        <v>January</v>
      </c>
      <c r="E618" s="2" t="s">
        <v>127</v>
      </c>
      <c r="F618" s="2">
        <v>5</v>
      </c>
      <c r="G618" s="5">
        <v>0</v>
      </c>
      <c r="H618" s="2" t="s">
        <v>19</v>
      </c>
      <c r="I618" s="2" t="s">
        <v>20</v>
      </c>
      <c r="J618" s="2" t="s">
        <v>79</v>
      </c>
      <c r="K618">
        <f>VLOOKUP(E618,Products!$A$2:$E$23,5,0)</f>
        <v>1999</v>
      </c>
      <c r="L618">
        <f>VLOOKUP(E618,Products!$A$2:$E$23,4,0)</f>
        <v>1200</v>
      </c>
      <c r="M618" s="2">
        <f>K618*F618-Table1[[#This Row],[discount_amount]]</f>
        <v>9995</v>
      </c>
      <c r="N618">
        <f t="shared" si="19"/>
        <v>6000</v>
      </c>
      <c r="O618">
        <f t="shared" si="18"/>
        <v>3995</v>
      </c>
      <c r="P618">
        <f>Table1[[#This Row],[Quantity]]*Table1[[#This Row],[unit_price]]*Table1[[#This Row],[Discount]]</f>
        <v>0</v>
      </c>
      <c r="Q618" t="str">
        <f>VLOOKUP(E618,Products!$A$2:$E$23,2,0)</f>
        <v>Bluetooth Speaker</v>
      </c>
      <c r="R618" t="str">
        <f>VLOOKUP(Table1[[#This Row],[Product ID]],Products!$A$2:$E$23,3,0)</f>
        <v>Electronics</v>
      </c>
      <c r="S618" t="str">
        <f>VLOOKUP(C618,Customers!$A$2:$F$201,4,0)</f>
        <v>Odisha</v>
      </c>
      <c r="T618" t="str">
        <f>VLOOKUP(Table1[[#This Row],[Customer ID]],Customers!$A$2:$F$201,5,0)</f>
        <v>East</v>
      </c>
      <c r="U618" t="str">
        <f>VLOOKUP(Table1[[#This Row],[Customer ID]],Customers!$A$2:$F$201,6,0)</f>
        <v>Home Office</v>
      </c>
      <c r="V618" t="str">
        <f>TEXT(Table1[[#This Row],[Order Date]],"MMM")</f>
        <v>Jan</v>
      </c>
      <c r="W618" t="str">
        <f>TEXT(Table1[[#This Row],[Order Date]],"yyyy")</f>
        <v>2025</v>
      </c>
    </row>
    <row r="619" spans="1:23" x14ac:dyDescent="0.25">
      <c r="A619" s="2" t="s">
        <v>857</v>
      </c>
      <c r="B619" s="4">
        <v>45677</v>
      </c>
      <c r="C619" s="2" t="s">
        <v>113</v>
      </c>
      <c r="D619" s="2" t="str">
        <f>TEXT(Table1[[#This Row],[Order Date]],"mmmm")</f>
        <v>January</v>
      </c>
      <c r="E619" s="2" t="s">
        <v>34</v>
      </c>
      <c r="F619" s="2">
        <v>10</v>
      </c>
      <c r="G619" s="5">
        <v>0</v>
      </c>
      <c r="H619" s="2" t="s">
        <v>30</v>
      </c>
      <c r="I619" s="2" t="s">
        <v>46</v>
      </c>
      <c r="J619" s="2" t="s">
        <v>21</v>
      </c>
      <c r="K619">
        <f>VLOOKUP(E619,Products!$A$2:$E$23,5,0)</f>
        <v>4599</v>
      </c>
      <c r="L619">
        <f>VLOOKUP(E619,Products!$A$2:$E$23,4,0)</f>
        <v>3000</v>
      </c>
      <c r="M619" s="2">
        <f>K619*F619-Table1[[#This Row],[discount_amount]]</f>
        <v>45990</v>
      </c>
      <c r="N619">
        <f t="shared" si="19"/>
        <v>30000</v>
      </c>
      <c r="O619">
        <f t="shared" si="18"/>
        <v>15990</v>
      </c>
      <c r="P619">
        <f>Table1[[#This Row],[Quantity]]*Table1[[#This Row],[unit_price]]*Table1[[#This Row],[Discount]]</f>
        <v>0</v>
      </c>
      <c r="Q619" t="str">
        <f>VLOOKUP(E619,Products!$A$2:$E$23,2,0)</f>
        <v>Filing Cabinet</v>
      </c>
      <c r="R619" t="str">
        <f>VLOOKUP(Table1[[#This Row],[Product ID]],Products!$A$2:$E$23,3,0)</f>
        <v>Furniture</v>
      </c>
      <c r="S619" t="str">
        <f>VLOOKUP(C619,Customers!$A$2:$F$201,4,0)</f>
        <v>Gujarat</v>
      </c>
      <c r="T619" t="str">
        <f>VLOOKUP(Table1[[#This Row],[Customer ID]],Customers!$A$2:$F$201,5,0)</f>
        <v>West</v>
      </c>
      <c r="U619" t="str">
        <f>VLOOKUP(Table1[[#This Row],[Customer ID]],Customers!$A$2:$F$201,6,0)</f>
        <v>Consumer</v>
      </c>
      <c r="V619" t="str">
        <f>TEXT(Table1[[#This Row],[Order Date]],"MMM")</f>
        <v>Jan</v>
      </c>
      <c r="W619" t="str">
        <f>TEXT(Table1[[#This Row],[Order Date]],"yyyy")</f>
        <v>2025</v>
      </c>
    </row>
    <row r="620" spans="1:23" x14ac:dyDescent="0.25">
      <c r="A620" s="2" t="s">
        <v>858</v>
      </c>
      <c r="B620" s="4">
        <v>45677</v>
      </c>
      <c r="C620" s="2" t="s">
        <v>366</v>
      </c>
      <c r="D620" s="2" t="str">
        <f>TEXT(Table1[[#This Row],[Order Date]],"mmmm")</f>
        <v>January</v>
      </c>
      <c r="E620" s="2" t="s">
        <v>29</v>
      </c>
      <c r="F620" s="2">
        <v>10</v>
      </c>
      <c r="G620" s="5">
        <v>0</v>
      </c>
      <c r="H620" s="2" t="s">
        <v>25</v>
      </c>
      <c r="I620" s="2" t="s">
        <v>46</v>
      </c>
      <c r="J620" s="2" t="s">
        <v>21</v>
      </c>
      <c r="K620">
        <f>VLOOKUP(E620,Products!$A$2:$E$23,5,0)</f>
        <v>599</v>
      </c>
      <c r="L620">
        <f>VLOOKUP(E620,Products!$A$2:$E$23,4,0)</f>
        <v>350</v>
      </c>
      <c r="M620" s="2">
        <f>K620*F620-Table1[[#This Row],[discount_amount]]</f>
        <v>5990</v>
      </c>
      <c r="N620">
        <f t="shared" si="19"/>
        <v>3500</v>
      </c>
      <c r="O620">
        <f t="shared" si="18"/>
        <v>2490</v>
      </c>
      <c r="P620">
        <f>Table1[[#This Row],[Quantity]]*Table1[[#This Row],[unit_price]]*Table1[[#This Row],[Discount]]</f>
        <v>0</v>
      </c>
      <c r="Q620" t="str">
        <f>VLOOKUP(E620,Products!$A$2:$E$23,2,0)</f>
        <v>USB Flash Drive 64GB</v>
      </c>
      <c r="R620" t="str">
        <f>VLOOKUP(Table1[[#This Row],[Product ID]],Products!$A$2:$E$23,3,0)</f>
        <v>Electronics</v>
      </c>
      <c r="S620" t="str">
        <f>VLOOKUP(C620,Customers!$A$2:$F$201,4,0)</f>
        <v>Bihar</v>
      </c>
      <c r="T620" t="str">
        <f>VLOOKUP(Table1[[#This Row],[Customer ID]],Customers!$A$2:$F$201,5,0)</f>
        <v>East</v>
      </c>
      <c r="U620" t="str">
        <f>VLOOKUP(Table1[[#This Row],[Customer ID]],Customers!$A$2:$F$201,6,0)</f>
        <v>Home Office</v>
      </c>
      <c r="V620" t="str">
        <f>TEXT(Table1[[#This Row],[Order Date]],"MMM")</f>
        <v>Jan</v>
      </c>
      <c r="W620" t="str">
        <f>TEXT(Table1[[#This Row],[Order Date]],"yyyy")</f>
        <v>2025</v>
      </c>
    </row>
    <row r="621" spans="1:23" x14ac:dyDescent="0.25">
      <c r="A621" s="2" t="s">
        <v>859</v>
      </c>
      <c r="B621" s="4">
        <v>45678</v>
      </c>
      <c r="C621" s="2" t="s">
        <v>587</v>
      </c>
      <c r="D621" s="2" t="str">
        <f>TEXT(Table1[[#This Row],[Order Date]],"mmmm")</f>
        <v>January</v>
      </c>
      <c r="E621" s="2" t="s">
        <v>63</v>
      </c>
      <c r="F621" s="2">
        <v>6</v>
      </c>
      <c r="G621" s="5">
        <v>0.1</v>
      </c>
      <c r="H621" s="2" t="s">
        <v>19</v>
      </c>
      <c r="I621" s="2" t="s">
        <v>46</v>
      </c>
      <c r="J621" s="2" t="s">
        <v>21</v>
      </c>
      <c r="K621">
        <f>VLOOKUP(E621,Products!$A$2:$E$23,5,0)</f>
        <v>5499</v>
      </c>
      <c r="L621">
        <f>VLOOKUP(E621,Products!$A$2:$E$23,4,0)</f>
        <v>3500</v>
      </c>
      <c r="M621" s="2">
        <f>K621*F621-Table1[[#This Row],[discount_amount]]</f>
        <v>29694.6</v>
      </c>
      <c r="N621">
        <f t="shared" si="19"/>
        <v>21000</v>
      </c>
      <c r="O621">
        <f t="shared" si="18"/>
        <v>8694.5999999999985</v>
      </c>
      <c r="P621">
        <f>Table1[[#This Row],[Quantity]]*Table1[[#This Row],[unit_price]]*Table1[[#This Row],[Discount]]</f>
        <v>3299.4</v>
      </c>
      <c r="Q621" t="str">
        <f>VLOOKUP(E621,Products!$A$2:$E$23,2,0)</f>
        <v>Office Chair</v>
      </c>
      <c r="R621" t="str">
        <f>VLOOKUP(Table1[[#This Row],[Product ID]],Products!$A$2:$E$23,3,0)</f>
        <v>Furniture</v>
      </c>
      <c r="S621" t="str">
        <f>VLOOKUP(C621,Customers!$A$2:$F$201,4,0)</f>
        <v>Karnataka</v>
      </c>
      <c r="T621" t="str">
        <f>VLOOKUP(Table1[[#This Row],[Customer ID]],Customers!$A$2:$F$201,5,0)</f>
        <v>South</v>
      </c>
      <c r="U621" t="str">
        <f>VLOOKUP(Table1[[#This Row],[Customer ID]],Customers!$A$2:$F$201,6,0)</f>
        <v>Corporate</v>
      </c>
      <c r="V621" t="str">
        <f>TEXT(Table1[[#This Row],[Order Date]],"MMM")</f>
        <v>Jan</v>
      </c>
      <c r="W621" t="str">
        <f>TEXT(Table1[[#This Row],[Order Date]],"yyyy")</f>
        <v>2025</v>
      </c>
    </row>
    <row r="622" spans="1:23" x14ac:dyDescent="0.25">
      <c r="A622" s="2" t="s">
        <v>860</v>
      </c>
      <c r="B622" s="4">
        <v>45681</v>
      </c>
      <c r="C622" s="2" t="s">
        <v>86</v>
      </c>
      <c r="D622" s="2" t="str">
        <f>TEXT(Table1[[#This Row],[Order Date]],"mmmm")</f>
        <v>January</v>
      </c>
      <c r="E622" s="2" t="s">
        <v>155</v>
      </c>
      <c r="F622" s="2">
        <v>2</v>
      </c>
      <c r="G622" s="5">
        <v>0</v>
      </c>
      <c r="H622" s="2" t="s">
        <v>19</v>
      </c>
      <c r="I622" s="2" t="s">
        <v>31</v>
      </c>
      <c r="J622" s="2" t="s">
        <v>21</v>
      </c>
      <c r="K622">
        <f>VLOOKUP(E622,Products!$A$2:$E$23,5,0)</f>
        <v>1599</v>
      </c>
      <c r="L622">
        <f>VLOOKUP(E622,Products!$A$2:$E$23,4,0)</f>
        <v>900</v>
      </c>
      <c r="M622" s="2">
        <f>K622*F622-Table1[[#This Row],[discount_amount]]</f>
        <v>3198</v>
      </c>
      <c r="N622">
        <f t="shared" si="19"/>
        <v>1800</v>
      </c>
      <c r="O622">
        <f t="shared" si="18"/>
        <v>1398</v>
      </c>
      <c r="P622">
        <f>Table1[[#This Row],[Quantity]]*Table1[[#This Row],[unit_price]]*Table1[[#This Row],[Discount]]</f>
        <v>0</v>
      </c>
      <c r="Q622" t="str">
        <f>VLOOKUP(E622,Products!$A$2:$E$23,2,0)</f>
        <v>Headphones</v>
      </c>
      <c r="R622" t="str">
        <f>VLOOKUP(Table1[[#This Row],[Product ID]],Products!$A$2:$E$23,3,0)</f>
        <v>Electronics</v>
      </c>
      <c r="S622" t="str">
        <f>VLOOKUP(C622,Customers!$A$2:$F$201,4,0)</f>
        <v>Delhi</v>
      </c>
      <c r="T622" t="str">
        <f>VLOOKUP(Table1[[#This Row],[Customer ID]],Customers!$A$2:$F$201,5,0)</f>
        <v>North</v>
      </c>
      <c r="U622" t="str">
        <f>VLOOKUP(Table1[[#This Row],[Customer ID]],Customers!$A$2:$F$201,6,0)</f>
        <v>Consumer</v>
      </c>
      <c r="V622" t="str">
        <f>TEXT(Table1[[#This Row],[Order Date]],"MMM")</f>
        <v>Jan</v>
      </c>
      <c r="W622" t="str">
        <f>TEXT(Table1[[#This Row],[Order Date]],"yyyy")</f>
        <v>2025</v>
      </c>
    </row>
    <row r="623" spans="1:23" x14ac:dyDescent="0.25">
      <c r="A623" s="2" t="s">
        <v>861</v>
      </c>
      <c r="B623" s="4">
        <v>45681</v>
      </c>
      <c r="C623" s="2" t="s">
        <v>605</v>
      </c>
      <c r="D623" s="2" t="str">
        <f>TEXT(Table1[[#This Row],[Order Date]],"mmmm")</f>
        <v>January</v>
      </c>
      <c r="E623" s="2" t="s">
        <v>155</v>
      </c>
      <c r="F623" s="2">
        <v>3</v>
      </c>
      <c r="G623" s="5">
        <v>0.15</v>
      </c>
      <c r="H623" s="2" t="s">
        <v>25</v>
      </c>
      <c r="I623" s="2" t="s">
        <v>38</v>
      </c>
      <c r="J623" s="2" t="s">
        <v>21</v>
      </c>
      <c r="K623">
        <f>VLOOKUP(E623,Products!$A$2:$E$23,5,0)</f>
        <v>1599</v>
      </c>
      <c r="L623">
        <f>VLOOKUP(E623,Products!$A$2:$E$23,4,0)</f>
        <v>900</v>
      </c>
      <c r="M623" s="2">
        <f>K623*F623-Table1[[#This Row],[discount_amount]]</f>
        <v>4077.45</v>
      </c>
      <c r="N623">
        <f t="shared" si="19"/>
        <v>2700</v>
      </c>
      <c r="O623">
        <f t="shared" si="18"/>
        <v>1377.4499999999998</v>
      </c>
      <c r="P623">
        <f>Table1[[#This Row],[Quantity]]*Table1[[#This Row],[unit_price]]*Table1[[#This Row],[Discount]]</f>
        <v>719.55</v>
      </c>
      <c r="Q623" t="str">
        <f>VLOOKUP(E623,Products!$A$2:$E$23,2,0)</f>
        <v>Headphones</v>
      </c>
      <c r="R623" t="str">
        <f>VLOOKUP(Table1[[#This Row],[Product ID]],Products!$A$2:$E$23,3,0)</f>
        <v>Electronics</v>
      </c>
      <c r="S623" t="str">
        <f>VLOOKUP(C623,Customers!$A$2:$F$201,4,0)</f>
        <v>Rajasthan</v>
      </c>
      <c r="T623" t="str">
        <f>VLOOKUP(Table1[[#This Row],[Customer ID]],Customers!$A$2:$F$201,5,0)</f>
        <v>North</v>
      </c>
      <c r="U623" t="str">
        <f>VLOOKUP(Table1[[#This Row],[Customer ID]],Customers!$A$2:$F$201,6,0)</f>
        <v>Consumer</v>
      </c>
      <c r="V623" t="str">
        <f>TEXT(Table1[[#This Row],[Order Date]],"MMM")</f>
        <v>Jan</v>
      </c>
      <c r="W623" t="str">
        <f>TEXT(Table1[[#This Row],[Order Date]],"yyyy")</f>
        <v>2025</v>
      </c>
    </row>
    <row r="624" spans="1:23" x14ac:dyDescent="0.25">
      <c r="A624" s="2" t="s">
        <v>862</v>
      </c>
      <c r="B624" s="4">
        <v>45681</v>
      </c>
      <c r="C624" s="2" t="s">
        <v>78</v>
      </c>
      <c r="D624" s="2" t="str">
        <f>TEXT(Table1[[#This Row],[Order Date]],"mmmm")</f>
        <v>January</v>
      </c>
      <c r="E624" s="2" t="s">
        <v>24</v>
      </c>
      <c r="F624" s="2">
        <v>1</v>
      </c>
      <c r="G624" s="5">
        <v>0</v>
      </c>
      <c r="H624" s="2" t="s">
        <v>25</v>
      </c>
      <c r="I624" s="2" t="s">
        <v>26</v>
      </c>
      <c r="J624" s="2" t="s">
        <v>21</v>
      </c>
      <c r="K624">
        <f>VLOOKUP(E624,Products!$A$2:$E$23,5,0)</f>
        <v>899</v>
      </c>
      <c r="L624">
        <f>VLOOKUP(E624,Products!$A$2:$E$23,4,0)</f>
        <v>500</v>
      </c>
      <c r="M624" s="2">
        <f>K624*F624-Table1[[#This Row],[discount_amount]]</f>
        <v>899</v>
      </c>
      <c r="N624">
        <f t="shared" si="19"/>
        <v>500</v>
      </c>
      <c r="O624">
        <f t="shared" si="18"/>
        <v>399</v>
      </c>
      <c r="P624">
        <f>Table1[[#This Row],[Quantity]]*Table1[[#This Row],[unit_price]]*Table1[[#This Row],[Discount]]</f>
        <v>0</v>
      </c>
      <c r="Q624" t="str">
        <f>VLOOKUP(E624,Products!$A$2:$E$23,2,0)</f>
        <v>Monitor Stand</v>
      </c>
      <c r="R624" t="str">
        <f>VLOOKUP(Table1[[#This Row],[Product ID]],Products!$A$2:$E$23,3,0)</f>
        <v>Furniture</v>
      </c>
      <c r="S624" t="str">
        <f>VLOOKUP(C624,Customers!$A$2:$F$201,4,0)</f>
        <v>Kerala</v>
      </c>
      <c r="T624" t="str">
        <f>VLOOKUP(Table1[[#This Row],[Customer ID]],Customers!$A$2:$F$201,5,0)</f>
        <v>South</v>
      </c>
      <c r="U624" t="str">
        <f>VLOOKUP(Table1[[#This Row],[Customer ID]],Customers!$A$2:$F$201,6,0)</f>
        <v>Corporate</v>
      </c>
      <c r="V624" t="str">
        <f>TEXT(Table1[[#This Row],[Order Date]],"MMM")</f>
        <v>Jan</v>
      </c>
      <c r="W624" t="str">
        <f>TEXT(Table1[[#This Row],[Order Date]],"yyyy")</f>
        <v>2025</v>
      </c>
    </row>
    <row r="625" spans="1:23" x14ac:dyDescent="0.25">
      <c r="A625" s="2" t="s">
        <v>863</v>
      </c>
      <c r="B625" s="4">
        <v>45682</v>
      </c>
      <c r="C625" s="2" t="s">
        <v>443</v>
      </c>
      <c r="D625" s="2" t="str">
        <f>TEXT(Table1[[#This Row],[Order Date]],"mmmm")</f>
        <v>January</v>
      </c>
      <c r="E625" s="2" t="s">
        <v>49</v>
      </c>
      <c r="F625" s="2">
        <v>3</v>
      </c>
      <c r="G625" s="5">
        <v>0.05</v>
      </c>
      <c r="H625" s="2" t="s">
        <v>30</v>
      </c>
      <c r="I625" s="2" t="s">
        <v>46</v>
      </c>
      <c r="J625" s="2" t="s">
        <v>21</v>
      </c>
      <c r="K625">
        <f>VLOOKUP(E625,Products!$A$2:$E$23,5,0)</f>
        <v>700</v>
      </c>
      <c r="L625">
        <f>VLOOKUP(E625,Products!$A$2:$E$23,4,0)</f>
        <v>450</v>
      </c>
      <c r="M625" s="2">
        <f>K625*F625-Table1[[#This Row],[discount_amount]]</f>
        <v>1995</v>
      </c>
      <c r="N625">
        <f t="shared" si="19"/>
        <v>1350</v>
      </c>
      <c r="O625">
        <f t="shared" si="18"/>
        <v>645</v>
      </c>
      <c r="P625">
        <f>Table1[[#This Row],[Quantity]]*Table1[[#This Row],[unit_price]]*Table1[[#This Row],[Discount]]</f>
        <v>105</v>
      </c>
      <c r="Q625" t="str">
        <f>VLOOKUP(E625,Products!$A$2:$E$23,2,0)</f>
        <v>Wireless Mouse</v>
      </c>
      <c r="R625" t="str">
        <f>VLOOKUP(Table1[[#This Row],[Product ID]],Products!$A$2:$E$23,3,0)</f>
        <v>Electronics</v>
      </c>
      <c r="S625" t="str">
        <f>VLOOKUP(C625,Customers!$A$2:$F$201,4,0)</f>
        <v>Kerala</v>
      </c>
      <c r="T625" t="str">
        <f>VLOOKUP(Table1[[#This Row],[Customer ID]],Customers!$A$2:$F$201,5,0)</f>
        <v>South</v>
      </c>
      <c r="U625" t="str">
        <f>VLOOKUP(Table1[[#This Row],[Customer ID]],Customers!$A$2:$F$201,6,0)</f>
        <v>Consumer</v>
      </c>
      <c r="V625" t="str">
        <f>TEXT(Table1[[#This Row],[Order Date]],"MMM")</f>
        <v>Jan</v>
      </c>
      <c r="W625" t="str">
        <f>TEXT(Table1[[#This Row],[Order Date]],"yyyy")</f>
        <v>2025</v>
      </c>
    </row>
    <row r="626" spans="1:23" x14ac:dyDescent="0.25">
      <c r="A626" s="2" t="s">
        <v>864</v>
      </c>
      <c r="B626" s="4">
        <v>45682</v>
      </c>
      <c r="C626" s="2" t="s">
        <v>329</v>
      </c>
      <c r="D626" s="2" t="str">
        <f>TEXT(Table1[[#This Row],[Order Date]],"mmmm")</f>
        <v>January</v>
      </c>
      <c r="E626" s="2" t="s">
        <v>34</v>
      </c>
      <c r="F626" s="2">
        <v>10</v>
      </c>
      <c r="G626" s="5">
        <v>0</v>
      </c>
      <c r="H626" s="2" t="s">
        <v>30</v>
      </c>
      <c r="I626" s="2" t="s">
        <v>26</v>
      </c>
      <c r="J626" s="2" t="s">
        <v>21</v>
      </c>
      <c r="K626">
        <f>VLOOKUP(E626,Products!$A$2:$E$23,5,0)</f>
        <v>4599</v>
      </c>
      <c r="L626">
        <f>VLOOKUP(E626,Products!$A$2:$E$23,4,0)</f>
        <v>3000</v>
      </c>
      <c r="M626" s="2">
        <f>K626*F626-Table1[[#This Row],[discount_amount]]</f>
        <v>45990</v>
      </c>
      <c r="N626">
        <f t="shared" si="19"/>
        <v>30000</v>
      </c>
      <c r="O626">
        <f t="shared" si="18"/>
        <v>15990</v>
      </c>
      <c r="P626">
        <f>Table1[[#This Row],[Quantity]]*Table1[[#This Row],[unit_price]]*Table1[[#This Row],[Discount]]</f>
        <v>0</v>
      </c>
      <c r="Q626" t="str">
        <f>VLOOKUP(E626,Products!$A$2:$E$23,2,0)</f>
        <v>Filing Cabinet</v>
      </c>
      <c r="R626" t="str">
        <f>VLOOKUP(Table1[[#This Row],[Product ID]],Products!$A$2:$E$23,3,0)</f>
        <v>Furniture</v>
      </c>
      <c r="S626" t="str">
        <f>VLOOKUP(C626,Customers!$A$2:$F$201,4,0)</f>
        <v>Maharashtra</v>
      </c>
      <c r="T626" t="str">
        <f>VLOOKUP(Table1[[#This Row],[Customer ID]],Customers!$A$2:$F$201,5,0)</f>
        <v>West</v>
      </c>
      <c r="U626" t="str">
        <f>VLOOKUP(Table1[[#This Row],[Customer ID]],Customers!$A$2:$F$201,6,0)</f>
        <v>Consumer</v>
      </c>
      <c r="V626" t="str">
        <f>TEXT(Table1[[#This Row],[Order Date]],"MMM")</f>
        <v>Jan</v>
      </c>
      <c r="W626" t="str">
        <f>TEXT(Table1[[#This Row],[Order Date]],"yyyy")</f>
        <v>2025</v>
      </c>
    </row>
    <row r="627" spans="1:23" x14ac:dyDescent="0.25">
      <c r="A627" s="2" t="s">
        <v>865</v>
      </c>
      <c r="B627" s="4">
        <v>45682</v>
      </c>
      <c r="C627" s="2" t="s">
        <v>626</v>
      </c>
      <c r="D627" s="2" t="str">
        <f>TEXT(Table1[[#This Row],[Order Date]],"mmmm")</f>
        <v>January</v>
      </c>
      <c r="E627" s="2" t="s">
        <v>66</v>
      </c>
      <c r="F627" s="2">
        <v>3</v>
      </c>
      <c r="G627" s="5">
        <v>0</v>
      </c>
      <c r="H627" s="2" t="s">
        <v>25</v>
      </c>
      <c r="I627" s="2" t="s">
        <v>31</v>
      </c>
      <c r="J627" s="2" t="s">
        <v>94</v>
      </c>
      <c r="K627">
        <f>VLOOKUP(E627,Products!$A$2:$E$23,5,0)</f>
        <v>1299</v>
      </c>
      <c r="L627">
        <f>VLOOKUP(E627,Products!$A$2:$E$23,4,0)</f>
        <v>800</v>
      </c>
      <c r="M627" s="2">
        <f>K627*F627-Table1[[#This Row],[discount_amount]]</f>
        <v>3897</v>
      </c>
      <c r="N627">
        <f t="shared" si="19"/>
        <v>2400</v>
      </c>
      <c r="O627">
        <f t="shared" si="18"/>
        <v>1497</v>
      </c>
      <c r="P627">
        <f>Table1[[#This Row],[Quantity]]*Table1[[#This Row],[unit_price]]*Table1[[#This Row],[Discount]]</f>
        <v>0</v>
      </c>
      <c r="Q627" t="str">
        <f>VLOOKUP(E627,Products!$A$2:$E$23,2,0)</f>
        <v>Power Bank 10000mAh</v>
      </c>
      <c r="R627" t="str">
        <f>VLOOKUP(Table1[[#This Row],[Product ID]],Products!$A$2:$E$23,3,0)</f>
        <v>Electronics</v>
      </c>
      <c r="S627" t="str">
        <f>VLOOKUP(C627,Customers!$A$2:$F$201,4,0)</f>
        <v>Madhya Pradesh</v>
      </c>
      <c r="T627" t="str">
        <f>VLOOKUP(Table1[[#This Row],[Customer ID]],Customers!$A$2:$F$201,5,0)</f>
        <v>Central</v>
      </c>
      <c r="U627" t="str">
        <f>VLOOKUP(Table1[[#This Row],[Customer ID]],Customers!$A$2:$F$201,6,0)</f>
        <v>Corporate</v>
      </c>
      <c r="V627" t="str">
        <f>TEXT(Table1[[#This Row],[Order Date]],"MMM")</f>
        <v>Jan</v>
      </c>
      <c r="W627" t="str">
        <f>TEXT(Table1[[#This Row],[Order Date]],"yyyy")</f>
        <v>2025</v>
      </c>
    </row>
    <row r="628" spans="1:23" x14ac:dyDescent="0.25">
      <c r="A628" s="2" t="s">
        <v>866</v>
      </c>
      <c r="B628" s="4">
        <v>45682</v>
      </c>
      <c r="C628" s="2" t="s">
        <v>102</v>
      </c>
      <c r="D628" s="2" t="str">
        <f>TEXT(Table1[[#This Row],[Order Date]],"mmmm")</f>
        <v>January</v>
      </c>
      <c r="E628" s="2" t="s">
        <v>155</v>
      </c>
      <c r="F628" s="2">
        <v>10</v>
      </c>
      <c r="G628" s="5">
        <v>0</v>
      </c>
      <c r="H628" s="2" t="s">
        <v>30</v>
      </c>
      <c r="I628" s="2" t="s">
        <v>26</v>
      </c>
      <c r="J628" s="2" t="s">
        <v>21</v>
      </c>
      <c r="K628">
        <f>VLOOKUP(E628,Products!$A$2:$E$23,5,0)</f>
        <v>1599</v>
      </c>
      <c r="L628">
        <f>VLOOKUP(E628,Products!$A$2:$E$23,4,0)</f>
        <v>900</v>
      </c>
      <c r="M628" s="2">
        <f>K628*F628-Table1[[#This Row],[discount_amount]]</f>
        <v>15990</v>
      </c>
      <c r="N628">
        <f t="shared" si="19"/>
        <v>9000</v>
      </c>
      <c r="O628">
        <f t="shared" si="18"/>
        <v>6990</v>
      </c>
      <c r="P628">
        <f>Table1[[#This Row],[Quantity]]*Table1[[#This Row],[unit_price]]*Table1[[#This Row],[Discount]]</f>
        <v>0</v>
      </c>
      <c r="Q628" t="str">
        <f>VLOOKUP(E628,Products!$A$2:$E$23,2,0)</f>
        <v>Headphones</v>
      </c>
      <c r="R628" t="str">
        <f>VLOOKUP(Table1[[#This Row],[Product ID]],Products!$A$2:$E$23,3,0)</f>
        <v>Electronics</v>
      </c>
      <c r="S628" t="str">
        <f>VLOOKUP(C628,Customers!$A$2:$F$201,4,0)</f>
        <v>Madhya Pradesh</v>
      </c>
      <c r="T628" t="str">
        <f>VLOOKUP(Table1[[#This Row],[Customer ID]],Customers!$A$2:$F$201,5,0)</f>
        <v>Central</v>
      </c>
      <c r="U628" t="str">
        <f>VLOOKUP(Table1[[#This Row],[Customer ID]],Customers!$A$2:$F$201,6,0)</f>
        <v>Consumer</v>
      </c>
      <c r="V628" t="str">
        <f>TEXT(Table1[[#This Row],[Order Date]],"MMM")</f>
        <v>Jan</v>
      </c>
      <c r="W628" t="str">
        <f>TEXT(Table1[[#This Row],[Order Date]],"yyyy")</f>
        <v>2025</v>
      </c>
    </row>
    <row r="629" spans="1:23" x14ac:dyDescent="0.25">
      <c r="A629" s="2" t="s">
        <v>867</v>
      </c>
      <c r="B629" s="4">
        <v>45683</v>
      </c>
      <c r="C629" s="2" t="s">
        <v>254</v>
      </c>
      <c r="D629" s="2" t="str">
        <f>TEXT(Table1[[#This Row],[Order Date]],"mmmm")</f>
        <v>January</v>
      </c>
      <c r="E629" s="2" t="s">
        <v>91</v>
      </c>
      <c r="F629" s="2">
        <v>2</v>
      </c>
      <c r="G629" s="5">
        <v>0</v>
      </c>
      <c r="H629" s="2" t="s">
        <v>19</v>
      </c>
      <c r="I629" s="2" t="s">
        <v>31</v>
      </c>
      <c r="J629" s="2" t="s">
        <v>21</v>
      </c>
      <c r="K629">
        <f>VLOOKUP(E629,Products!$A$2:$E$23,5,0)</f>
        <v>1199</v>
      </c>
      <c r="L629">
        <f>VLOOKUP(E629,Products!$A$2:$E$23,4,0)</f>
        <v>600</v>
      </c>
      <c r="M629" s="2">
        <f>K629*F629-Table1[[#This Row],[discount_amount]]</f>
        <v>2398</v>
      </c>
      <c r="N629">
        <f t="shared" si="19"/>
        <v>1200</v>
      </c>
      <c r="O629">
        <f t="shared" si="18"/>
        <v>1198</v>
      </c>
      <c r="P629">
        <f>Table1[[#This Row],[Quantity]]*Table1[[#This Row],[unit_price]]*Table1[[#This Row],[Discount]]</f>
        <v>0</v>
      </c>
      <c r="Q629" t="str">
        <f>VLOOKUP(E629,Products!$A$2:$E$23,2,0)</f>
        <v>Formal Shirt</v>
      </c>
      <c r="R629" t="str">
        <f>VLOOKUP(Table1[[#This Row],[Product ID]],Products!$A$2:$E$23,3,0)</f>
        <v>Clothing</v>
      </c>
      <c r="S629" t="str">
        <f>VLOOKUP(C629,Customers!$A$2:$F$201,4,0)</f>
        <v>Rajasthan</v>
      </c>
      <c r="T629" t="str">
        <f>VLOOKUP(Table1[[#This Row],[Customer ID]],Customers!$A$2:$F$201,5,0)</f>
        <v>North</v>
      </c>
      <c r="U629" t="str">
        <f>VLOOKUP(Table1[[#This Row],[Customer ID]],Customers!$A$2:$F$201,6,0)</f>
        <v>Consumer</v>
      </c>
      <c r="V629" t="str">
        <f>TEXT(Table1[[#This Row],[Order Date]],"MMM")</f>
        <v>Jan</v>
      </c>
      <c r="W629" t="str">
        <f>TEXT(Table1[[#This Row],[Order Date]],"yyyy")</f>
        <v>2025</v>
      </c>
    </row>
    <row r="630" spans="1:23" x14ac:dyDescent="0.25">
      <c r="A630" s="2" t="s">
        <v>868</v>
      </c>
      <c r="B630" s="4">
        <v>45683</v>
      </c>
      <c r="C630" s="2" t="s">
        <v>869</v>
      </c>
      <c r="D630" s="2" t="str">
        <f>TEXT(Table1[[#This Row],[Order Date]],"mmmm")</f>
        <v>January</v>
      </c>
      <c r="E630" s="2" t="s">
        <v>54</v>
      </c>
      <c r="F630" s="2">
        <v>2</v>
      </c>
      <c r="G630" s="5">
        <v>0</v>
      </c>
      <c r="H630" s="2" t="s">
        <v>30</v>
      </c>
      <c r="I630" s="2" t="s">
        <v>38</v>
      </c>
      <c r="J630" s="2" t="s">
        <v>79</v>
      </c>
      <c r="K630">
        <f>VLOOKUP(E630,Products!$A$2:$E$23,5,0)</f>
        <v>299</v>
      </c>
      <c r="L630">
        <f>VLOOKUP(E630,Products!$A$2:$E$23,4,0)</f>
        <v>180</v>
      </c>
      <c r="M630" s="2">
        <f>K630*F630-Table1[[#This Row],[discount_amount]]</f>
        <v>598</v>
      </c>
      <c r="N630">
        <f t="shared" si="19"/>
        <v>360</v>
      </c>
      <c r="O630">
        <f t="shared" si="18"/>
        <v>238</v>
      </c>
      <c r="P630">
        <f>Table1[[#This Row],[Quantity]]*Table1[[#This Row],[unit_price]]*Table1[[#This Row],[Discount]]</f>
        <v>0</v>
      </c>
      <c r="Q630" t="str">
        <f>VLOOKUP(E630,Products!$A$2:$E$23,2,0)</f>
        <v>Notebook Pack of 5</v>
      </c>
      <c r="R630" t="str">
        <f>VLOOKUP(Table1[[#This Row],[Product ID]],Products!$A$2:$E$23,3,0)</f>
        <v>Office Supplies</v>
      </c>
      <c r="S630" t="str">
        <f>VLOOKUP(C630,Customers!$A$2:$F$201,4,0)</f>
        <v>Maharashtra</v>
      </c>
      <c r="T630" t="str">
        <f>VLOOKUP(Table1[[#This Row],[Customer ID]],Customers!$A$2:$F$201,5,0)</f>
        <v>Central</v>
      </c>
      <c r="U630" t="str">
        <f>VLOOKUP(Table1[[#This Row],[Customer ID]],Customers!$A$2:$F$201,6,0)</f>
        <v>Consumer</v>
      </c>
      <c r="V630" t="str">
        <f>TEXT(Table1[[#This Row],[Order Date]],"MMM")</f>
        <v>Jan</v>
      </c>
      <c r="W630" t="str">
        <f>TEXT(Table1[[#This Row],[Order Date]],"yyyy")</f>
        <v>2025</v>
      </c>
    </row>
    <row r="631" spans="1:23" x14ac:dyDescent="0.25">
      <c r="A631" s="2" t="s">
        <v>870</v>
      </c>
      <c r="B631" s="4">
        <v>45684</v>
      </c>
      <c r="C631" s="2" t="s">
        <v>226</v>
      </c>
      <c r="D631" s="2" t="str">
        <f>TEXT(Table1[[#This Row],[Order Date]],"mmmm")</f>
        <v>January</v>
      </c>
      <c r="E631" s="2" t="s">
        <v>118</v>
      </c>
      <c r="F631" s="2">
        <v>1</v>
      </c>
      <c r="G631" s="5">
        <v>0.05</v>
      </c>
      <c r="H631" s="2" t="s">
        <v>25</v>
      </c>
      <c r="I631" s="2" t="s">
        <v>31</v>
      </c>
      <c r="J631" s="2" t="s">
        <v>21</v>
      </c>
      <c r="K631">
        <f>VLOOKUP(E631,Products!$A$2:$E$23,5,0)</f>
        <v>150</v>
      </c>
      <c r="L631">
        <f>VLOOKUP(E631,Products!$A$2:$E$23,4,0)</f>
        <v>90</v>
      </c>
      <c r="M631" s="2">
        <f>K631*F631-Table1[[#This Row],[discount_amount]]</f>
        <v>142.5</v>
      </c>
      <c r="N631">
        <f t="shared" si="19"/>
        <v>90</v>
      </c>
      <c r="O631">
        <f t="shared" si="18"/>
        <v>52.5</v>
      </c>
      <c r="P631">
        <f>Table1[[#This Row],[Quantity]]*Table1[[#This Row],[unit_price]]*Table1[[#This Row],[Discount]]</f>
        <v>7.5</v>
      </c>
      <c r="Q631" t="str">
        <f>VLOOKUP(E631,Products!$A$2:$E$23,2,0)</f>
        <v>Gel Pen Box</v>
      </c>
      <c r="R631" t="str">
        <f>VLOOKUP(Table1[[#This Row],[Product ID]],Products!$A$2:$E$23,3,0)</f>
        <v>Office Supplies</v>
      </c>
      <c r="S631" t="str">
        <f>VLOOKUP(C631,Customers!$A$2:$F$201,4,0)</f>
        <v>Gujarat</v>
      </c>
      <c r="T631" t="str">
        <f>VLOOKUP(Table1[[#This Row],[Customer ID]],Customers!$A$2:$F$201,5,0)</f>
        <v>West</v>
      </c>
      <c r="U631" t="str">
        <f>VLOOKUP(Table1[[#This Row],[Customer ID]],Customers!$A$2:$F$201,6,0)</f>
        <v>Consumer</v>
      </c>
      <c r="V631" t="str">
        <f>TEXT(Table1[[#This Row],[Order Date]],"MMM")</f>
        <v>Jan</v>
      </c>
      <c r="W631" t="str">
        <f>TEXT(Table1[[#This Row],[Order Date]],"yyyy")</f>
        <v>2025</v>
      </c>
    </row>
    <row r="632" spans="1:23" x14ac:dyDescent="0.25">
      <c r="A632" s="2" t="s">
        <v>871</v>
      </c>
      <c r="B632" s="4">
        <v>45684</v>
      </c>
      <c r="C632" s="2" t="s">
        <v>339</v>
      </c>
      <c r="D632" s="2" t="str">
        <f>TEXT(Table1[[#This Row],[Order Date]],"mmmm")</f>
        <v>January</v>
      </c>
      <c r="E632" s="2" t="s">
        <v>57</v>
      </c>
      <c r="F632" s="2">
        <v>6</v>
      </c>
      <c r="G632" s="5">
        <v>0.05</v>
      </c>
      <c r="H632" s="2" t="s">
        <v>30</v>
      </c>
      <c r="I632" s="2" t="s">
        <v>31</v>
      </c>
      <c r="J632" s="2" t="s">
        <v>21</v>
      </c>
      <c r="K632">
        <f>VLOOKUP(E632,Products!$A$2:$E$23,5,0)</f>
        <v>1599</v>
      </c>
      <c r="L632">
        <f>VLOOKUP(E632,Products!$A$2:$E$23,4,0)</f>
        <v>800</v>
      </c>
      <c r="M632" s="2">
        <f>K632*F632-Table1[[#This Row],[discount_amount]]</f>
        <v>9114.2999999999993</v>
      </c>
      <c r="N632">
        <f t="shared" si="19"/>
        <v>4800</v>
      </c>
      <c r="O632">
        <f t="shared" si="18"/>
        <v>4314.2999999999993</v>
      </c>
      <c r="P632">
        <f>Table1[[#This Row],[Quantity]]*Table1[[#This Row],[unit_price]]*Table1[[#This Row],[Discount]]</f>
        <v>479.70000000000005</v>
      </c>
      <c r="Q632" t="str">
        <f>VLOOKUP(E632,Products!$A$2:$E$23,2,0)</f>
        <v>Hoodie</v>
      </c>
      <c r="R632" t="str">
        <f>VLOOKUP(Table1[[#This Row],[Product ID]],Products!$A$2:$E$23,3,0)</f>
        <v>Clothing</v>
      </c>
      <c r="S632" t="str">
        <f>VLOOKUP(C632,Customers!$A$2:$F$201,4,0)</f>
        <v>Tamil Nadu</v>
      </c>
      <c r="T632" t="str">
        <f>VLOOKUP(Table1[[#This Row],[Customer ID]],Customers!$A$2:$F$201,5,0)</f>
        <v>South</v>
      </c>
      <c r="U632" t="str">
        <f>VLOOKUP(Table1[[#This Row],[Customer ID]],Customers!$A$2:$F$201,6,0)</f>
        <v>Corporate</v>
      </c>
      <c r="V632" t="str">
        <f>TEXT(Table1[[#This Row],[Order Date]],"MMM")</f>
        <v>Jan</v>
      </c>
      <c r="W632" t="str">
        <f>TEXT(Table1[[#This Row],[Order Date]],"yyyy")</f>
        <v>2025</v>
      </c>
    </row>
    <row r="633" spans="1:23" x14ac:dyDescent="0.25">
      <c r="A633" s="2" t="s">
        <v>872</v>
      </c>
      <c r="B633" s="4">
        <v>45685</v>
      </c>
      <c r="C633" s="2" t="s">
        <v>333</v>
      </c>
      <c r="D633" s="2" t="str">
        <f>TEXT(Table1[[#This Row],[Order Date]],"mmmm")</f>
        <v>January</v>
      </c>
      <c r="E633" s="2" t="s">
        <v>29</v>
      </c>
      <c r="F633" s="2">
        <v>6</v>
      </c>
      <c r="G633" s="5">
        <v>0.05</v>
      </c>
      <c r="H633" s="2" t="s">
        <v>25</v>
      </c>
      <c r="I633" s="2" t="s">
        <v>20</v>
      </c>
      <c r="J633" s="2" t="s">
        <v>21</v>
      </c>
      <c r="K633">
        <f>VLOOKUP(E633,Products!$A$2:$E$23,5,0)</f>
        <v>599</v>
      </c>
      <c r="L633">
        <f>VLOOKUP(E633,Products!$A$2:$E$23,4,0)</f>
        <v>350</v>
      </c>
      <c r="M633" s="2">
        <f>K633*F633-Table1[[#This Row],[discount_amount]]</f>
        <v>3414.3</v>
      </c>
      <c r="N633">
        <f t="shared" si="19"/>
        <v>2100</v>
      </c>
      <c r="O633">
        <f t="shared" si="18"/>
        <v>1314.3000000000002</v>
      </c>
      <c r="P633">
        <f>Table1[[#This Row],[Quantity]]*Table1[[#This Row],[unit_price]]*Table1[[#This Row],[Discount]]</f>
        <v>179.70000000000002</v>
      </c>
      <c r="Q633" t="str">
        <f>VLOOKUP(E633,Products!$A$2:$E$23,2,0)</f>
        <v>USB Flash Drive 64GB</v>
      </c>
      <c r="R633" t="str">
        <f>VLOOKUP(Table1[[#This Row],[Product ID]],Products!$A$2:$E$23,3,0)</f>
        <v>Electronics</v>
      </c>
      <c r="S633" t="str">
        <f>VLOOKUP(C633,Customers!$A$2:$F$201,4,0)</f>
        <v>Rajasthan</v>
      </c>
      <c r="T633" t="str">
        <f>VLOOKUP(Table1[[#This Row],[Customer ID]],Customers!$A$2:$F$201,5,0)</f>
        <v>North</v>
      </c>
      <c r="U633" t="str">
        <f>VLOOKUP(Table1[[#This Row],[Customer ID]],Customers!$A$2:$F$201,6,0)</f>
        <v>Corporate</v>
      </c>
      <c r="V633" t="str">
        <f>TEXT(Table1[[#This Row],[Order Date]],"MMM")</f>
        <v>Jan</v>
      </c>
      <c r="W633" t="str">
        <f>TEXT(Table1[[#This Row],[Order Date]],"yyyy")</f>
        <v>2025</v>
      </c>
    </row>
    <row r="634" spans="1:23" x14ac:dyDescent="0.25">
      <c r="A634" s="2" t="s">
        <v>873</v>
      </c>
      <c r="B634" s="4">
        <v>45685</v>
      </c>
      <c r="C634" s="2" t="s">
        <v>100</v>
      </c>
      <c r="D634" s="2" t="str">
        <f>TEXT(Table1[[#This Row],[Order Date]],"mmmm")</f>
        <v>January</v>
      </c>
      <c r="E634" s="2" t="s">
        <v>155</v>
      </c>
      <c r="F634" s="2">
        <v>3</v>
      </c>
      <c r="G634" s="5">
        <v>0.1</v>
      </c>
      <c r="H634" s="2" t="s">
        <v>19</v>
      </c>
      <c r="I634" s="2" t="s">
        <v>20</v>
      </c>
      <c r="J634" s="2" t="s">
        <v>21</v>
      </c>
      <c r="K634">
        <f>VLOOKUP(E634,Products!$A$2:$E$23,5,0)</f>
        <v>1599</v>
      </c>
      <c r="L634">
        <f>VLOOKUP(E634,Products!$A$2:$E$23,4,0)</f>
        <v>900</v>
      </c>
      <c r="M634" s="2">
        <f>K634*F634-Table1[[#This Row],[discount_amount]]</f>
        <v>4317.3</v>
      </c>
      <c r="N634">
        <f t="shared" si="19"/>
        <v>2700</v>
      </c>
      <c r="O634">
        <f t="shared" si="18"/>
        <v>1617.3000000000002</v>
      </c>
      <c r="P634">
        <f>Table1[[#This Row],[Quantity]]*Table1[[#This Row],[unit_price]]*Table1[[#This Row],[Discount]]</f>
        <v>479.70000000000005</v>
      </c>
      <c r="Q634" t="str">
        <f>VLOOKUP(E634,Products!$A$2:$E$23,2,0)</f>
        <v>Headphones</v>
      </c>
      <c r="R634" t="str">
        <f>VLOOKUP(Table1[[#This Row],[Product ID]],Products!$A$2:$E$23,3,0)</f>
        <v>Electronics</v>
      </c>
      <c r="S634" t="str">
        <f>VLOOKUP(C634,Customers!$A$2:$F$201,4,0)</f>
        <v>Delhi</v>
      </c>
      <c r="T634" t="str">
        <f>VLOOKUP(Table1[[#This Row],[Customer ID]],Customers!$A$2:$F$201,5,0)</f>
        <v>North</v>
      </c>
      <c r="U634" t="str">
        <f>VLOOKUP(Table1[[#This Row],[Customer ID]],Customers!$A$2:$F$201,6,0)</f>
        <v>Consumer</v>
      </c>
      <c r="V634" t="str">
        <f>TEXT(Table1[[#This Row],[Order Date]],"MMM")</f>
        <v>Jan</v>
      </c>
      <c r="W634" t="str">
        <f>TEXT(Table1[[#This Row],[Order Date]],"yyyy")</f>
        <v>2025</v>
      </c>
    </row>
    <row r="635" spans="1:23" x14ac:dyDescent="0.25">
      <c r="A635" s="2" t="s">
        <v>874</v>
      </c>
      <c r="B635" s="4">
        <v>45687</v>
      </c>
      <c r="C635" s="2" t="s">
        <v>509</v>
      </c>
      <c r="D635" s="2" t="str">
        <f>TEXT(Table1[[#This Row],[Order Date]],"mmmm")</f>
        <v>January</v>
      </c>
      <c r="E635" s="2" t="s">
        <v>73</v>
      </c>
      <c r="F635" s="2">
        <v>2</v>
      </c>
      <c r="G635" s="5">
        <v>0.15</v>
      </c>
      <c r="H635" s="2" t="s">
        <v>19</v>
      </c>
      <c r="I635" s="2" t="s">
        <v>20</v>
      </c>
      <c r="J635" s="2" t="s">
        <v>21</v>
      </c>
      <c r="K635">
        <f>VLOOKUP(E635,Products!$A$2:$E$23,5,0)</f>
        <v>6499</v>
      </c>
      <c r="L635">
        <f>VLOOKUP(E635,Products!$A$2:$E$23,4,0)</f>
        <v>4200</v>
      </c>
      <c r="M635" s="2">
        <f>K635*F635-Table1[[#This Row],[discount_amount]]</f>
        <v>11048.3</v>
      </c>
      <c r="N635">
        <f t="shared" si="19"/>
        <v>8400</v>
      </c>
      <c r="O635">
        <f t="shared" si="18"/>
        <v>2648.2999999999993</v>
      </c>
      <c r="P635">
        <f>Table1[[#This Row],[Quantity]]*Table1[[#This Row],[unit_price]]*Table1[[#This Row],[Discount]]</f>
        <v>1949.6999999999998</v>
      </c>
      <c r="Q635" t="str">
        <f>VLOOKUP(E635,Products!$A$2:$E$23,2,0)</f>
        <v>Study Table</v>
      </c>
      <c r="R635" t="str">
        <f>VLOOKUP(Table1[[#This Row],[Product ID]],Products!$A$2:$E$23,3,0)</f>
        <v>Furniture</v>
      </c>
      <c r="S635" t="str">
        <f>VLOOKUP(C635,Customers!$A$2:$F$201,4,0)</f>
        <v>Madhya Pradesh</v>
      </c>
      <c r="T635" t="str">
        <f>VLOOKUP(Table1[[#This Row],[Customer ID]],Customers!$A$2:$F$201,5,0)</f>
        <v>Central</v>
      </c>
      <c r="U635" t="str">
        <f>VLOOKUP(Table1[[#This Row],[Customer ID]],Customers!$A$2:$F$201,6,0)</f>
        <v>Consumer</v>
      </c>
      <c r="V635" t="str">
        <f>TEXT(Table1[[#This Row],[Order Date]],"MMM")</f>
        <v>Jan</v>
      </c>
      <c r="W635" t="str">
        <f>TEXT(Table1[[#This Row],[Order Date]],"yyyy")</f>
        <v>2025</v>
      </c>
    </row>
    <row r="636" spans="1:23" x14ac:dyDescent="0.25">
      <c r="A636" s="2" t="s">
        <v>875</v>
      </c>
      <c r="B636" s="4">
        <v>45687</v>
      </c>
      <c r="C636" s="2" t="s">
        <v>490</v>
      </c>
      <c r="D636" s="2" t="str">
        <f>TEXT(Table1[[#This Row],[Order Date]],"mmmm")</f>
        <v>January</v>
      </c>
      <c r="E636" s="2" t="s">
        <v>82</v>
      </c>
      <c r="F636" s="2">
        <v>4</v>
      </c>
      <c r="G636" s="5">
        <v>0.1</v>
      </c>
      <c r="H636" s="2" t="s">
        <v>19</v>
      </c>
      <c r="I636" s="2" t="s">
        <v>20</v>
      </c>
      <c r="J636" s="2" t="s">
        <v>79</v>
      </c>
      <c r="K636">
        <f>VLOOKUP(E636,Products!$A$2:$E$23,5,0)</f>
        <v>1799</v>
      </c>
      <c r="L636">
        <f>VLOOKUP(E636,Products!$A$2:$E$23,4,0)</f>
        <v>1100</v>
      </c>
      <c r="M636" s="2">
        <f>K636*F636-Table1[[#This Row],[discount_amount]]</f>
        <v>6476.4</v>
      </c>
      <c r="N636">
        <f t="shared" si="19"/>
        <v>4400</v>
      </c>
      <c r="O636">
        <f t="shared" si="18"/>
        <v>2076.3999999999996</v>
      </c>
      <c r="P636">
        <f>Table1[[#This Row],[Quantity]]*Table1[[#This Row],[unit_price]]*Table1[[#This Row],[Discount]]</f>
        <v>719.6</v>
      </c>
      <c r="Q636" t="str">
        <f>VLOOKUP(E636,Products!$A$2:$E$23,2,0)</f>
        <v>Webcam HD</v>
      </c>
      <c r="R636" t="str">
        <f>VLOOKUP(Table1[[#This Row],[Product ID]],Products!$A$2:$E$23,3,0)</f>
        <v>Electronics</v>
      </c>
      <c r="S636" t="str">
        <f>VLOOKUP(C636,Customers!$A$2:$F$201,4,0)</f>
        <v>West Bengal</v>
      </c>
      <c r="T636" t="str">
        <f>VLOOKUP(Table1[[#This Row],[Customer ID]],Customers!$A$2:$F$201,5,0)</f>
        <v>East</v>
      </c>
      <c r="U636" t="str">
        <f>VLOOKUP(Table1[[#This Row],[Customer ID]],Customers!$A$2:$F$201,6,0)</f>
        <v>Consumer</v>
      </c>
      <c r="V636" t="str">
        <f>TEXT(Table1[[#This Row],[Order Date]],"MMM")</f>
        <v>Jan</v>
      </c>
      <c r="W636" t="str">
        <f>TEXT(Table1[[#This Row],[Order Date]],"yyyy")</f>
        <v>2025</v>
      </c>
    </row>
    <row r="637" spans="1:23" x14ac:dyDescent="0.25">
      <c r="A637" s="2" t="s">
        <v>876</v>
      </c>
      <c r="B637" s="4">
        <v>45687</v>
      </c>
      <c r="C637" s="2" t="s">
        <v>501</v>
      </c>
      <c r="D637" s="2" t="str">
        <f>TEXT(Table1[[#This Row],[Order Date]],"mmmm")</f>
        <v>January</v>
      </c>
      <c r="E637" s="2" t="s">
        <v>49</v>
      </c>
      <c r="F637" s="2">
        <v>6</v>
      </c>
      <c r="G637" s="5">
        <v>0</v>
      </c>
      <c r="H637" s="2" t="s">
        <v>30</v>
      </c>
      <c r="I637" s="2" t="s">
        <v>26</v>
      </c>
      <c r="J637" s="2" t="s">
        <v>21</v>
      </c>
      <c r="K637">
        <f>VLOOKUP(E637,Products!$A$2:$E$23,5,0)</f>
        <v>700</v>
      </c>
      <c r="L637">
        <f>VLOOKUP(E637,Products!$A$2:$E$23,4,0)</f>
        <v>450</v>
      </c>
      <c r="M637" s="2">
        <f>K637*F637-Table1[[#This Row],[discount_amount]]</f>
        <v>4200</v>
      </c>
      <c r="N637">
        <f t="shared" si="19"/>
        <v>2700</v>
      </c>
      <c r="O637">
        <f t="shared" si="18"/>
        <v>1500</v>
      </c>
      <c r="P637">
        <f>Table1[[#This Row],[Quantity]]*Table1[[#This Row],[unit_price]]*Table1[[#This Row],[Discount]]</f>
        <v>0</v>
      </c>
      <c r="Q637" t="str">
        <f>VLOOKUP(E637,Products!$A$2:$E$23,2,0)</f>
        <v>Wireless Mouse</v>
      </c>
      <c r="R637" t="str">
        <f>VLOOKUP(Table1[[#This Row],[Product ID]],Products!$A$2:$E$23,3,0)</f>
        <v>Electronics</v>
      </c>
      <c r="S637" t="str">
        <f>VLOOKUP(C637,Customers!$A$2:$F$201,4,0)</f>
        <v>Tamil Nadu</v>
      </c>
      <c r="T637" t="str">
        <f>VLOOKUP(Table1[[#This Row],[Customer ID]],Customers!$A$2:$F$201,5,0)</f>
        <v>South</v>
      </c>
      <c r="U637" t="str">
        <f>VLOOKUP(Table1[[#This Row],[Customer ID]],Customers!$A$2:$F$201,6,0)</f>
        <v>Consumer</v>
      </c>
      <c r="V637" t="str">
        <f>TEXT(Table1[[#This Row],[Order Date]],"MMM")</f>
        <v>Jan</v>
      </c>
      <c r="W637" t="str">
        <f>TEXT(Table1[[#This Row],[Order Date]],"yyyy")</f>
        <v>2025</v>
      </c>
    </row>
    <row r="638" spans="1:23" x14ac:dyDescent="0.25">
      <c r="A638" s="2" t="s">
        <v>877</v>
      </c>
      <c r="B638" s="4">
        <v>45688</v>
      </c>
      <c r="C638" s="2" t="s">
        <v>656</v>
      </c>
      <c r="D638" s="2" t="str">
        <f>TEXT(Table1[[#This Row],[Order Date]],"mmmm")</f>
        <v>January</v>
      </c>
      <c r="E638" s="2" t="s">
        <v>41</v>
      </c>
      <c r="F638" s="2">
        <v>2</v>
      </c>
      <c r="G638" s="5">
        <v>0.05</v>
      </c>
      <c r="H638" s="2" t="s">
        <v>25</v>
      </c>
      <c r="I638" s="2" t="s">
        <v>38</v>
      </c>
      <c r="J638" s="2" t="s">
        <v>21</v>
      </c>
      <c r="K638">
        <f>VLOOKUP(E638,Products!$A$2:$E$23,5,0)</f>
        <v>320</v>
      </c>
      <c r="L638">
        <f>VLOOKUP(E638,Products!$A$2:$E$23,4,0)</f>
        <v>220</v>
      </c>
      <c r="M638" s="2">
        <f>K638*F638-Table1[[#This Row],[discount_amount]]</f>
        <v>608</v>
      </c>
      <c r="N638">
        <f t="shared" si="19"/>
        <v>440</v>
      </c>
      <c r="O638">
        <f t="shared" si="18"/>
        <v>168</v>
      </c>
      <c r="P638">
        <f>Table1[[#This Row],[Quantity]]*Table1[[#This Row],[unit_price]]*Table1[[#This Row],[Discount]]</f>
        <v>32</v>
      </c>
      <c r="Q638" t="str">
        <f>VLOOKUP(E638,Products!$A$2:$E$23,2,0)</f>
        <v>A4 Paper Ream</v>
      </c>
      <c r="R638" t="str">
        <f>VLOOKUP(Table1[[#This Row],[Product ID]],Products!$A$2:$E$23,3,0)</f>
        <v>Office Supplies</v>
      </c>
      <c r="S638" t="str">
        <f>VLOOKUP(C638,Customers!$A$2:$F$201,4,0)</f>
        <v>Kerala</v>
      </c>
      <c r="T638" t="str">
        <f>VLOOKUP(Table1[[#This Row],[Customer ID]],Customers!$A$2:$F$201,5,0)</f>
        <v>South</v>
      </c>
      <c r="U638" t="str">
        <f>VLOOKUP(Table1[[#This Row],[Customer ID]],Customers!$A$2:$F$201,6,0)</f>
        <v>Consumer</v>
      </c>
      <c r="V638" t="str">
        <f>TEXT(Table1[[#This Row],[Order Date]],"MMM")</f>
        <v>Jan</v>
      </c>
      <c r="W638" t="str">
        <f>TEXT(Table1[[#This Row],[Order Date]],"yyyy")</f>
        <v>2025</v>
      </c>
    </row>
    <row r="639" spans="1:23" x14ac:dyDescent="0.25">
      <c r="A639" s="2" t="s">
        <v>878</v>
      </c>
      <c r="B639" s="4">
        <v>45688</v>
      </c>
      <c r="C639" s="2" t="s">
        <v>425</v>
      </c>
      <c r="D639" s="2" t="str">
        <f>TEXT(Table1[[#This Row],[Order Date]],"mmmm")</f>
        <v>January</v>
      </c>
      <c r="E639" s="2" t="s">
        <v>24</v>
      </c>
      <c r="F639" s="2">
        <v>1</v>
      </c>
      <c r="G639" s="5">
        <v>0.1</v>
      </c>
      <c r="H639" s="2" t="s">
        <v>19</v>
      </c>
      <c r="I639" s="2" t="s">
        <v>31</v>
      </c>
      <c r="J639" s="2" t="s">
        <v>21</v>
      </c>
      <c r="K639">
        <f>VLOOKUP(E639,Products!$A$2:$E$23,5,0)</f>
        <v>899</v>
      </c>
      <c r="L639">
        <f>VLOOKUP(E639,Products!$A$2:$E$23,4,0)</f>
        <v>500</v>
      </c>
      <c r="M639" s="2">
        <f>K639*F639-Table1[[#This Row],[discount_amount]]</f>
        <v>809.1</v>
      </c>
      <c r="N639">
        <f t="shared" si="19"/>
        <v>500</v>
      </c>
      <c r="O639">
        <f t="shared" si="18"/>
        <v>309.10000000000002</v>
      </c>
      <c r="P639">
        <f>Table1[[#This Row],[Quantity]]*Table1[[#This Row],[unit_price]]*Table1[[#This Row],[Discount]]</f>
        <v>89.9</v>
      </c>
      <c r="Q639" t="str">
        <f>VLOOKUP(E639,Products!$A$2:$E$23,2,0)</f>
        <v>Monitor Stand</v>
      </c>
      <c r="R639" t="str">
        <f>VLOOKUP(Table1[[#This Row],[Product ID]],Products!$A$2:$E$23,3,0)</f>
        <v>Furniture</v>
      </c>
      <c r="S639" t="str">
        <f>VLOOKUP(C639,Customers!$A$2:$F$201,4,0)</f>
        <v>Chandigarh</v>
      </c>
      <c r="T639" t="str">
        <f>VLOOKUP(Table1[[#This Row],[Customer ID]],Customers!$A$2:$F$201,5,0)</f>
        <v>North</v>
      </c>
      <c r="U639" t="str">
        <f>VLOOKUP(Table1[[#This Row],[Customer ID]],Customers!$A$2:$F$201,6,0)</f>
        <v>Corporate</v>
      </c>
      <c r="V639" t="str">
        <f>TEXT(Table1[[#This Row],[Order Date]],"MMM")</f>
        <v>Jan</v>
      </c>
      <c r="W639" t="str">
        <f>TEXT(Table1[[#This Row],[Order Date]],"yyyy")</f>
        <v>2025</v>
      </c>
    </row>
    <row r="640" spans="1:23" x14ac:dyDescent="0.25">
      <c r="A640" s="2" t="s">
        <v>879</v>
      </c>
      <c r="B640" s="4">
        <v>45689</v>
      </c>
      <c r="C640" s="2" t="s">
        <v>221</v>
      </c>
      <c r="D640" s="2" t="str">
        <f>TEXT(Table1[[#This Row],[Order Date]],"mmmm")</f>
        <v>February</v>
      </c>
      <c r="E640" s="2" t="s">
        <v>135</v>
      </c>
      <c r="F640" s="2">
        <v>2</v>
      </c>
      <c r="G640" s="5">
        <v>0.05</v>
      </c>
      <c r="H640" s="2" t="s">
        <v>19</v>
      </c>
      <c r="I640" s="2" t="s">
        <v>38</v>
      </c>
      <c r="J640" s="2" t="s">
        <v>42</v>
      </c>
      <c r="K640">
        <f>VLOOKUP(E640,Products!$A$2:$E$23,5,0)</f>
        <v>220</v>
      </c>
      <c r="L640">
        <f>VLOOKUP(E640,Products!$A$2:$E$23,4,0)</f>
        <v>120</v>
      </c>
      <c r="M640" s="2">
        <f>K640*F640-Table1[[#This Row],[discount_amount]]</f>
        <v>418</v>
      </c>
      <c r="N640">
        <f t="shared" si="19"/>
        <v>240</v>
      </c>
      <c r="O640">
        <f t="shared" si="18"/>
        <v>178</v>
      </c>
      <c r="P640">
        <f>Table1[[#This Row],[Quantity]]*Table1[[#This Row],[unit_price]]*Table1[[#This Row],[Discount]]</f>
        <v>22</v>
      </c>
      <c r="Q640" t="str">
        <f>VLOOKUP(E640,Products!$A$2:$E$23,2,0)</f>
        <v>Stapler</v>
      </c>
      <c r="R640" t="str">
        <f>VLOOKUP(Table1[[#This Row],[Product ID]],Products!$A$2:$E$23,3,0)</f>
        <v>Office Supplies</v>
      </c>
      <c r="S640" t="str">
        <f>VLOOKUP(C640,Customers!$A$2:$F$201,4,0)</f>
        <v>Madhya Pradesh</v>
      </c>
      <c r="T640" t="str">
        <f>VLOOKUP(Table1[[#This Row],[Customer ID]],Customers!$A$2:$F$201,5,0)</f>
        <v>Central</v>
      </c>
      <c r="U640" t="str">
        <f>VLOOKUP(Table1[[#This Row],[Customer ID]],Customers!$A$2:$F$201,6,0)</f>
        <v>Home Office</v>
      </c>
      <c r="V640" t="str">
        <f>TEXT(Table1[[#This Row],[Order Date]],"MMM")</f>
        <v>Feb</v>
      </c>
      <c r="W640" t="str">
        <f>TEXT(Table1[[#This Row],[Order Date]],"yyyy")</f>
        <v>2025</v>
      </c>
    </row>
    <row r="641" spans="1:23" x14ac:dyDescent="0.25">
      <c r="A641" s="2" t="s">
        <v>880</v>
      </c>
      <c r="B641" s="4">
        <v>45691</v>
      </c>
      <c r="C641" s="2" t="s">
        <v>96</v>
      </c>
      <c r="D641" s="2" t="str">
        <f>TEXT(Table1[[#This Row],[Order Date]],"mmmm")</f>
        <v>February</v>
      </c>
      <c r="E641" s="2" t="s">
        <v>24</v>
      </c>
      <c r="F641" s="2">
        <v>5</v>
      </c>
      <c r="G641" s="5">
        <v>0.1</v>
      </c>
      <c r="H641" s="2" t="s">
        <v>19</v>
      </c>
      <c r="I641" s="2" t="s">
        <v>31</v>
      </c>
      <c r="J641" s="2" t="s">
        <v>21</v>
      </c>
      <c r="K641">
        <f>VLOOKUP(E641,Products!$A$2:$E$23,5,0)</f>
        <v>899</v>
      </c>
      <c r="L641">
        <f>VLOOKUP(E641,Products!$A$2:$E$23,4,0)</f>
        <v>500</v>
      </c>
      <c r="M641" s="2">
        <f>K641*F641-Table1[[#This Row],[discount_amount]]</f>
        <v>4045.5</v>
      </c>
      <c r="N641">
        <f t="shared" si="19"/>
        <v>2500</v>
      </c>
      <c r="O641">
        <f t="shared" si="18"/>
        <v>1545.5</v>
      </c>
      <c r="P641">
        <f>Table1[[#This Row],[Quantity]]*Table1[[#This Row],[unit_price]]*Table1[[#This Row],[Discount]]</f>
        <v>449.5</v>
      </c>
      <c r="Q641" t="str">
        <f>VLOOKUP(E641,Products!$A$2:$E$23,2,0)</f>
        <v>Monitor Stand</v>
      </c>
      <c r="R641" t="str">
        <f>VLOOKUP(Table1[[#This Row],[Product ID]],Products!$A$2:$E$23,3,0)</f>
        <v>Furniture</v>
      </c>
      <c r="S641" t="str">
        <f>VLOOKUP(C641,Customers!$A$2:$F$201,4,0)</f>
        <v>Odisha</v>
      </c>
      <c r="T641" t="str">
        <f>VLOOKUP(Table1[[#This Row],[Customer ID]],Customers!$A$2:$F$201,5,0)</f>
        <v>East</v>
      </c>
      <c r="U641" t="str">
        <f>VLOOKUP(Table1[[#This Row],[Customer ID]],Customers!$A$2:$F$201,6,0)</f>
        <v>Consumer</v>
      </c>
      <c r="V641" t="str">
        <f>TEXT(Table1[[#This Row],[Order Date]],"MMM")</f>
        <v>Feb</v>
      </c>
      <c r="W641" t="str">
        <f>TEXT(Table1[[#This Row],[Order Date]],"yyyy")</f>
        <v>2025</v>
      </c>
    </row>
    <row r="642" spans="1:23" x14ac:dyDescent="0.25">
      <c r="A642" s="2" t="s">
        <v>881</v>
      </c>
      <c r="B642" s="4">
        <v>45693</v>
      </c>
      <c r="C642" s="2" t="s">
        <v>70</v>
      </c>
      <c r="D642" s="2" t="str">
        <f>TEXT(Table1[[#This Row],[Order Date]],"mmmm")</f>
        <v>February</v>
      </c>
      <c r="E642" s="2" t="s">
        <v>73</v>
      </c>
      <c r="F642" s="2">
        <v>1</v>
      </c>
      <c r="G642" s="5">
        <v>0.1</v>
      </c>
      <c r="H642" s="2" t="s">
        <v>19</v>
      </c>
      <c r="I642" s="2" t="s">
        <v>38</v>
      </c>
      <c r="J642" s="2" t="s">
        <v>21</v>
      </c>
      <c r="K642">
        <f>VLOOKUP(E642,Products!$A$2:$E$23,5,0)</f>
        <v>6499</v>
      </c>
      <c r="L642">
        <f>VLOOKUP(E642,Products!$A$2:$E$23,4,0)</f>
        <v>4200</v>
      </c>
      <c r="M642" s="2">
        <f>K642*F642-Table1[[#This Row],[discount_amount]]</f>
        <v>5849.1</v>
      </c>
      <c r="N642">
        <f t="shared" si="19"/>
        <v>4200</v>
      </c>
      <c r="O642">
        <f t="shared" ref="O642:O705" si="20">M642-N642</f>
        <v>1649.1000000000004</v>
      </c>
      <c r="P642">
        <f>Table1[[#This Row],[Quantity]]*Table1[[#This Row],[unit_price]]*Table1[[#This Row],[Discount]]</f>
        <v>649.90000000000009</v>
      </c>
      <c r="Q642" t="str">
        <f>VLOOKUP(E642,Products!$A$2:$E$23,2,0)</f>
        <v>Study Table</v>
      </c>
      <c r="R642" t="str">
        <f>VLOOKUP(Table1[[#This Row],[Product ID]],Products!$A$2:$E$23,3,0)</f>
        <v>Furniture</v>
      </c>
      <c r="S642" t="str">
        <f>VLOOKUP(C642,Customers!$A$2:$F$201,4,0)</f>
        <v>Delhi</v>
      </c>
      <c r="T642" t="str">
        <f>VLOOKUP(Table1[[#This Row],[Customer ID]],Customers!$A$2:$F$201,5,0)</f>
        <v>North</v>
      </c>
      <c r="U642" t="str">
        <f>VLOOKUP(Table1[[#This Row],[Customer ID]],Customers!$A$2:$F$201,6,0)</f>
        <v>Home Office</v>
      </c>
      <c r="V642" t="str">
        <f>TEXT(Table1[[#This Row],[Order Date]],"MMM")</f>
        <v>Feb</v>
      </c>
      <c r="W642" t="str">
        <f>TEXT(Table1[[#This Row],[Order Date]],"yyyy")</f>
        <v>2025</v>
      </c>
    </row>
    <row r="643" spans="1:23" x14ac:dyDescent="0.25">
      <c r="A643" s="2" t="s">
        <v>882</v>
      </c>
      <c r="B643" s="4">
        <v>45696</v>
      </c>
      <c r="C643" s="2" t="s">
        <v>287</v>
      </c>
      <c r="D643" s="2" t="str">
        <f>TEXT(Table1[[#This Row],[Order Date]],"mmmm")</f>
        <v>February</v>
      </c>
      <c r="E643" s="2" t="s">
        <v>91</v>
      </c>
      <c r="F643" s="2">
        <v>6</v>
      </c>
      <c r="G643" s="5">
        <v>0</v>
      </c>
      <c r="H643" s="2" t="s">
        <v>19</v>
      </c>
      <c r="I643" s="2" t="s">
        <v>46</v>
      </c>
      <c r="J643" s="2" t="s">
        <v>21</v>
      </c>
      <c r="K643">
        <f>VLOOKUP(E643,Products!$A$2:$E$23,5,0)</f>
        <v>1199</v>
      </c>
      <c r="L643">
        <f>VLOOKUP(E643,Products!$A$2:$E$23,4,0)</f>
        <v>600</v>
      </c>
      <c r="M643" s="2">
        <f>K643*F643-Table1[[#This Row],[discount_amount]]</f>
        <v>7194</v>
      </c>
      <c r="N643">
        <f t="shared" ref="N643:N706" si="21">F643*L643</f>
        <v>3600</v>
      </c>
      <c r="O643">
        <f t="shared" si="20"/>
        <v>3594</v>
      </c>
      <c r="P643">
        <f>Table1[[#This Row],[Quantity]]*Table1[[#This Row],[unit_price]]*Table1[[#This Row],[Discount]]</f>
        <v>0</v>
      </c>
      <c r="Q643" t="str">
        <f>VLOOKUP(E643,Products!$A$2:$E$23,2,0)</f>
        <v>Formal Shirt</v>
      </c>
      <c r="R643" t="str">
        <f>VLOOKUP(Table1[[#This Row],[Product ID]],Products!$A$2:$E$23,3,0)</f>
        <v>Clothing</v>
      </c>
      <c r="S643" t="str">
        <f>VLOOKUP(C643,Customers!$A$2:$F$201,4,0)</f>
        <v>Kerala</v>
      </c>
      <c r="T643" t="str">
        <f>VLOOKUP(Table1[[#This Row],[Customer ID]],Customers!$A$2:$F$201,5,0)</f>
        <v>South</v>
      </c>
      <c r="U643" t="str">
        <f>VLOOKUP(Table1[[#This Row],[Customer ID]],Customers!$A$2:$F$201,6,0)</f>
        <v>Corporate</v>
      </c>
      <c r="V643" t="str">
        <f>TEXT(Table1[[#This Row],[Order Date]],"MMM")</f>
        <v>Feb</v>
      </c>
      <c r="W643" t="str">
        <f>TEXT(Table1[[#This Row],[Order Date]],"yyyy")</f>
        <v>2025</v>
      </c>
    </row>
    <row r="644" spans="1:23" x14ac:dyDescent="0.25">
      <c r="A644" s="2" t="s">
        <v>883</v>
      </c>
      <c r="B644" s="4">
        <v>45696</v>
      </c>
      <c r="C644" s="2" t="s">
        <v>256</v>
      </c>
      <c r="D644" s="2" t="str">
        <f>TEXT(Table1[[#This Row],[Order Date]],"mmmm")</f>
        <v>February</v>
      </c>
      <c r="E644" s="2" t="s">
        <v>34</v>
      </c>
      <c r="F644" s="2">
        <v>1</v>
      </c>
      <c r="G644" s="5">
        <v>0.05</v>
      </c>
      <c r="H644" s="2" t="s">
        <v>25</v>
      </c>
      <c r="I644" s="2" t="s">
        <v>20</v>
      </c>
      <c r="J644" s="2" t="s">
        <v>21</v>
      </c>
      <c r="K644">
        <f>VLOOKUP(E644,Products!$A$2:$E$23,5,0)</f>
        <v>4599</v>
      </c>
      <c r="L644">
        <f>VLOOKUP(E644,Products!$A$2:$E$23,4,0)</f>
        <v>3000</v>
      </c>
      <c r="M644" s="2">
        <f>K644*F644-Table1[[#This Row],[discount_amount]]</f>
        <v>4369.05</v>
      </c>
      <c r="N644">
        <f t="shared" si="21"/>
        <v>3000</v>
      </c>
      <c r="O644">
        <f t="shared" si="20"/>
        <v>1369.0500000000002</v>
      </c>
      <c r="P644">
        <f>Table1[[#This Row],[Quantity]]*Table1[[#This Row],[unit_price]]*Table1[[#This Row],[Discount]]</f>
        <v>229.95000000000002</v>
      </c>
      <c r="Q644" t="str">
        <f>VLOOKUP(E644,Products!$A$2:$E$23,2,0)</f>
        <v>Filing Cabinet</v>
      </c>
      <c r="R644" t="str">
        <f>VLOOKUP(Table1[[#This Row],[Product ID]],Products!$A$2:$E$23,3,0)</f>
        <v>Furniture</v>
      </c>
      <c r="S644" t="str">
        <f>VLOOKUP(C644,Customers!$A$2:$F$201,4,0)</f>
        <v>Gujarat</v>
      </c>
      <c r="T644" t="str">
        <f>VLOOKUP(Table1[[#This Row],[Customer ID]],Customers!$A$2:$F$201,5,0)</f>
        <v>West</v>
      </c>
      <c r="U644" t="str">
        <f>VLOOKUP(Table1[[#This Row],[Customer ID]],Customers!$A$2:$F$201,6,0)</f>
        <v>Consumer</v>
      </c>
      <c r="V644" t="str">
        <f>TEXT(Table1[[#This Row],[Order Date]],"MMM")</f>
        <v>Feb</v>
      </c>
      <c r="W644" t="str">
        <f>TEXT(Table1[[#This Row],[Order Date]],"yyyy")</f>
        <v>2025</v>
      </c>
    </row>
    <row r="645" spans="1:23" x14ac:dyDescent="0.25">
      <c r="A645" s="2" t="s">
        <v>884</v>
      </c>
      <c r="B645" s="4">
        <v>45697</v>
      </c>
      <c r="C645" s="2" t="s">
        <v>72</v>
      </c>
      <c r="D645" s="2" t="str">
        <f>TEXT(Table1[[#This Row],[Order Date]],"mmmm")</f>
        <v>February</v>
      </c>
      <c r="E645" s="2" t="s">
        <v>24</v>
      </c>
      <c r="F645" s="2">
        <v>1</v>
      </c>
      <c r="G645" s="5">
        <v>0</v>
      </c>
      <c r="H645" s="2" t="s">
        <v>25</v>
      </c>
      <c r="I645" s="2" t="s">
        <v>38</v>
      </c>
      <c r="J645" s="2" t="s">
        <v>21</v>
      </c>
      <c r="K645">
        <f>VLOOKUP(E645,Products!$A$2:$E$23,5,0)</f>
        <v>899</v>
      </c>
      <c r="L645">
        <f>VLOOKUP(E645,Products!$A$2:$E$23,4,0)</f>
        <v>500</v>
      </c>
      <c r="M645" s="2">
        <f>K645*F645-Table1[[#This Row],[discount_amount]]</f>
        <v>899</v>
      </c>
      <c r="N645">
        <f t="shared" si="21"/>
        <v>500</v>
      </c>
      <c r="O645">
        <f t="shared" si="20"/>
        <v>399</v>
      </c>
      <c r="P645">
        <f>Table1[[#This Row],[Quantity]]*Table1[[#This Row],[unit_price]]*Table1[[#This Row],[Discount]]</f>
        <v>0</v>
      </c>
      <c r="Q645" t="str">
        <f>VLOOKUP(E645,Products!$A$2:$E$23,2,0)</f>
        <v>Monitor Stand</v>
      </c>
      <c r="R645" t="str">
        <f>VLOOKUP(Table1[[#This Row],[Product ID]],Products!$A$2:$E$23,3,0)</f>
        <v>Furniture</v>
      </c>
      <c r="S645" t="str">
        <f>VLOOKUP(C645,Customers!$A$2:$F$201,4,0)</f>
        <v>Maharashtra</v>
      </c>
      <c r="T645" t="str">
        <f>VLOOKUP(Table1[[#This Row],[Customer ID]],Customers!$A$2:$F$201,5,0)</f>
        <v>West</v>
      </c>
      <c r="U645" t="str">
        <f>VLOOKUP(Table1[[#This Row],[Customer ID]],Customers!$A$2:$F$201,6,0)</f>
        <v>Consumer</v>
      </c>
      <c r="V645" t="str">
        <f>TEXT(Table1[[#This Row],[Order Date]],"MMM")</f>
        <v>Feb</v>
      </c>
      <c r="W645" t="str">
        <f>TEXT(Table1[[#This Row],[Order Date]],"yyyy")</f>
        <v>2025</v>
      </c>
    </row>
    <row r="646" spans="1:23" x14ac:dyDescent="0.25">
      <c r="A646" s="2" t="s">
        <v>885</v>
      </c>
      <c r="B646" s="4">
        <v>45697</v>
      </c>
      <c r="C646" s="2" t="s">
        <v>201</v>
      </c>
      <c r="D646" s="2" t="str">
        <f>TEXT(Table1[[#This Row],[Order Date]],"mmmm")</f>
        <v>February</v>
      </c>
      <c r="E646" s="2" t="s">
        <v>66</v>
      </c>
      <c r="F646" s="2">
        <v>2</v>
      </c>
      <c r="G646" s="5">
        <v>0.05</v>
      </c>
      <c r="H646" s="2" t="s">
        <v>25</v>
      </c>
      <c r="I646" s="2" t="s">
        <v>31</v>
      </c>
      <c r="J646" s="2" t="s">
        <v>21</v>
      </c>
      <c r="K646">
        <f>VLOOKUP(E646,Products!$A$2:$E$23,5,0)</f>
        <v>1299</v>
      </c>
      <c r="L646">
        <f>VLOOKUP(E646,Products!$A$2:$E$23,4,0)</f>
        <v>800</v>
      </c>
      <c r="M646" s="2">
        <f>K646*F646-Table1[[#This Row],[discount_amount]]</f>
        <v>2468.1</v>
      </c>
      <c r="N646">
        <f t="shared" si="21"/>
        <v>1600</v>
      </c>
      <c r="O646">
        <f t="shared" si="20"/>
        <v>868.09999999999991</v>
      </c>
      <c r="P646">
        <f>Table1[[#This Row],[Quantity]]*Table1[[#This Row],[unit_price]]*Table1[[#This Row],[Discount]]</f>
        <v>129.9</v>
      </c>
      <c r="Q646" t="str">
        <f>VLOOKUP(E646,Products!$A$2:$E$23,2,0)</f>
        <v>Power Bank 10000mAh</v>
      </c>
      <c r="R646" t="str">
        <f>VLOOKUP(Table1[[#This Row],[Product ID]],Products!$A$2:$E$23,3,0)</f>
        <v>Electronics</v>
      </c>
      <c r="S646" t="str">
        <f>VLOOKUP(C646,Customers!$A$2:$F$201,4,0)</f>
        <v>Maharashtra</v>
      </c>
      <c r="T646" t="str">
        <f>VLOOKUP(Table1[[#This Row],[Customer ID]],Customers!$A$2:$F$201,5,0)</f>
        <v>Central</v>
      </c>
      <c r="U646" t="str">
        <f>VLOOKUP(Table1[[#This Row],[Customer ID]],Customers!$A$2:$F$201,6,0)</f>
        <v>Corporate</v>
      </c>
      <c r="V646" t="str">
        <f>TEXT(Table1[[#This Row],[Order Date]],"MMM")</f>
        <v>Feb</v>
      </c>
      <c r="W646" t="str">
        <f>TEXT(Table1[[#This Row],[Order Date]],"yyyy")</f>
        <v>2025</v>
      </c>
    </row>
    <row r="647" spans="1:23" x14ac:dyDescent="0.25">
      <c r="A647" s="2" t="s">
        <v>886</v>
      </c>
      <c r="B647" s="4">
        <v>45697</v>
      </c>
      <c r="C647" s="2" t="s">
        <v>239</v>
      </c>
      <c r="D647" s="2" t="str">
        <f>TEXT(Table1[[#This Row],[Order Date]],"mmmm")</f>
        <v>February</v>
      </c>
      <c r="E647" s="2" t="s">
        <v>54</v>
      </c>
      <c r="F647" s="2">
        <v>2</v>
      </c>
      <c r="G647" s="5">
        <v>0.1</v>
      </c>
      <c r="H647" s="2" t="s">
        <v>25</v>
      </c>
      <c r="I647" s="2" t="s">
        <v>26</v>
      </c>
      <c r="J647" s="2" t="s">
        <v>21</v>
      </c>
      <c r="K647">
        <f>VLOOKUP(E647,Products!$A$2:$E$23,5,0)</f>
        <v>299</v>
      </c>
      <c r="L647">
        <f>VLOOKUP(E647,Products!$A$2:$E$23,4,0)</f>
        <v>180</v>
      </c>
      <c r="M647" s="2">
        <f>K647*F647-Table1[[#This Row],[discount_amount]]</f>
        <v>538.20000000000005</v>
      </c>
      <c r="N647">
        <f t="shared" si="21"/>
        <v>360</v>
      </c>
      <c r="O647">
        <f t="shared" si="20"/>
        <v>178.20000000000005</v>
      </c>
      <c r="P647">
        <f>Table1[[#This Row],[Quantity]]*Table1[[#This Row],[unit_price]]*Table1[[#This Row],[Discount]]</f>
        <v>59.800000000000004</v>
      </c>
      <c r="Q647" t="str">
        <f>VLOOKUP(E647,Products!$A$2:$E$23,2,0)</f>
        <v>Notebook Pack of 5</v>
      </c>
      <c r="R647" t="str">
        <f>VLOOKUP(Table1[[#This Row],[Product ID]],Products!$A$2:$E$23,3,0)</f>
        <v>Office Supplies</v>
      </c>
      <c r="S647" t="str">
        <f>VLOOKUP(C647,Customers!$A$2:$F$201,4,0)</f>
        <v>Karnataka</v>
      </c>
      <c r="T647" t="str">
        <f>VLOOKUP(Table1[[#This Row],[Customer ID]],Customers!$A$2:$F$201,5,0)</f>
        <v>South</v>
      </c>
      <c r="U647" t="str">
        <f>VLOOKUP(Table1[[#This Row],[Customer ID]],Customers!$A$2:$F$201,6,0)</f>
        <v>Consumer</v>
      </c>
      <c r="V647" t="str">
        <f>TEXT(Table1[[#This Row],[Order Date]],"MMM")</f>
        <v>Feb</v>
      </c>
      <c r="W647" t="str">
        <f>TEXT(Table1[[#This Row],[Order Date]],"yyyy")</f>
        <v>2025</v>
      </c>
    </row>
    <row r="648" spans="1:23" x14ac:dyDescent="0.25">
      <c r="A648" s="2" t="s">
        <v>887</v>
      </c>
      <c r="B648" s="4">
        <v>45698</v>
      </c>
      <c r="C648" s="2" t="s">
        <v>36</v>
      </c>
      <c r="D648" s="2" t="str">
        <f>TEXT(Table1[[#This Row],[Order Date]],"mmmm")</f>
        <v>February</v>
      </c>
      <c r="E648" s="2" t="s">
        <v>135</v>
      </c>
      <c r="F648" s="2">
        <v>4</v>
      </c>
      <c r="G648" s="5">
        <v>0.2</v>
      </c>
      <c r="H648" s="2" t="s">
        <v>25</v>
      </c>
      <c r="I648" s="2" t="s">
        <v>31</v>
      </c>
      <c r="J648" s="2" t="s">
        <v>21</v>
      </c>
      <c r="K648">
        <f>VLOOKUP(E648,Products!$A$2:$E$23,5,0)</f>
        <v>220</v>
      </c>
      <c r="L648">
        <f>VLOOKUP(E648,Products!$A$2:$E$23,4,0)</f>
        <v>120</v>
      </c>
      <c r="M648" s="2">
        <f>K648*F648-Table1[[#This Row],[discount_amount]]</f>
        <v>704</v>
      </c>
      <c r="N648">
        <f t="shared" si="21"/>
        <v>480</v>
      </c>
      <c r="O648">
        <f t="shared" si="20"/>
        <v>224</v>
      </c>
      <c r="P648">
        <f>Table1[[#This Row],[Quantity]]*Table1[[#This Row],[unit_price]]*Table1[[#This Row],[Discount]]</f>
        <v>176</v>
      </c>
      <c r="Q648" t="str">
        <f>VLOOKUP(E648,Products!$A$2:$E$23,2,0)</f>
        <v>Stapler</v>
      </c>
      <c r="R648" t="str">
        <f>VLOOKUP(Table1[[#This Row],[Product ID]],Products!$A$2:$E$23,3,0)</f>
        <v>Office Supplies</v>
      </c>
      <c r="S648" t="str">
        <f>VLOOKUP(C648,Customers!$A$2:$F$201,4,0)</f>
        <v>Gujarat</v>
      </c>
      <c r="T648" t="str">
        <f>VLOOKUP(Table1[[#This Row],[Customer ID]],Customers!$A$2:$F$201,5,0)</f>
        <v>West</v>
      </c>
      <c r="U648" t="str">
        <f>VLOOKUP(Table1[[#This Row],[Customer ID]],Customers!$A$2:$F$201,6,0)</f>
        <v>Consumer</v>
      </c>
      <c r="V648" t="str">
        <f>TEXT(Table1[[#This Row],[Order Date]],"MMM")</f>
        <v>Feb</v>
      </c>
      <c r="W648" t="str">
        <f>TEXT(Table1[[#This Row],[Order Date]],"yyyy")</f>
        <v>2025</v>
      </c>
    </row>
    <row r="649" spans="1:23" x14ac:dyDescent="0.25">
      <c r="A649" s="2" t="s">
        <v>888</v>
      </c>
      <c r="B649" s="4">
        <v>45698</v>
      </c>
      <c r="C649" s="2" t="s">
        <v>88</v>
      </c>
      <c r="D649" s="2" t="str">
        <f>TEXT(Table1[[#This Row],[Order Date]],"mmmm")</f>
        <v>February</v>
      </c>
      <c r="E649" s="2" t="s">
        <v>118</v>
      </c>
      <c r="F649" s="2">
        <v>3</v>
      </c>
      <c r="G649" s="5">
        <v>0</v>
      </c>
      <c r="H649" s="2" t="s">
        <v>30</v>
      </c>
      <c r="I649" s="2" t="s">
        <v>38</v>
      </c>
      <c r="J649" s="2" t="s">
        <v>79</v>
      </c>
      <c r="K649">
        <f>VLOOKUP(E649,Products!$A$2:$E$23,5,0)</f>
        <v>150</v>
      </c>
      <c r="L649">
        <f>VLOOKUP(E649,Products!$A$2:$E$23,4,0)</f>
        <v>90</v>
      </c>
      <c r="M649" s="2">
        <f>K649*F649-Table1[[#This Row],[discount_amount]]</f>
        <v>450</v>
      </c>
      <c r="N649">
        <f t="shared" si="21"/>
        <v>270</v>
      </c>
      <c r="O649">
        <f t="shared" si="20"/>
        <v>180</v>
      </c>
      <c r="P649">
        <f>Table1[[#This Row],[Quantity]]*Table1[[#This Row],[unit_price]]*Table1[[#This Row],[Discount]]</f>
        <v>0</v>
      </c>
      <c r="Q649" t="str">
        <f>VLOOKUP(E649,Products!$A$2:$E$23,2,0)</f>
        <v>Gel Pen Box</v>
      </c>
      <c r="R649" t="str">
        <f>VLOOKUP(Table1[[#This Row],[Product ID]],Products!$A$2:$E$23,3,0)</f>
        <v>Office Supplies</v>
      </c>
      <c r="S649" t="str">
        <f>VLOOKUP(C649,Customers!$A$2:$F$201,4,0)</f>
        <v>Gujarat</v>
      </c>
      <c r="T649" t="str">
        <f>VLOOKUP(Table1[[#This Row],[Customer ID]],Customers!$A$2:$F$201,5,0)</f>
        <v>West</v>
      </c>
      <c r="U649" t="str">
        <f>VLOOKUP(Table1[[#This Row],[Customer ID]],Customers!$A$2:$F$201,6,0)</f>
        <v>Consumer</v>
      </c>
      <c r="V649" t="str">
        <f>TEXT(Table1[[#This Row],[Order Date]],"MMM")</f>
        <v>Feb</v>
      </c>
      <c r="W649" t="str">
        <f>TEXT(Table1[[#This Row],[Order Date]],"yyyy")</f>
        <v>2025</v>
      </c>
    </row>
    <row r="650" spans="1:23" x14ac:dyDescent="0.25">
      <c r="A650" s="2" t="s">
        <v>889</v>
      </c>
      <c r="B650" s="4">
        <v>45699</v>
      </c>
      <c r="C650" s="2" t="s">
        <v>325</v>
      </c>
      <c r="D650" s="2" t="str">
        <f>TEXT(Table1[[#This Row],[Order Date]],"mmmm")</f>
        <v>February</v>
      </c>
      <c r="E650" s="2" t="s">
        <v>121</v>
      </c>
      <c r="F650" s="2">
        <v>1</v>
      </c>
      <c r="G650" s="5">
        <v>0.15</v>
      </c>
      <c r="H650" s="2" t="s">
        <v>30</v>
      </c>
      <c r="I650" s="2" t="s">
        <v>20</v>
      </c>
      <c r="J650" s="2" t="s">
        <v>79</v>
      </c>
      <c r="K650">
        <f>VLOOKUP(E650,Products!$A$2:$E$23,5,0)</f>
        <v>499</v>
      </c>
      <c r="L650">
        <f>VLOOKUP(E650,Products!$A$2:$E$23,4,0)</f>
        <v>250</v>
      </c>
      <c r="M650" s="2">
        <f>K650*F650-Table1[[#This Row],[discount_amount]]</f>
        <v>424.15</v>
      </c>
      <c r="N650">
        <f t="shared" si="21"/>
        <v>250</v>
      </c>
      <c r="O650">
        <f t="shared" si="20"/>
        <v>174.14999999999998</v>
      </c>
      <c r="P650">
        <f>Table1[[#This Row],[Quantity]]*Table1[[#This Row],[unit_price]]*Table1[[#This Row],[Discount]]</f>
        <v>74.849999999999994</v>
      </c>
      <c r="Q650" t="str">
        <f>VLOOKUP(E650,Products!$A$2:$E$23,2,0)</f>
        <v>Cotton T-Shirt</v>
      </c>
      <c r="R650" t="str">
        <f>VLOOKUP(Table1[[#This Row],[Product ID]],Products!$A$2:$E$23,3,0)</f>
        <v>Clothing</v>
      </c>
      <c r="S650" t="str">
        <f>VLOOKUP(C650,Customers!$A$2:$F$201,4,0)</f>
        <v>Maharashtra</v>
      </c>
      <c r="T650" t="str">
        <f>VLOOKUP(Table1[[#This Row],[Customer ID]],Customers!$A$2:$F$201,5,0)</f>
        <v>West</v>
      </c>
      <c r="U650" t="str">
        <f>VLOOKUP(Table1[[#This Row],[Customer ID]],Customers!$A$2:$F$201,6,0)</f>
        <v>Corporate</v>
      </c>
      <c r="V650" t="str">
        <f>TEXT(Table1[[#This Row],[Order Date]],"MMM")</f>
        <v>Feb</v>
      </c>
      <c r="W650" t="str">
        <f>TEXT(Table1[[#This Row],[Order Date]],"yyyy")</f>
        <v>2025</v>
      </c>
    </row>
    <row r="651" spans="1:23" x14ac:dyDescent="0.25">
      <c r="A651" s="2" t="s">
        <v>890</v>
      </c>
      <c r="B651" s="4">
        <v>45699</v>
      </c>
      <c r="C651" s="2" t="s">
        <v>203</v>
      </c>
      <c r="D651" s="2" t="str">
        <f>TEXT(Table1[[#This Row],[Order Date]],"mmmm")</f>
        <v>February</v>
      </c>
      <c r="E651" s="2" t="s">
        <v>91</v>
      </c>
      <c r="F651" s="2">
        <v>4</v>
      </c>
      <c r="G651" s="5">
        <v>0.1</v>
      </c>
      <c r="H651" s="2" t="s">
        <v>19</v>
      </c>
      <c r="I651" s="2" t="s">
        <v>31</v>
      </c>
      <c r="J651" s="2" t="s">
        <v>21</v>
      </c>
      <c r="K651">
        <f>VLOOKUP(E651,Products!$A$2:$E$23,5,0)</f>
        <v>1199</v>
      </c>
      <c r="L651">
        <f>VLOOKUP(E651,Products!$A$2:$E$23,4,0)</f>
        <v>600</v>
      </c>
      <c r="M651" s="2">
        <f>K651*F651-Table1[[#This Row],[discount_amount]]</f>
        <v>4316.3999999999996</v>
      </c>
      <c r="N651">
        <f t="shared" si="21"/>
        <v>2400</v>
      </c>
      <c r="O651">
        <f t="shared" si="20"/>
        <v>1916.3999999999996</v>
      </c>
      <c r="P651">
        <f>Table1[[#This Row],[Quantity]]*Table1[[#This Row],[unit_price]]*Table1[[#This Row],[Discount]]</f>
        <v>479.6</v>
      </c>
      <c r="Q651" t="str">
        <f>VLOOKUP(E651,Products!$A$2:$E$23,2,0)</f>
        <v>Formal Shirt</v>
      </c>
      <c r="R651" t="str">
        <f>VLOOKUP(Table1[[#This Row],[Product ID]],Products!$A$2:$E$23,3,0)</f>
        <v>Clothing</v>
      </c>
      <c r="S651" t="str">
        <f>VLOOKUP(C651,Customers!$A$2:$F$201,4,0)</f>
        <v>Kerala</v>
      </c>
      <c r="T651" t="str">
        <f>VLOOKUP(Table1[[#This Row],[Customer ID]],Customers!$A$2:$F$201,5,0)</f>
        <v>South</v>
      </c>
      <c r="U651" t="str">
        <f>VLOOKUP(Table1[[#This Row],[Customer ID]],Customers!$A$2:$F$201,6,0)</f>
        <v>Corporate</v>
      </c>
      <c r="V651" t="str">
        <f>TEXT(Table1[[#This Row],[Order Date]],"MMM")</f>
        <v>Feb</v>
      </c>
      <c r="W651" t="str">
        <f>TEXT(Table1[[#This Row],[Order Date]],"yyyy")</f>
        <v>2025</v>
      </c>
    </row>
    <row r="652" spans="1:23" x14ac:dyDescent="0.25">
      <c r="A652" s="2" t="s">
        <v>891</v>
      </c>
      <c r="B652" s="4">
        <v>45699</v>
      </c>
      <c r="C652" s="2" t="s">
        <v>201</v>
      </c>
      <c r="D652" s="2" t="str">
        <f>TEXT(Table1[[#This Row],[Order Date]],"mmmm")</f>
        <v>February</v>
      </c>
      <c r="E652" s="2" t="s">
        <v>63</v>
      </c>
      <c r="F652" s="2">
        <v>2</v>
      </c>
      <c r="G652" s="5">
        <v>0.05</v>
      </c>
      <c r="H652" s="2" t="s">
        <v>19</v>
      </c>
      <c r="I652" s="2" t="s">
        <v>26</v>
      </c>
      <c r="J652" s="2" t="s">
        <v>21</v>
      </c>
      <c r="K652">
        <f>VLOOKUP(E652,Products!$A$2:$E$23,5,0)</f>
        <v>5499</v>
      </c>
      <c r="L652">
        <f>VLOOKUP(E652,Products!$A$2:$E$23,4,0)</f>
        <v>3500</v>
      </c>
      <c r="M652" s="2">
        <f>K652*F652-Table1[[#This Row],[discount_amount]]</f>
        <v>10448.1</v>
      </c>
      <c r="N652">
        <f t="shared" si="21"/>
        <v>7000</v>
      </c>
      <c r="O652">
        <f t="shared" si="20"/>
        <v>3448.1000000000004</v>
      </c>
      <c r="P652">
        <f>Table1[[#This Row],[Quantity]]*Table1[[#This Row],[unit_price]]*Table1[[#This Row],[Discount]]</f>
        <v>549.9</v>
      </c>
      <c r="Q652" t="str">
        <f>VLOOKUP(E652,Products!$A$2:$E$23,2,0)</f>
        <v>Office Chair</v>
      </c>
      <c r="R652" t="str">
        <f>VLOOKUP(Table1[[#This Row],[Product ID]],Products!$A$2:$E$23,3,0)</f>
        <v>Furniture</v>
      </c>
      <c r="S652" t="str">
        <f>VLOOKUP(C652,Customers!$A$2:$F$201,4,0)</f>
        <v>Maharashtra</v>
      </c>
      <c r="T652" t="str">
        <f>VLOOKUP(Table1[[#This Row],[Customer ID]],Customers!$A$2:$F$201,5,0)</f>
        <v>Central</v>
      </c>
      <c r="U652" t="str">
        <f>VLOOKUP(Table1[[#This Row],[Customer ID]],Customers!$A$2:$F$201,6,0)</f>
        <v>Corporate</v>
      </c>
      <c r="V652" t="str">
        <f>TEXT(Table1[[#This Row],[Order Date]],"MMM")</f>
        <v>Feb</v>
      </c>
      <c r="W652" t="str">
        <f>TEXT(Table1[[#This Row],[Order Date]],"yyyy")</f>
        <v>2025</v>
      </c>
    </row>
    <row r="653" spans="1:23" x14ac:dyDescent="0.25">
      <c r="A653" s="2" t="s">
        <v>892</v>
      </c>
      <c r="B653" s="4">
        <v>45700</v>
      </c>
      <c r="C653" s="2" t="s">
        <v>84</v>
      </c>
      <c r="D653" s="2" t="str">
        <f>TEXT(Table1[[#This Row],[Order Date]],"mmmm")</f>
        <v>February</v>
      </c>
      <c r="E653" s="2" t="s">
        <v>135</v>
      </c>
      <c r="F653" s="2">
        <v>3</v>
      </c>
      <c r="G653" s="5">
        <v>0.2</v>
      </c>
      <c r="H653" s="2" t="s">
        <v>30</v>
      </c>
      <c r="I653" s="2" t="s">
        <v>38</v>
      </c>
      <c r="J653" s="2" t="s">
        <v>21</v>
      </c>
      <c r="K653">
        <f>VLOOKUP(E653,Products!$A$2:$E$23,5,0)</f>
        <v>220</v>
      </c>
      <c r="L653">
        <f>VLOOKUP(E653,Products!$A$2:$E$23,4,0)</f>
        <v>120</v>
      </c>
      <c r="M653" s="2">
        <f>K653*F653-Table1[[#This Row],[discount_amount]]</f>
        <v>528</v>
      </c>
      <c r="N653">
        <f t="shared" si="21"/>
        <v>360</v>
      </c>
      <c r="O653">
        <f t="shared" si="20"/>
        <v>168</v>
      </c>
      <c r="P653">
        <f>Table1[[#This Row],[Quantity]]*Table1[[#This Row],[unit_price]]*Table1[[#This Row],[Discount]]</f>
        <v>132</v>
      </c>
      <c r="Q653" t="str">
        <f>VLOOKUP(E653,Products!$A$2:$E$23,2,0)</f>
        <v>Stapler</v>
      </c>
      <c r="R653" t="str">
        <f>VLOOKUP(Table1[[#This Row],[Product ID]],Products!$A$2:$E$23,3,0)</f>
        <v>Office Supplies</v>
      </c>
      <c r="S653" t="str">
        <f>VLOOKUP(C653,Customers!$A$2:$F$201,4,0)</f>
        <v>Uttar Pradesh</v>
      </c>
      <c r="T653" t="str">
        <f>VLOOKUP(Table1[[#This Row],[Customer ID]],Customers!$A$2:$F$201,5,0)</f>
        <v>North</v>
      </c>
      <c r="U653" t="str">
        <f>VLOOKUP(Table1[[#This Row],[Customer ID]],Customers!$A$2:$F$201,6,0)</f>
        <v>Consumer</v>
      </c>
      <c r="V653" t="str">
        <f>TEXT(Table1[[#This Row],[Order Date]],"MMM")</f>
        <v>Feb</v>
      </c>
      <c r="W653" t="str">
        <f>TEXT(Table1[[#This Row],[Order Date]],"yyyy")</f>
        <v>2025</v>
      </c>
    </row>
    <row r="654" spans="1:23" x14ac:dyDescent="0.25">
      <c r="A654" s="2" t="s">
        <v>893</v>
      </c>
      <c r="B654" s="4">
        <v>45702</v>
      </c>
      <c r="C654" s="2" t="s">
        <v>166</v>
      </c>
      <c r="D654" s="2" t="str">
        <f>TEXT(Table1[[#This Row],[Order Date]],"mmmm")</f>
        <v>February</v>
      </c>
      <c r="E654" s="2" t="s">
        <v>29</v>
      </c>
      <c r="F654" s="2">
        <v>1</v>
      </c>
      <c r="G654" s="5">
        <v>0</v>
      </c>
      <c r="H654" s="2" t="s">
        <v>25</v>
      </c>
      <c r="I654" s="2" t="s">
        <v>20</v>
      </c>
      <c r="J654" s="2" t="s">
        <v>79</v>
      </c>
      <c r="K654">
        <f>VLOOKUP(E654,Products!$A$2:$E$23,5,0)</f>
        <v>599</v>
      </c>
      <c r="L654">
        <f>VLOOKUP(E654,Products!$A$2:$E$23,4,0)</f>
        <v>350</v>
      </c>
      <c r="M654" s="2">
        <f>K654*F654-Table1[[#This Row],[discount_amount]]</f>
        <v>599</v>
      </c>
      <c r="N654">
        <f t="shared" si="21"/>
        <v>350</v>
      </c>
      <c r="O654">
        <f t="shared" si="20"/>
        <v>249</v>
      </c>
      <c r="P654">
        <f>Table1[[#This Row],[Quantity]]*Table1[[#This Row],[unit_price]]*Table1[[#This Row],[Discount]]</f>
        <v>0</v>
      </c>
      <c r="Q654" t="str">
        <f>VLOOKUP(E654,Products!$A$2:$E$23,2,0)</f>
        <v>USB Flash Drive 64GB</v>
      </c>
      <c r="R654" t="str">
        <f>VLOOKUP(Table1[[#This Row],[Product ID]],Products!$A$2:$E$23,3,0)</f>
        <v>Electronics</v>
      </c>
      <c r="S654" t="str">
        <f>VLOOKUP(C654,Customers!$A$2:$F$201,4,0)</f>
        <v>Gujarat</v>
      </c>
      <c r="T654" t="str">
        <f>VLOOKUP(Table1[[#This Row],[Customer ID]],Customers!$A$2:$F$201,5,0)</f>
        <v>West</v>
      </c>
      <c r="U654" t="str">
        <f>VLOOKUP(Table1[[#This Row],[Customer ID]],Customers!$A$2:$F$201,6,0)</f>
        <v>Consumer</v>
      </c>
      <c r="V654" t="str">
        <f>TEXT(Table1[[#This Row],[Order Date]],"MMM")</f>
        <v>Feb</v>
      </c>
      <c r="W654" t="str">
        <f>TEXT(Table1[[#This Row],[Order Date]],"yyyy")</f>
        <v>2025</v>
      </c>
    </row>
    <row r="655" spans="1:23" x14ac:dyDescent="0.25">
      <c r="A655" s="2" t="s">
        <v>894</v>
      </c>
      <c r="B655" s="4">
        <v>45702</v>
      </c>
      <c r="C655" s="2" t="s">
        <v>258</v>
      </c>
      <c r="D655" s="2" t="str">
        <f>TEXT(Table1[[#This Row],[Order Date]],"mmmm")</f>
        <v>February</v>
      </c>
      <c r="E655" s="2" t="s">
        <v>66</v>
      </c>
      <c r="F655" s="2">
        <v>2</v>
      </c>
      <c r="G655" s="5">
        <v>0.05</v>
      </c>
      <c r="H655" s="2" t="s">
        <v>19</v>
      </c>
      <c r="I655" s="2" t="s">
        <v>31</v>
      </c>
      <c r="J655" s="2" t="s">
        <v>21</v>
      </c>
      <c r="K655">
        <f>VLOOKUP(E655,Products!$A$2:$E$23,5,0)</f>
        <v>1299</v>
      </c>
      <c r="L655">
        <f>VLOOKUP(E655,Products!$A$2:$E$23,4,0)</f>
        <v>800</v>
      </c>
      <c r="M655" s="2">
        <f>K655*F655-Table1[[#This Row],[discount_amount]]</f>
        <v>2468.1</v>
      </c>
      <c r="N655">
        <f t="shared" si="21"/>
        <v>1600</v>
      </c>
      <c r="O655">
        <f t="shared" si="20"/>
        <v>868.09999999999991</v>
      </c>
      <c r="P655">
        <f>Table1[[#This Row],[Quantity]]*Table1[[#This Row],[unit_price]]*Table1[[#This Row],[Discount]]</f>
        <v>129.9</v>
      </c>
      <c r="Q655" t="str">
        <f>VLOOKUP(E655,Products!$A$2:$E$23,2,0)</f>
        <v>Power Bank 10000mAh</v>
      </c>
      <c r="R655" t="str">
        <f>VLOOKUP(Table1[[#This Row],[Product ID]],Products!$A$2:$E$23,3,0)</f>
        <v>Electronics</v>
      </c>
      <c r="S655" t="str">
        <f>VLOOKUP(C655,Customers!$A$2:$F$201,4,0)</f>
        <v>Karnataka</v>
      </c>
      <c r="T655" t="str">
        <f>VLOOKUP(Table1[[#This Row],[Customer ID]],Customers!$A$2:$F$201,5,0)</f>
        <v>South</v>
      </c>
      <c r="U655" t="str">
        <f>VLOOKUP(Table1[[#This Row],[Customer ID]],Customers!$A$2:$F$201,6,0)</f>
        <v>Consumer</v>
      </c>
      <c r="V655" t="str">
        <f>TEXT(Table1[[#This Row],[Order Date]],"MMM")</f>
        <v>Feb</v>
      </c>
      <c r="W655" t="str">
        <f>TEXT(Table1[[#This Row],[Order Date]],"yyyy")</f>
        <v>2025</v>
      </c>
    </row>
    <row r="656" spans="1:23" x14ac:dyDescent="0.25">
      <c r="A656" s="2" t="s">
        <v>895</v>
      </c>
      <c r="B656" s="4">
        <v>45702</v>
      </c>
      <c r="C656" s="2" t="s">
        <v>896</v>
      </c>
      <c r="D656" s="2" t="str">
        <f>TEXT(Table1[[#This Row],[Order Date]],"mmmm")</f>
        <v>February</v>
      </c>
      <c r="E656" s="2" t="s">
        <v>135</v>
      </c>
      <c r="F656" s="2">
        <v>2</v>
      </c>
      <c r="G656" s="5">
        <v>0.05</v>
      </c>
      <c r="H656" s="2" t="s">
        <v>19</v>
      </c>
      <c r="I656" s="2" t="s">
        <v>20</v>
      </c>
      <c r="J656" s="2" t="s">
        <v>21</v>
      </c>
      <c r="K656">
        <f>VLOOKUP(E656,Products!$A$2:$E$23,5,0)</f>
        <v>220</v>
      </c>
      <c r="L656">
        <f>VLOOKUP(E656,Products!$A$2:$E$23,4,0)</f>
        <v>120</v>
      </c>
      <c r="M656" s="2">
        <f>K656*F656-Table1[[#This Row],[discount_amount]]</f>
        <v>418</v>
      </c>
      <c r="N656">
        <f t="shared" si="21"/>
        <v>240</v>
      </c>
      <c r="O656">
        <f t="shared" si="20"/>
        <v>178</v>
      </c>
      <c r="P656">
        <f>Table1[[#This Row],[Quantity]]*Table1[[#This Row],[unit_price]]*Table1[[#This Row],[Discount]]</f>
        <v>22</v>
      </c>
      <c r="Q656" t="str">
        <f>VLOOKUP(E656,Products!$A$2:$E$23,2,0)</f>
        <v>Stapler</v>
      </c>
      <c r="R656" t="str">
        <f>VLOOKUP(Table1[[#This Row],[Product ID]],Products!$A$2:$E$23,3,0)</f>
        <v>Office Supplies</v>
      </c>
      <c r="S656" t="str">
        <f>VLOOKUP(C656,Customers!$A$2:$F$201,4,0)</f>
        <v>Maharashtra</v>
      </c>
      <c r="T656" t="str">
        <f>VLOOKUP(Table1[[#This Row],[Customer ID]],Customers!$A$2:$F$201,5,0)</f>
        <v>West</v>
      </c>
      <c r="U656" t="str">
        <f>VLOOKUP(Table1[[#This Row],[Customer ID]],Customers!$A$2:$F$201,6,0)</f>
        <v>Consumer</v>
      </c>
      <c r="V656" t="str">
        <f>TEXT(Table1[[#This Row],[Order Date]],"MMM")</f>
        <v>Feb</v>
      </c>
      <c r="W656" t="str">
        <f>TEXT(Table1[[#This Row],[Order Date]],"yyyy")</f>
        <v>2025</v>
      </c>
    </row>
    <row r="657" spans="1:23" x14ac:dyDescent="0.25">
      <c r="A657" s="2" t="s">
        <v>897</v>
      </c>
      <c r="B657" s="4">
        <v>45702</v>
      </c>
      <c r="C657" s="2" t="s">
        <v>509</v>
      </c>
      <c r="D657" s="2" t="str">
        <f>TEXT(Table1[[#This Row],[Order Date]],"mmmm")</f>
        <v>February</v>
      </c>
      <c r="E657" s="2" t="s">
        <v>41</v>
      </c>
      <c r="F657" s="2">
        <v>2</v>
      </c>
      <c r="G657" s="5">
        <v>0.05</v>
      </c>
      <c r="H657" s="2" t="s">
        <v>19</v>
      </c>
      <c r="I657" s="2" t="s">
        <v>46</v>
      </c>
      <c r="J657" s="2" t="s">
        <v>21</v>
      </c>
      <c r="K657">
        <f>VLOOKUP(E657,Products!$A$2:$E$23,5,0)</f>
        <v>320</v>
      </c>
      <c r="L657">
        <f>VLOOKUP(E657,Products!$A$2:$E$23,4,0)</f>
        <v>220</v>
      </c>
      <c r="M657" s="2">
        <f>K657*F657-Table1[[#This Row],[discount_amount]]</f>
        <v>608</v>
      </c>
      <c r="N657">
        <f t="shared" si="21"/>
        <v>440</v>
      </c>
      <c r="O657">
        <f t="shared" si="20"/>
        <v>168</v>
      </c>
      <c r="P657">
        <f>Table1[[#This Row],[Quantity]]*Table1[[#This Row],[unit_price]]*Table1[[#This Row],[Discount]]</f>
        <v>32</v>
      </c>
      <c r="Q657" t="str">
        <f>VLOOKUP(E657,Products!$A$2:$E$23,2,0)</f>
        <v>A4 Paper Ream</v>
      </c>
      <c r="R657" t="str">
        <f>VLOOKUP(Table1[[#This Row],[Product ID]],Products!$A$2:$E$23,3,0)</f>
        <v>Office Supplies</v>
      </c>
      <c r="S657" t="str">
        <f>VLOOKUP(C657,Customers!$A$2:$F$201,4,0)</f>
        <v>Madhya Pradesh</v>
      </c>
      <c r="T657" t="str">
        <f>VLOOKUP(Table1[[#This Row],[Customer ID]],Customers!$A$2:$F$201,5,0)</f>
        <v>Central</v>
      </c>
      <c r="U657" t="str">
        <f>VLOOKUP(Table1[[#This Row],[Customer ID]],Customers!$A$2:$F$201,6,0)</f>
        <v>Consumer</v>
      </c>
      <c r="V657" t="str">
        <f>TEXT(Table1[[#This Row],[Order Date]],"MMM")</f>
        <v>Feb</v>
      </c>
      <c r="W657" t="str">
        <f>TEXT(Table1[[#This Row],[Order Date]],"yyyy")</f>
        <v>2025</v>
      </c>
    </row>
    <row r="658" spans="1:23" x14ac:dyDescent="0.25">
      <c r="A658" s="2" t="s">
        <v>898</v>
      </c>
      <c r="B658" s="4">
        <v>45703</v>
      </c>
      <c r="C658" s="2" t="s">
        <v>272</v>
      </c>
      <c r="D658" s="2" t="str">
        <f>TEXT(Table1[[#This Row],[Order Date]],"mmmm")</f>
        <v>February</v>
      </c>
      <c r="E658" s="2" t="s">
        <v>60</v>
      </c>
      <c r="F658" s="2">
        <v>5</v>
      </c>
      <c r="G658" s="5">
        <v>0.15</v>
      </c>
      <c r="H658" s="2" t="s">
        <v>30</v>
      </c>
      <c r="I658" s="2" t="s">
        <v>38</v>
      </c>
      <c r="J658" s="2" t="s">
        <v>21</v>
      </c>
      <c r="K658">
        <f>VLOOKUP(E658,Products!$A$2:$E$23,5,0)</f>
        <v>449</v>
      </c>
      <c r="L658">
        <f>VLOOKUP(E658,Products!$A$2:$E$23,4,0)</f>
        <v>260</v>
      </c>
      <c r="M658" s="2">
        <f>K658*F658-Table1[[#This Row],[discount_amount]]</f>
        <v>1908.25</v>
      </c>
      <c r="N658">
        <f t="shared" si="21"/>
        <v>1300</v>
      </c>
      <c r="O658">
        <f t="shared" si="20"/>
        <v>608.25</v>
      </c>
      <c r="P658">
        <f>Table1[[#This Row],[Quantity]]*Table1[[#This Row],[unit_price]]*Table1[[#This Row],[Discount]]</f>
        <v>336.75</v>
      </c>
      <c r="Q658" t="str">
        <f>VLOOKUP(E658,Products!$A$2:$E$23,2,0)</f>
        <v>Desk Organizer</v>
      </c>
      <c r="R658" t="str">
        <f>VLOOKUP(Table1[[#This Row],[Product ID]],Products!$A$2:$E$23,3,0)</f>
        <v>Office Supplies</v>
      </c>
      <c r="S658" t="str">
        <f>VLOOKUP(C658,Customers!$A$2:$F$201,4,0)</f>
        <v>Gujarat</v>
      </c>
      <c r="T658" t="str">
        <f>VLOOKUP(Table1[[#This Row],[Customer ID]],Customers!$A$2:$F$201,5,0)</f>
        <v>West</v>
      </c>
      <c r="U658" t="str">
        <f>VLOOKUP(Table1[[#This Row],[Customer ID]],Customers!$A$2:$F$201,6,0)</f>
        <v>Consumer</v>
      </c>
      <c r="V658" t="str">
        <f>TEXT(Table1[[#This Row],[Order Date]],"MMM")</f>
        <v>Feb</v>
      </c>
      <c r="W658" t="str">
        <f>TEXT(Table1[[#This Row],[Order Date]],"yyyy")</f>
        <v>2025</v>
      </c>
    </row>
    <row r="659" spans="1:23" x14ac:dyDescent="0.25">
      <c r="A659" s="2" t="s">
        <v>899</v>
      </c>
      <c r="B659" s="4">
        <v>45704</v>
      </c>
      <c r="C659" s="2" t="s">
        <v>148</v>
      </c>
      <c r="D659" s="2" t="str">
        <f>TEXT(Table1[[#This Row],[Order Date]],"mmmm")</f>
        <v>February</v>
      </c>
      <c r="E659" s="2" t="s">
        <v>91</v>
      </c>
      <c r="F659" s="2">
        <v>4</v>
      </c>
      <c r="G659" s="5">
        <v>0</v>
      </c>
      <c r="H659" s="2" t="s">
        <v>25</v>
      </c>
      <c r="I659" s="2" t="s">
        <v>38</v>
      </c>
      <c r="J659" s="2" t="s">
        <v>21</v>
      </c>
      <c r="K659">
        <f>VLOOKUP(E659,Products!$A$2:$E$23,5,0)</f>
        <v>1199</v>
      </c>
      <c r="L659">
        <f>VLOOKUP(E659,Products!$A$2:$E$23,4,0)</f>
        <v>600</v>
      </c>
      <c r="M659" s="2">
        <f>K659*F659-Table1[[#This Row],[discount_amount]]</f>
        <v>4796</v>
      </c>
      <c r="N659">
        <f t="shared" si="21"/>
        <v>2400</v>
      </c>
      <c r="O659">
        <f t="shared" si="20"/>
        <v>2396</v>
      </c>
      <c r="P659">
        <f>Table1[[#This Row],[Quantity]]*Table1[[#This Row],[unit_price]]*Table1[[#This Row],[Discount]]</f>
        <v>0</v>
      </c>
      <c r="Q659" t="str">
        <f>VLOOKUP(E659,Products!$A$2:$E$23,2,0)</f>
        <v>Formal Shirt</v>
      </c>
      <c r="R659" t="str">
        <f>VLOOKUP(Table1[[#This Row],[Product ID]],Products!$A$2:$E$23,3,0)</f>
        <v>Clothing</v>
      </c>
      <c r="S659" t="str">
        <f>VLOOKUP(C659,Customers!$A$2:$F$201,4,0)</f>
        <v>Uttar Pradesh</v>
      </c>
      <c r="T659" t="str">
        <f>VLOOKUP(Table1[[#This Row],[Customer ID]],Customers!$A$2:$F$201,5,0)</f>
        <v>North</v>
      </c>
      <c r="U659" t="str">
        <f>VLOOKUP(Table1[[#This Row],[Customer ID]],Customers!$A$2:$F$201,6,0)</f>
        <v>Corporate</v>
      </c>
      <c r="V659" t="str">
        <f>TEXT(Table1[[#This Row],[Order Date]],"MMM")</f>
        <v>Feb</v>
      </c>
      <c r="W659" t="str">
        <f>TEXT(Table1[[#This Row],[Order Date]],"yyyy")</f>
        <v>2025</v>
      </c>
    </row>
    <row r="660" spans="1:23" x14ac:dyDescent="0.25">
      <c r="A660" s="2" t="s">
        <v>900</v>
      </c>
      <c r="B660" s="4">
        <v>45705</v>
      </c>
      <c r="C660" s="2" t="s">
        <v>28</v>
      </c>
      <c r="D660" s="2" t="str">
        <f>TEXT(Table1[[#This Row],[Order Date]],"mmmm")</f>
        <v>February</v>
      </c>
      <c r="E660" s="2" t="s">
        <v>66</v>
      </c>
      <c r="F660" s="2">
        <v>10</v>
      </c>
      <c r="G660" s="5">
        <v>0.2</v>
      </c>
      <c r="H660" s="2" t="s">
        <v>19</v>
      </c>
      <c r="I660" s="2" t="s">
        <v>20</v>
      </c>
      <c r="J660" s="2" t="s">
        <v>42</v>
      </c>
      <c r="K660">
        <f>VLOOKUP(E660,Products!$A$2:$E$23,5,0)</f>
        <v>1299</v>
      </c>
      <c r="L660">
        <f>VLOOKUP(E660,Products!$A$2:$E$23,4,0)</f>
        <v>800</v>
      </c>
      <c r="M660" s="2">
        <f>K660*F660-Table1[[#This Row],[discount_amount]]</f>
        <v>10392</v>
      </c>
      <c r="N660">
        <f t="shared" si="21"/>
        <v>8000</v>
      </c>
      <c r="O660">
        <f t="shared" si="20"/>
        <v>2392</v>
      </c>
      <c r="P660">
        <f>Table1[[#This Row],[Quantity]]*Table1[[#This Row],[unit_price]]*Table1[[#This Row],[Discount]]</f>
        <v>2598</v>
      </c>
      <c r="Q660" t="str">
        <f>VLOOKUP(E660,Products!$A$2:$E$23,2,0)</f>
        <v>Power Bank 10000mAh</v>
      </c>
      <c r="R660" t="str">
        <f>VLOOKUP(Table1[[#This Row],[Product ID]],Products!$A$2:$E$23,3,0)</f>
        <v>Electronics</v>
      </c>
      <c r="S660" t="str">
        <f>VLOOKUP(C660,Customers!$A$2:$F$201,4,0)</f>
        <v>Maharashtra</v>
      </c>
      <c r="T660" t="str">
        <f>VLOOKUP(Table1[[#This Row],[Customer ID]],Customers!$A$2:$F$201,5,0)</f>
        <v>West</v>
      </c>
      <c r="U660" t="str">
        <f>VLOOKUP(Table1[[#This Row],[Customer ID]],Customers!$A$2:$F$201,6,0)</f>
        <v>Consumer</v>
      </c>
      <c r="V660" t="str">
        <f>TEXT(Table1[[#This Row],[Order Date]],"MMM")</f>
        <v>Feb</v>
      </c>
      <c r="W660" t="str">
        <f>TEXT(Table1[[#This Row],[Order Date]],"yyyy")</f>
        <v>2025</v>
      </c>
    </row>
    <row r="661" spans="1:23" x14ac:dyDescent="0.25">
      <c r="A661" s="2" t="s">
        <v>901</v>
      </c>
      <c r="B661" s="4">
        <v>45706</v>
      </c>
      <c r="C661" s="2" t="s">
        <v>902</v>
      </c>
      <c r="D661" s="2" t="str">
        <f>TEXT(Table1[[#This Row],[Order Date]],"mmmm")</f>
        <v>February</v>
      </c>
      <c r="E661" s="2" t="s">
        <v>60</v>
      </c>
      <c r="F661" s="2">
        <v>10</v>
      </c>
      <c r="G661" s="5">
        <v>0.15</v>
      </c>
      <c r="H661" s="2" t="s">
        <v>19</v>
      </c>
      <c r="I661" s="2" t="s">
        <v>38</v>
      </c>
      <c r="J661" s="2" t="s">
        <v>21</v>
      </c>
      <c r="K661">
        <f>VLOOKUP(E661,Products!$A$2:$E$23,5,0)</f>
        <v>449</v>
      </c>
      <c r="L661">
        <f>VLOOKUP(E661,Products!$A$2:$E$23,4,0)</f>
        <v>260</v>
      </c>
      <c r="M661" s="2">
        <f>K661*F661-Table1[[#This Row],[discount_amount]]</f>
        <v>3816.5</v>
      </c>
      <c r="N661">
        <f t="shared" si="21"/>
        <v>2600</v>
      </c>
      <c r="O661">
        <f t="shared" si="20"/>
        <v>1216.5</v>
      </c>
      <c r="P661">
        <f>Table1[[#This Row],[Quantity]]*Table1[[#This Row],[unit_price]]*Table1[[#This Row],[Discount]]</f>
        <v>673.5</v>
      </c>
      <c r="Q661" t="str">
        <f>VLOOKUP(E661,Products!$A$2:$E$23,2,0)</f>
        <v>Desk Organizer</v>
      </c>
      <c r="R661" t="str">
        <f>VLOOKUP(Table1[[#This Row],[Product ID]],Products!$A$2:$E$23,3,0)</f>
        <v>Office Supplies</v>
      </c>
      <c r="S661" t="str">
        <f>VLOOKUP(C661,Customers!$A$2:$F$201,4,0)</f>
        <v>Gujarat</v>
      </c>
      <c r="T661" t="str">
        <f>VLOOKUP(Table1[[#This Row],[Customer ID]],Customers!$A$2:$F$201,5,0)</f>
        <v>West</v>
      </c>
      <c r="U661" t="str">
        <f>VLOOKUP(Table1[[#This Row],[Customer ID]],Customers!$A$2:$F$201,6,0)</f>
        <v>Consumer</v>
      </c>
      <c r="V661" t="str">
        <f>TEXT(Table1[[#This Row],[Order Date]],"MMM")</f>
        <v>Feb</v>
      </c>
      <c r="W661" t="str">
        <f>TEXT(Table1[[#This Row],[Order Date]],"yyyy")</f>
        <v>2025</v>
      </c>
    </row>
    <row r="662" spans="1:23" x14ac:dyDescent="0.25">
      <c r="A662" s="2" t="s">
        <v>903</v>
      </c>
      <c r="B662" s="4">
        <v>45706</v>
      </c>
      <c r="C662" s="2" t="s">
        <v>462</v>
      </c>
      <c r="D662" s="2" t="str">
        <f>TEXT(Table1[[#This Row],[Order Date]],"mmmm")</f>
        <v>February</v>
      </c>
      <c r="E662" s="2" t="s">
        <v>45</v>
      </c>
      <c r="F662" s="2">
        <v>10</v>
      </c>
      <c r="G662" s="5">
        <v>0.1</v>
      </c>
      <c r="H662" s="2" t="s">
        <v>30</v>
      </c>
      <c r="I662" s="2" t="s">
        <v>26</v>
      </c>
      <c r="J662" s="2" t="s">
        <v>21</v>
      </c>
      <c r="K662">
        <f>VLOOKUP(E662,Products!$A$2:$E$23,5,0)</f>
        <v>899</v>
      </c>
      <c r="L662">
        <f>VLOOKUP(E662,Products!$A$2:$E$23,4,0)</f>
        <v>450</v>
      </c>
      <c r="M662" s="2">
        <f>K662*F662-Table1[[#This Row],[discount_amount]]</f>
        <v>8091</v>
      </c>
      <c r="N662">
        <f t="shared" si="21"/>
        <v>4500</v>
      </c>
      <c r="O662">
        <f t="shared" si="20"/>
        <v>3591</v>
      </c>
      <c r="P662">
        <f>Table1[[#This Row],[Quantity]]*Table1[[#This Row],[unit_price]]*Table1[[#This Row],[Discount]]</f>
        <v>899</v>
      </c>
      <c r="Q662" t="str">
        <f>VLOOKUP(E662,Products!$A$2:$E$23,2,0)</f>
        <v>Track Pants</v>
      </c>
      <c r="R662" t="str">
        <f>VLOOKUP(Table1[[#This Row],[Product ID]],Products!$A$2:$E$23,3,0)</f>
        <v>Clothing</v>
      </c>
      <c r="S662" t="str">
        <f>VLOOKUP(C662,Customers!$A$2:$F$201,4,0)</f>
        <v>Kerala</v>
      </c>
      <c r="T662" t="str">
        <f>VLOOKUP(Table1[[#This Row],[Customer ID]],Customers!$A$2:$F$201,5,0)</f>
        <v>South</v>
      </c>
      <c r="U662" t="str">
        <f>VLOOKUP(Table1[[#This Row],[Customer ID]],Customers!$A$2:$F$201,6,0)</f>
        <v>Consumer</v>
      </c>
      <c r="V662" t="str">
        <f>TEXT(Table1[[#This Row],[Order Date]],"MMM")</f>
        <v>Feb</v>
      </c>
      <c r="W662" t="str">
        <f>TEXT(Table1[[#This Row],[Order Date]],"yyyy")</f>
        <v>2025</v>
      </c>
    </row>
    <row r="663" spans="1:23" x14ac:dyDescent="0.25">
      <c r="A663" s="2" t="s">
        <v>904</v>
      </c>
      <c r="B663" s="4">
        <v>45709</v>
      </c>
      <c r="C663" s="2" t="s">
        <v>905</v>
      </c>
      <c r="D663" s="2" t="str">
        <f>TEXT(Table1[[#This Row],[Order Date]],"mmmm")</f>
        <v>February</v>
      </c>
      <c r="E663" s="2" t="s">
        <v>121</v>
      </c>
      <c r="F663" s="2">
        <v>1</v>
      </c>
      <c r="G663" s="5">
        <v>0.05</v>
      </c>
      <c r="H663" s="2" t="s">
        <v>19</v>
      </c>
      <c r="I663" s="2" t="s">
        <v>31</v>
      </c>
      <c r="J663" s="2" t="s">
        <v>21</v>
      </c>
      <c r="K663">
        <f>VLOOKUP(E663,Products!$A$2:$E$23,5,0)</f>
        <v>499</v>
      </c>
      <c r="L663">
        <f>VLOOKUP(E663,Products!$A$2:$E$23,4,0)</f>
        <v>250</v>
      </c>
      <c r="M663" s="2">
        <f>K663*F663-Table1[[#This Row],[discount_amount]]</f>
        <v>474.05</v>
      </c>
      <c r="N663">
        <f t="shared" si="21"/>
        <v>250</v>
      </c>
      <c r="O663">
        <f t="shared" si="20"/>
        <v>224.05</v>
      </c>
      <c r="P663">
        <f>Table1[[#This Row],[Quantity]]*Table1[[#This Row],[unit_price]]*Table1[[#This Row],[Discount]]</f>
        <v>24.950000000000003</v>
      </c>
      <c r="Q663" t="str">
        <f>VLOOKUP(E663,Products!$A$2:$E$23,2,0)</f>
        <v>Cotton T-Shirt</v>
      </c>
      <c r="R663" t="str">
        <f>VLOOKUP(Table1[[#This Row],[Product ID]],Products!$A$2:$E$23,3,0)</f>
        <v>Clothing</v>
      </c>
      <c r="S663" t="str">
        <f>VLOOKUP(C663,Customers!$A$2:$F$201,4,0)</f>
        <v>Chandigarh</v>
      </c>
      <c r="T663" t="str">
        <f>VLOOKUP(Table1[[#This Row],[Customer ID]],Customers!$A$2:$F$201,5,0)</f>
        <v>North</v>
      </c>
      <c r="U663" t="str">
        <f>VLOOKUP(Table1[[#This Row],[Customer ID]],Customers!$A$2:$F$201,6,0)</f>
        <v>Consumer</v>
      </c>
      <c r="V663" t="str">
        <f>TEXT(Table1[[#This Row],[Order Date]],"MMM")</f>
        <v>Feb</v>
      </c>
      <c r="W663" t="str">
        <f>TEXT(Table1[[#This Row],[Order Date]],"yyyy")</f>
        <v>2025</v>
      </c>
    </row>
    <row r="664" spans="1:23" x14ac:dyDescent="0.25">
      <c r="A664" s="2" t="s">
        <v>906</v>
      </c>
      <c r="B664" s="4">
        <v>45709</v>
      </c>
      <c r="C664" s="2" t="s">
        <v>402</v>
      </c>
      <c r="D664" s="2" t="str">
        <f>TEXT(Table1[[#This Row],[Order Date]],"mmmm")</f>
        <v>February</v>
      </c>
      <c r="E664" s="2" t="s">
        <v>24</v>
      </c>
      <c r="F664" s="2">
        <v>4</v>
      </c>
      <c r="G664" s="5">
        <v>0.2</v>
      </c>
      <c r="H664" s="2" t="s">
        <v>19</v>
      </c>
      <c r="I664" s="2" t="s">
        <v>46</v>
      </c>
      <c r="J664" s="2" t="s">
        <v>21</v>
      </c>
      <c r="K664">
        <f>VLOOKUP(E664,Products!$A$2:$E$23,5,0)</f>
        <v>899</v>
      </c>
      <c r="L664">
        <f>VLOOKUP(E664,Products!$A$2:$E$23,4,0)</f>
        <v>500</v>
      </c>
      <c r="M664" s="2">
        <f>K664*F664-Table1[[#This Row],[discount_amount]]</f>
        <v>2876.8</v>
      </c>
      <c r="N664">
        <f t="shared" si="21"/>
        <v>2000</v>
      </c>
      <c r="O664">
        <f t="shared" si="20"/>
        <v>876.80000000000018</v>
      </c>
      <c r="P664">
        <f>Table1[[#This Row],[Quantity]]*Table1[[#This Row],[unit_price]]*Table1[[#This Row],[Discount]]</f>
        <v>719.2</v>
      </c>
      <c r="Q664" t="str">
        <f>VLOOKUP(E664,Products!$A$2:$E$23,2,0)</f>
        <v>Monitor Stand</v>
      </c>
      <c r="R664" t="str">
        <f>VLOOKUP(Table1[[#This Row],[Product ID]],Products!$A$2:$E$23,3,0)</f>
        <v>Furniture</v>
      </c>
      <c r="S664" t="str">
        <f>VLOOKUP(C664,Customers!$A$2:$F$201,4,0)</f>
        <v>Telangana</v>
      </c>
      <c r="T664" t="str">
        <f>VLOOKUP(Table1[[#This Row],[Customer ID]],Customers!$A$2:$F$201,5,0)</f>
        <v>South</v>
      </c>
      <c r="U664" t="str">
        <f>VLOOKUP(Table1[[#This Row],[Customer ID]],Customers!$A$2:$F$201,6,0)</f>
        <v>Home Office</v>
      </c>
      <c r="V664" t="str">
        <f>TEXT(Table1[[#This Row],[Order Date]],"MMM")</f>
        <v>Feb</v>
      </c>
      <c r="W664" t="str">
        <f>TEXT(Table1[[#This Row],[Order Date]],"yyyy")</f>
        <v>2025</v>
      </c>
    </row>
    <row r="665" spans="1:23" x14ac:dyDescent="0.25">
      <c r="A665" s="2" t="s">
        <v>907</v>
      </c>
      <c r="B665" s="4">
        <v>45710</v>
      </c>
      <c r="C665" s="2" t="s">
        <v>320</v>
      </c>
      <c r="D665" s="2" t="str">
        <f>TEXT(Table1[[#This Row],[Order Date]],"mmmm")</f>
        <v>February</v>
      </c>
      <c r="E665" s="2" t="s">
        <v>127</v>
      </c>
      <c r="F665" s="2">
        <v>3</v>
      </c>
      <c r="G665" s="5">
        <v>0.1</v>
      </c>
      <c r="H665" s="2" t="s">
        <v>30</v>
      </c>
      <c r="I665" s="2" t="s">
        <v>20</v>
      </c>
      <c r="J665" s="2" t="s">
        <v>21</v>
      </c>
      <c r="K665">
        <f>VLOOKUP(E665,Products!$A$2:$E$23,5,0)</f>
        <v>1999</v>
      </c>
      <c r="L665">
        <f>VLOOKUP(E665,Products!$A$2:$E$23,4,0)</f>
        <v>1200</v>
      </c>
      <c r="M665" s="2">
        <f>K665*F665-Table1[[#This Row],[discount_amount]]</f>
        <v>5397.3</v>
      </c>
      <c r="N665">
        <f t="shared" si="21"/>
        <v>3600</v>
      </c>
      <c r="O665">
        <f t="shared" si="20"/>
        <v>1797.3000000000002</v>
      </c>
      <c r="P665">
        <f>Table1[[#This Row],[Quantity]]*Table1[[#This Row],[unit_price]]*Table1[[#This Row],[Discount]]</f>
        <v>599.70000000000005</v>
      </c>
      <c r="Q665" t="str">
        <f>VLOOKUP(E665,Products!$A$2:$E$23,2,0)</f>
        <v>Bluetooth Speaker</v>
      </c>
      <c r="R665" t="str">
        <f>VLOOKUP(Table1[[#This Row],[Product ID]],Products!$A$2:$E$23,3,0)</f>
        <v>Electronics</v>
      </c>
      <c r="S665" t="str">
        <f>VLOOKUP(C665,Customers!$A$2:$F$201,4,0)</f>
        <v>Gujarat</v>
      </c>
      <c r="T665" t="str">
        <f>VLOOKUP(Table1[[#This Row],[Customer ID]],Customers!$A$2:$F$201,5,0)</f>
        <v>West</v>
      </c>
      <c r="U665" t="str">
        <f>VLOOKUP(Table1[[#This Row],[Customer ID]],Customers!$A$2:$F$201,6,0)</f>
        <v>Consumer</v>
      </c>
      <c r="V665" t="str">
        <f>TEXT(Table1[[#This Row],[Order Date]],"MMM")</f>
        <v>Feb</v>
      </c>
      <c r="W665" t="str">
        <f>TEXT(Table1[[#This Row],[Order Date]],"yyyy")</f>
        <v>2025</v>
      </c>
    </row>
    <row r="666" spans="1:23" x14ac:dyDescent="0.25">
      <c r="A666" s="2" t="s">
        <v>908</v>
      </c>
      <c r="B666" s="4">
        <v>45710</v>
      </c>
      <c r="C666" s="2" t="s">
        <v>243</v>
      </c>
      <c r="D666" s="2" t="str">
        <f>TEXT(Table1[[#This Row],[Order Date]],"mmmm")</f>
        <v>February</v>
      </c>
      <c r="E666" s="2" t="s">
        <v>91</v>
      </c>
      <c r="F666" s="2">
        <v>1</v>
      </c>
      <c r="G666" s="5">
        <v>0.1</v>
      </c>
      <c r="H666" s="2" t="s">
        <v>25</v>
      </c>
      <c r="I666" s="2" t="s">
        <v>31</v>
      </c>
      <c r="J666" s="2" t="s">
        <v>21</v>
      </c>
      <c r="K666">
        <f>VLOOKUP(E666,Products!$A$2:$E$23,5,0)</f>
        <v>1199</v>
      </c>
      <c r="L666">
        <f>VLOOKUP(E666,Products!$A$2:$E$23,4,0)</f>
        <v>600</v>
      </c>
      <c r="M666" s="2">
        <f>K666*F666-Table1[[#This Row],[discount_amount]]</f>
        <v>1079.0999999999999</v>
      </c>
      <c r="N666">
        <f t="shared" si="21"/>
        <v>600</v>
      </c>
      <c r="O666">
        <f t="shared" si="20"/>
        <v>479.09999999999991</v>
      </c>
      <c r="P666">
        <f>Table1[[#This Row],[Quantity]]*Table1[[#This Row],[unit_price]]*Table1[[#This Row],[Discount]]</f>
        <v>119.9</v>
      </c>
      <c r="Q666" t="str">
        <f>VLOOKUP(E666,Products!$A$2:$E$23,2,0)</f>
        <v>Formal Shirt</v>
      </c>
      <c r="R666" t="str">
        <f>VLOOKUP(Table1[[#This Row],[Product ID]],Products!$A$2:$E$23,3,0)</f>
        <v>Clothing</v>
      </c>
      <c r="S666" t="str">
        <f>VLOOKUP(C666,Customers!$A$2:$F$201,4,0)</f>
        <v>Maharashtra</v>
      </c>
      <c r="T666" t="str">
        <f>VLOOKUP(Table1[[#This Row],[Customer ID]],Customers!$A$2:$F$201,5,0)</f>
        <v>Central</v>
      </c>
      <c r="U666" t="str">
        <f>VLOOKUP(Table1[[#This Row],[Customer ID]],Customers!$A$2:$F$201,6,0)</f>
        <v>Home Office</v>
      </c>
      <c r="V666" t="str">
        <f>TEXT(Table1[[#This Row],[Order Date]],"MMM")</f>
        <v>Feb</v>
      </c>
      <c r="W666" t="str">
        <f>TEXT(Table1[[#This Row],[Order Date]],"yyyy")</f>
        <v>2025</v>
      </c>
    </row>
    <row r="667" spans="1:23" x14ac:dyDescent="0.25">
      <c r="A667" s="2" t="s">
        <v>909</v>
      </c>
      <c r="B667" s="4">
        <v>45710</v>
      </c>
      <c r="C667" s="2" t="s">
        <v>120</v>
      </c>
      <c r="D667" s="2" t="str">
        <f>TEXT(Table1[[#This Row],[Order Date]],"mmmm")</f>
        <v>February</v>
      </c>
      <c r="E667" s="2" t="s">
        <v>49</v>
      </c>
      <c r="F667" s="2">
        <v>6</v>
      </c>
      <c r="G667" s="5">
        <v>0</v>
      </c>
      <c r="H667" s="2" t="s">
        <v>19</v>
      </c>
      <c r="I667" s="2" t="s">
        <v>26</v>
      </c>
      <c r="J667" s="2" t="s">
        <v>21</v>
      </c>
      <c r="K667">
        <f>VLOOKUP(E667,Products!$A$2:$E$23,5,0)</f>
        <v>700</v>
      </c>
      <c r="L667">
        <f>VLOOKUP(E667,Products!$A$2:$E$23,4,0)</f>
        <v>450</v>
      </c>
      <c r="M667" s="2">
        <f>K667*F667-Table1[[#This Row],[discount_amount]]</f>
        <v>4200</v>
      </c>
      <c r="N667">
        <f t="shared" si="21"/>
        <v>2700</v>
      </c>
      <c r="O667">
        <f t="shared" si="20"/>
        <v>1500</v>
      </c>
      <c r="P667">
        <f>Table1[[#This Row],[Quantity]]*Table1[[#This Row],[unit_price]]*Table1[[#This Row],[Discount]]</f>
        <v>0</v>
      </c>
      <c r="Q667" t="str">
        <f>VLOOKUP(E667,Products!$A$2:$E$23,2,0)</f>
        <v>Wireless Mouse</v>
      </c>
      <c r="R667" t="str">
        <f>VLOOKUP(Table1[[#This Row],[Product ID]],Products!$A$2:$E$23,3,0)</f>
        <v>Electronics</v>
      </c>
      <c r="S667" t="str">
        <f>VLOOKUP(C667,Customers!$A$2:$F$201,4,0)</f>
        <v>Madhya Pradesh</v>
      </c>
      <c r="T667" t="str">
        <f>VLOOKUP(Table1[[#This Row],[Customer ID]],Customers!$A$2:$F$201,5,0)</f>
        <v>Central</v>
      </c>
      <c r="U667" t="str">
        <f>VLOOKUP(Table1[[#This Row],[Customer ID]],Customers!$A$2:$F$201,6,0)</f>
        <v>Corporate</v>
      </c>
      <c r="V667" t="str">
        <f>TEXT(Table1[[#This Row],[Order Date]],"MMM")</f>
        <v>Feb</v>
      </c>
      <c r="W667" t="str">
        <f>TEXT(Table1[[#This Row],[Order Date]],"yyyy")</f>
        <v>2025</v>
      </c>
    </row>
    <row r="668" spans="1:23" x14ac:dyDescent="0.25">
      <c r="A668" s="2" t="s">
        <v>910</v>
      </c>
      <c r="B668" s="4">
        <v>45710</v>
      </c>
      <c r="C668" s="2" t="s">
        <v>40</v>
      </c>
      <c r="D668" s="2" t="str">
        <f>TEXT(Table1[[#This Row],[Order Date]],"mmmm")</f>
        <v>February</v>
      </c>
      <c r="E668" s="2" t="s">
        <v>66</v>
      </c>
      <c r="F668" s="2">
        <v>3</v>
      </c>
      <c r="G668" s="5">
        <v>0</v>
      </c>
      <c r="H668" s="2" t="s">
        <v>25</v>
      </c>
      <c r="I668" s="2" t="s">
        <v>38</v>
      </c>
      <c r="J668" s="2" t="s">
        <v>21</v>
      </c>
      <c r="K668">
        <f>VLOOKUP(E668,Products!$A$2:$E$23,5,0)</f>
        <v>1299</v>
      </c>
      <c r="L668">
        <f>VLOOKUP(E668,Products!$A$2:$E$23,4,0)</f>
        <v>800</v>
      </c>
      <c r="M668" s="2">
        <f>K668*F668-Table1[[#This Row],[discount_amount]]</f>
        <v>3897</v>
      </c>
      <c r="N668">
        <f t="shared" si="21"/>
        <v>2400</v>
      </c>
      <c r="O668">
        <f t="shared" si="20"/>
        <v>1497</v>
      </c>
      <c r="P668">
        <f>Table1[[#This Row],[Quantity]]*Table1[[#This Row],[unit_price]]*Table1[[#This Row],[Discount]]</f>
        <v>0</v>
      </c>
      <c r="Q668" t="str">
        <f>VLOOKUP(E668,Products!$A$2:$E$23,2,0)</f>
        <v>Power Bank 10000mAh</v>
      </c>
      <c r="R668" t="str">
        <f>VLOOKUP(Table1[[#This Row],[Product ID]],Products!$A$2:$E$23,3,0)</f>
        <v>Electronics</v>
      </c>
      <c r="S668" t="str">
        <f>VLOOKUP(C668,Customers!$A$2:$F$201,4,0)</f>
        <v>Telangana</v>
      </c>
      <c r="T668" t="str">
        <f>VLOOKUP(Table1[[#This Row],[Customer ID]],Customers!$A$2:$F$201,5,0)</f>
        <v>South</v>
      </c>
      <c r="U668" t="str">
        <f>VLOOKUP(Table1[[#This Row],[Customer ID]],Customers!$A$2:$F$201,6,0)</f>
        <v>Corporate</v>
      </c>
      <c r="V668" t="str">
        <f>TEXT(Table1[[#This Row],[Order Date]],"MMM")</f>
        <v>Feb</v>
      </c>
      <c r="W668" t="str">
        <f>TEXT(Table1[[#This Row],[Order Date]],"yyyy")</f>
        <v>2025</v>
      </c>
    </row>
    <row r="669" spans="1:23" x14ac:dyDescent="0.25">
      <c r="A669" s="2" t="s">
        <v>911</v>
      </c>
      <c r="B669" s="4">
        <v>45711</v>
      </c>
      <c r="C669" s="2" t="s">
        <v>70</v>
      </c>
      <c r="D669" s="2" t="str">
        <f>TEXT(Table1[[#This Row],[Order Date]],"mmmm")</f>
        <v>February</v>
      </c>
      <c r="E669" s="2" t="s">
        <v>37</v>
      </c>
      <c r="F669" s="2">
        <v>2</v>
      </c>
      <c r="G669" s="5">
        <v>0.1</v>
      </c>
      <c r="H669" s="2" t="s">
        <v>30</v>
      </c>
      <c r="I669" s="2" t="s">
        <v>26</v>
      </c>
      <c r="J669" s="2" t="s">
        <v>21</v>
      </c>
      <c r="K669">
        <f>VLOOKUP(E669,Products!$A$2:$E$23,5,0)</f>
        <v>1799</v>
      </c>
      <c r="L669">
        <f>VLOOKUP(E669,Products!$A$2:$E$23,4,0)</f>
        <v>900</v>
      </c>
      <c r="M669" s="2">
        <f>K669*F669-Table1[[#This Row],[discount_amount]]</f>
        <v>3238.2</v>
      </c>
      <c r="N669">
        <f t="shared" si="21"/>
        <v>1800</v>
      </c>
      <c r="O669">
        <f t="shared" si="20"/>
        <v>1438.1999999999998</v>
      </c>
      <c r="P669">
        <f>Table1[[#This Row],[Quantity]]*Table1[[#This Row],[unit_price]]*Table1[[#This Row],[Discount]]</f>
        <v>359.8</v>
      </c>
      <c r="Q669" t="str">
        <f>VLOOKUP(E669,Products!$A$2:$E$23,2,0)</f>
        <v>Denim Jeans</v>
      </c>
      <c r="R669" t="str">
        <f>VLOOKUP(Table1[[#This Row],[Product ID]],Products!$A$2:$E$23,3,0)</f>
        <v>Clothing</v>
      </c>
      <c r="S669" t="str">
        <f>VLOOKUP(C669,Customers!$A$2:$F$201,4,0)</f>
        <v>Delhi</v>
      </c>
      <c r="T669" t="str">
        <f>VLOOKUP(Table1[[#This Row],[Customer ID]],Customers!$A$2:$F$201,5,0)</f>
        <v>North</v>
      </c>
      <c r="U669" t="str">
        <f>VLOOKUP(Table1[[#This Row],[Customer ID]],Customers!$A$2:$F$201,6,0)</f>
        <v>Home Office</v>
      </c>
      <c r="V669" t="str">
        <f>TEXT(Table1[[#This Row],[Order Date]],"MMM")</f>
        <v>Feb</v>
      </c>
      <c r="W669" t="str">
        <f>TEXT(Table1[[#This Row],[Order Date]],"yyyy")</f>
        <v>2025</v>
      </c>
    </row>
    <row r="670" spans="1:23" x14ac:dyDescent="0.25">
      <c r="A670" s="2" t="s">
        <v>912</v>
      </c>
      <c r="B670" s="4">
        <v>45712</v>
      </c>
      <c r="C670" s="2" t="s">
        <v>437</v>
      </c>
      <c r="D670" s="2" t="str">
        <f>TEXT(Table1[[#This Row],[Order Date]],"mmmm")</f>
        <v>February</v>
      </c>
      <c r="E670" s="2" t="s">
        <v>73</v>
      </c>
      <c r="F670" s="2">
        <v>2</v>
      </c>
      <c r="G670" s="5">
        <v>0.1</v>
      </c>
      <c r="H670" s="2" t="s">
        <v>19</v>
      </c>
      <c r="I670" s="2" t="s">
        <v>38</v>
      </c>
      <c r="J670" s="2" t="s">
        <v>79</v>
      </c>
      <c r="K670">
        <f>VLOOKUP(E670,Products!$A$2:$E$23,5,0)</f>
        <v>6499</v>
      </c>
      <c r="L670">
        <f>VLOOKUP(E670,Products!$A$2:$E$23,4,0)</f>
        <v>4200</v>
      </c>
      <c r="M670" s="2">
        <f>K670*F670-Table1[[#This Row],[discount_amount]]</f>
        <v>11698.2</v>
      </c>
      <c r="N670">
        <f t="shared" si="21"/>
        <v>8400</v>
      </c>
      <c r="O670">
        <f t="shared" si="20"/>
        <v>3298.2000000000007</v>
      </c>
      <c r="P670">
        <f>Table1[[#This Row],[Quantity]]*Table1[[#This Row],[unit_price]]*Table1[[#This Row],[Discount]]</f>
        <v>1299.8000000000002</v>
      </c>
      <c r="Q670" t="str">
        <f>VLOOKUP(E670,Products!$A$2:$E$23,2,0)</f>
        <v>Study Table</v>
      </c>
      <c r="R670" t="str">
        <f>VLOOKUP(Table1[[#This Row],[Product ID]],Products!$A$2:$E$23,3,0)</f>
        <v>Furniture</v>
      </c>
      <c r="S670" t="str">
        <f>VLOOKUP(C670,Customers!$A$2:$F$201,4,0)</f>
        <v>Maharashtra</v>
      </c>
      <c r="T670" t="str">
        <f>VLOOKUP(Table1[[#This Row],[Customer ID]],Customers!$A$2:$F$201,5,0)</f>
        <v>Central</v>
      </c>
      <c r="U670" t="str">
        <f>VLOOKUP(Table1[[#This Row],[Customer ID]],Customers!$A$2:$F$201,6,0)</f>
        <v>Consumer</v>
      </c>
      <c r="V670" t="str">
        <f>TEXT(Table1[[#This Row],[Order Date]],"MMM")</f>
        <v>Feb</v>
      </c>
      <c r="W670" t="str">
        <f>TEXT(Table1[[#This Row],[Order Date]],"yyyy")</f>
        <v>2025</v>
      </c>
    </row>
    <row r="671" spans="1:23" x14ac:dyDescent="0.25">
      <c r="A671" s="2" t="s">
        <v>913</v>
      </c>
      <c r="B671" s="4">
        <v>45712</v>
      </c>
      <c r="C671" s="2" t="s">
        <v>287</v>
      </c>
      <c r="D671" s="2" t="str">
        <f>TEXT(Table1[[#This Row],[Order Date]],"mmmm")</f>
        <v>February</v>
      </c>
      <c r="E671" s="2" t="s">
        <v>66</v>
      </c>
      <c r="F671" s="2">
        <v>2</v>
      </c>
      <c r="G671" s="5">
        <v>0.1</v>
      </c>
      <c r="H671" s="2" t="s">
        <v>19</v>
      </c>
      <c r="I671" s="2" t="s">
        <v>20</v>
      </c>
      <c r="J671" s="2" t="s">
        <v>21</v>
      </c>
      <c r="K671">
        <f>VLOOKUP(E671,Products!$A$2:$E$23,5,0)</f>
        <v>1299</v>
      </c>
      <c r="L671">
        <f>VLOOKUP(E671,Products!$A$2:$E$23,4,0)</f>
        <v>800</v>
      </c>
      <c r="M671" s="2">
        <f>K671*F671-Table1[[#This Row],[discount_amount]]</f>
        <v>2338.1999999999998</v>
      </c>
      <c r="N671">
        <f t="shared" si="21"/>
        <v>1600</v>
      </c>
      <c r="O671">
        <f t="shared" si="20"/>
        <v>738.19999999999982</v>
      </c>
      <c r="P671">
        <f>Table1[[#This Row],[Quantity]]*Table1[[#This Row],[unit_price]]*Table1[[#This Row],[Discount]]</f>
        <v>259.8</v>
      </c>
      <c r="Q671" t="str">
        <f>VLOOKUP(E671,Products!$A$2:$E$23,2,0)</f>
        <v>Power Bank 10000mAh</v>
      </c>
      <c r="R671" t="str">
        <f>VLOOKUP(Table1[[#This Row],[Product ID]],Products!$A$2:$E$23,3,0)</f>
        <v>Electronics</v>
      </c>
      <c r="S671" t="str">
        <f>VLOOKUP(C671,Customers!$A$2:$F$201,4,0)</f>
        <v>Kerala</v>
      </c>
      <c r="T671" t="str">
        <f>VLOOKUP(Table1[[#This Row],[Customer ID]],Customers!$A$2:$F$201,5,0)</f>
        <v>South</v>
      </c>
      <c r="U671" t="str">
        <f>VLOOKUP(Table1[[#This Row],[Customer ID]],Customers!$A$2:$F$201,6,0)</f>
        <v>Corporate</v>
      </c>
      <c r="V671" t="str">
        <f>TEXT(Table1[[#This Row],[Order Date]],"MMM")</f>
        <v>Feb</v>
      </c>
      <c r="W671" t="str">
        <f>TEXT(Table1[[#This Row],[Order Date]],"yyyy")</f>
        <v>2025</v>
      </c>
    </row>
    <row r="672" spans="1:23" x14ac:dyDescent="0.25">
      <c r="A672" s="2" t="s">
        <v>914</v>
      </c>
      <c r="B672" s="4">
        <v>45712</v>
      </c>
      <c r="C672" s="2" t="s">
        <v>201</v>
      </c>
      <c r="D672" s="2" t="str">
        <f>TEXT(Table1[[#This Row],[Order Date]],"mmmm")</f>
        <v>February</v>
      </c>
      <c r="E672" s="2" t="s">
        <v>73</v>
      </c>
      <c r="F672" s="2">
        <v>6</v>
      </c>
      <c r="G672" s="5">
        <v>0.1</v>
      </c>
      <c r="H672" s="2" t="s">
        <v>25</v>
      </c>
      <c r="I672" s="2" t="s">
        <v>26</v>
      </c>
      <c r="J672" s="2" t="s">
        <v>21</v>
      </c>
      <c r="K672">
        <f>VLOOKUP(E672,Products!$A$2:$E$23,5,0)</f>
        <v>6499</v>
      </c>
      <c r="L672">
        <f>VLOOKUP(E672,Products!$A$2:$E$23,4,0)</f>
        <v>4200</v>
      </c>
      <c r="M672" s="2">
        <f>K672*F672-Table1[[#This Row],[discount_amount]]</f>
        <v>35094.6</v>
      </c>
      <c r="N672">
        <f t="shared" si="21"/>
        <v>25200</v>
      </c>
      <c r="O672">
        <f t="shared" si="20"/>
        <v>9894.5999999999985</v>
      </c>
      <c r="P672">
        <f>Table1[[#This Row],[Quantity]]*Table1[[#This Row],[unit_price]]*Table1[[#This Row],[Discount]]</f>
        <v>3899.4</v>
      </c>
      <c r="Q672" t="str">
        <f>VLOOKUP(E672,Products!$A$2:$E$23,2,0)</f>
        <v>Study Table</v>
      </c>
      <c r="R672" t="str">
        <f>VLOOKUP(Table1[[#This Row],[Product ID]],Products!$A$2:$E$23,3,0)</f>
        <v>Furniture</v>
      </c>
      <c r="S672" t="str">
        <f>VLOOKUP(C672,Customers!$A$2:$F$201,4,0)</f>
        <v>Maharashtra</v>
      </c>
      <c r="T672" t="str">
        <f>VLOOKUP(Table1[[#This Row],[Customer ID]],Customers!$A$2:$F$201,5,0)</f>
        <v>Central</v>
      </c>
      <c r="U672" t="str">
        <f>VLOOKUP(Table1[[#This Row],[Customer ID]],Customers!$A$2:$F$201,6,0)</f>
        <v>Corporate</v>
      </c>
      <c r="V672" t="str">
        <f>TEXT(Table1[[#This Row],[Order Date]],"MMM")</f>
        <v>Feb</v>
      </c>
      <c r="W672" t="str">
        <f>TEXT(Table1[[#This Row],[Order Date]],"yyyy")</f>
        <v>2025</v>
      </c>
    </row>
    <row r="673" spans="1:23" x14ac:dyDescent="0.25">
      <c r="A673" s="2" t="s">
        <v>915</v>
      </c>
      <c r="B673" s="4">
        <v>45713</v>
      </c>
      <c r="C673" s="2" t="s">
        <v>98</v>
      </c>
      <c r="D673" s="2" t="str">
        <f>TEXT(Table1[[#This Row],[Order Date]],"mmmm")</f>
        <v>February</v>
      </c>
      <c r="E673" s="2" t="s">
        <v>127</v>
      </c>
      <c r="F673" s="2">
        <v>3</v>
      </c>
      <c r="G673" s="5">
        <v>0.1</v>
      </c>
      <c r="H673" s="2" t="s">
        <v>30</v>
      </c>
      <c r="I673" s="2" t="s">
        <v>20</v>
      </c>
      <c r="J673" s="2" t="s">
        <v>21</v>
      </c>
      <c r="K673">
        <f>VLOOKUP(E673,Products!$A$2:$E$23,5,0)</f>
        <v>1999</v>
      </c>
      <c r="L673">
        <f>VLOOKUP(E673,Products!$A$2:$E$23,4,0)</f>
        <v>1200</v>
      </c>
      <c r="M673" s="2">
        <f>K673*F673-Table1[[#This Row],[discount_amount]]</f>
        <v>5397.3</v>
      </c>
      <c r="N673">
        <f t="shared" si="21"/>
        <v>3600</v>
      </c>
      <c r="O673">
        <f t="shared" si="20"/>
        <v>1797.3000000000002</v>
      </c>
      <c r="P673">
        <f>Table1[[#This Row],[Quantity]]*Table1[[#This Row],[unit_price]]*Table1[[#This Row],[Discount]]</f>
        <v>599.70000000000005</v>
      </c>
      <c r="Q673" t="str">
        <f>VLOOKUP(E673,Products!$A$2:$E$23,2,0)</f>
        <v>Bluetooth Speaker</v>
      </c>
      <c r="R673" t="str">
        <f>VLOOKUP(Table1[[#This Row],[Product ID]],Products!$A$2:$E$23,3,0)</f>
        <v>Electronics</v>
      </c>
      <c r="S673" t="str">
        <f>VLOOKUP(C673,Customers!$A$2:$F$201,4,0)</f>
        <v>Tamil Nadu</v>
      </c>
      <c r="T673" t="str">
        <f>VLOOKUP(Table1[[#This Row],[Customer ID]],Customers!$A$2:$F$201,5,0)</f>
        <v>South</v>
      </c>
      <c r="U673" t="str">
        <f>VLOOKUP(Table1[[#This Row],[Customer ID]],Customers!$A$2:$F$201,6,0)</f>
        <v>Consumer</v>
      </c>
      <c r="V673" t="str">
        <f>TEXT(Table1[[#This Row],[Order Date]],"MMM")</f>
        <v>Feb</v>
      </c>
      <c r="W673" t="str">
        <f>TEXT(Table1[[#This Row],[Order Date]],"yyyy")</f>
        <v>2025</v>
      </c>
    </row>
    <row r="674" spans="1:23" x14ac:dyDescent="0.25">
      <c r="A674" s="2" t="s">
        <v>916</v>
      </c>
      <c r="B674" s="4">
        <v>45713</v>
      </c>
      <c r="C674" s="2" t="s">
        <v>137</v>
      </c>
      <c r="D674" s="2" t="str">
        <f>TEXT(Table1[[#This Row],[Order Date]],"mmmm")</f>
        <v>February</v>
      </c>
      <c r="E674" s="2" t="s">
        <v>118</v>
      </c>
      <c r="F674" s="2">
        <v>3</v>
      </c>
      <c r="G674" s="5">
        <v>0.05</v>
      </c>
      <c r="H674" s="2" t="s">
        <v>25</v>
      </c>
      <c r="I674" s="2" t="s">
        <v>46</v>
      </c>
      <c r="J674" s="2" t="s">
        <v>94</v>
      </c>
      <c r="K674">
        <f>VLOOKUP(E674,Products!$A$2:$E$23,5,0)</f>
        <v>150</v>
      </c>
      <c r="L674">
        <f>VLOOKUP(E674,Products!$A$2:$E$23,4,0)</f>
        <v>90</v>
      </c>
      <c r="M674" s="2">
        <f>K674*F674-Table1[[#This Row],[discount_amount]]</f>
        <v>427.5</v>
      </c>
      <c r="N674">
        <f t="shared" si="21"/>
        <v>270</v>
      </c>
      <c r="O674">
        <f t="shared" si="20"/>
        <v>157.5</v>
      </c>
      <c r="P674">
        <f>Table1[[#This Row],[Quantity]]*Table1[[#This Row],[unit_price]]*Table1[[#This Row],[Discount]]</f>
        <v>22.5</v>
      </c>
      <c r="Q674" t="str">
        <f>VLOOKUP(E674,Products!$A$2:$E$23,2,0)</f>
        <v>Gel Pen Box</v>
      </c>
      <c r="R674" t="str">
        <f>VLOOKUP(Table1[[#This Row],[Product ID]],Products!$A$2:$E$23,3,0)</f>
        <v>Office Supplies</v>
      </c>
      <c r="S674" t="str">
        <f>VLOOKUP(C674,Customers!$A$2:$F$201,4,0)</f>
        <v>Telangana</v>
      </c>
      <c r="T674" t="str">
        <f>VLOOKUP(Table1[[#This Row],[Customer ID]],Customers!$A$2:$F$201,5,0)</f>
        <v>South</v>
      </c>
      <c r="U674" t="str">
        <f>VLOOKUP(Table1[[#This Row],[Customer ID]],Customers!$A$2:$F$201,6,0)</f>
        <v>Corporate</v>
      </c>
      <c r="V674" t="str">
        <f>TEXT(Table1[[#This Row],[Order Date]],"MMM")</f>
        <v>Feb</v>
      </c>
      <c r="W674" t="str">
        <f>TEXT(Table1[[#This Row],[Order Date]],"yyyy")</f>
        <v>2025</v>
      </c>
    </row>
    <row r="675" spans="1:23" x14ac:dyDescent="0.25">
      <c r="A675" s="2" t="s">
        <v>917</v>
      </c>
      <c r="B675" s="4">
        <v>45715</v>
      </c>
      <c r="C675" s="2" t="s">
        <v>123</v>
      </c>
      <c r="D675" s="2" t="str">
        <f>TEXT(Table1[[#This Row],[Order Date]],"mmmm")</f>
        <v>February</v>
      </c>
      <c r="E675" s="2" t="s">
        <v>118</v>
      </c>
      <c r="F675" s="2">
        <v>5</v>
      </c>
      <c r="G675" s="5">
        <v>0.05</v>
      </c>
      <c r="H675" s="2" t="s">
        <v>19</v>
      </c>
      <c r="I675" s="2" t="s">
        <v>38</v>
      </c>
      <c r="J675" s="2" t="s">
        <v>21</v>
      </c>
      <c r="K675">
        <f>VLOOKUP(E675,Products!$A$2:$E$23,5,0)</f>
        <v>150</v>
      </c>
      <c r="L675">
        <f>VLOOKUP(E675,Products!$A$2:$E$23,4,0)</f>
        <v>90</v>
      </c>
      <c r="M675" s="2">
        <f>K675*F675-Table1[[#This Row],[discount_amount]]</f>
        <v>712.5</v>
      </c>
      <c r="N675">
        <f t="shared" si="21"/>
        <v>450</v>
      </c>
      <c r="O675">
        <f t="shared" si="20"/>
        <v>262.5</v>
      </c>
      <c r="P675">
        <f>Table1[[#This Row],[Quantity]]*Table1[[#This Row],[unit_price]]*Table1[[#This Row],[Discount]]</f>
        <v>37.5</v>
      </c>
      <c r="Q675" t="str">
        <f>VLOOKUP(E675,Products!$A$2:$E$23,2,0)</f>
        <v>Gel Pen Box</v>
      </c>
      <c r="R675" t="str">
        <f>VLOOKUP(Table1[[#This Row],[Product ID]],Products!$A$2:$E$23,3,0)</f>
        <v>Office Supplies</v>
      </c>
      <c r="S675" t="str">
        <f>VLOOKUP(C675,Customers!$A$2:$F$201,4,0)</f>
        <v>Uttar Pradesh</v>
      </c>
      <c r="T675" t="str">
        <f>VLOOKUP(Table1[[#This Row],[Customer ID]],Customers!$A$2:$F$201,5,0)</f>
        <v>North</v>
      </c>
      <c r="U675" t="str">
        <f>VLOOKUP(Table1[[#This Row],[Customer ID]],Customers!$A$2:$F$201,6,0)</f>
        <v>Consumer</v>
      </c>
      <c r="V675" t="str">
        <f>TEXT(Table1[[#This Row],[Order Date]],"MMM")</f>
        <v>Feb</v>
      </c>
      <c r="W675" t="str">
        <f>TEXT(Table1[[#This Row],[Order Date]],"yyyy")</f>
        <v>2025</v>
      </c>
    </row>
    <row r="676" spans="1:23" x14ac:dyDescent="0.25">
      <c r="A676" s="2" t="s">
        <v>918</v>
      </c>
      <c r="B676" s="4">
        <v>45715</v>
      </c>
      <c r="C676" s="2" t="s">
        <v>615</v>
      </c>
      <c r="D676" s="2" t="str">
        <f>TEXT(Table1[[#This Row],[Order Date]],"mmmm")</f>
        <v>February</v>
      </c>
      <c r="E676" s="2" t="s">
        <v>34</v>
      </c>
      <c r="F676" s="2">
        <v>5</v>
      </c>
      <c r="G676" s="5">
        <v>0.1</v>
      </c>
      <c r="H676" s="2" t="s">
        <v>25</v>
      </c>
      <c r="I676" s="2" t="s">
        <v>38</v>
      </c>
      <c r="J676" s="2" t="s">
        <v>94</v>
      </c>
      <c r="K676">
        <f>VLOOKUP(E676,Products!$A$2:$E$23,5,0)</f>
        <v>4599</v>
      </c>
      <c r="L676">
        <f>VLOOKUP(E676,Products!$A$2:$E$23,4,0)</f>
        <v>3000</v>
      </c>
      <c r="M676" s="2">
        <f>K676*F676-Table1[[#This Row],[discount_amount]]</f>
        <v>20695.5</v>
      </c>
      <c r="N676">
        <f t="shared" si="21"/>
        <v>15000</v>
      </c>
      <c r="O676">
        <f t="shared" si="20"/>
        <v>5695.5</v>
      </c>
      <c r="P676">
        <f>Table1[[#This Row],[Quantity]]*Table1[[#This Row],[unit_price]]*Table1[[#This Row],[Discount]]</f>
        <v>2299.5</v>
      </c>
      <c r="Q676" t="str">
        <f>VLOOKUP(E676,Products!$A$2:$E$23,2,0)</f>
        <v>Filing Cabinet</v>
      </c>
      <c r="R676" t="str">
        <f>VLOOKUP(Table1[[#This Row],[Product ID]],Products!$A$2:$E$23,3,0)</f>
        <v>Furniture</v>
      </c>
      <c r="S676" t="str">
        <f>VLOOKUP(C676,Customers!$A$2:$F$201,4,0)</f>
        <v>Delhi</v>
      </c>
      <c r="T676" t="str">
        <f>VLOOKUP(Table1[[#This Row],[Customer ID]],Customers!$A$2:$F$201,5,0)</f>
        <v>North</v>
      </c>
      <c r="U676" t="str">
        <f>VLOOKUP(Table1[[#This Row],[Customer ID]],Customers!$A$2:$F$201,6,0)</f>
        <v>Corporate</v>
      </c>
      <c r="V676" t="str">
        <f>TEXT(Table1[[#This Row],[Order Date]],"MMM")</f>
        <v>Feb</v>
      </c>
      <c r="W676" t="str">
        <f>TEXT(Table1[[#This Row],[Order Date]],"yyyy")</f>
        <v>2025</v>
      </c>
    </row>
    <row r="677" spans="1:23" x14ac:dyDescent="0.25">
      <c r="A677" s="2" t="s">
        <v>919</v>
      </c>
      <c r="B677" s="4">
        <v>45716</v>
      </c>
      <c r="C677" s="2" t="s">
        <v>533</v>
      </c>
      <c r="D677" s="2" t="str">
        <f>TEXT(Table1[[#This Row],[Order Date]],"mmmm")</f>
        <v>February</v>
      </c>
      <c r="E677" s="2" t="s">
        <v>155</v>
      </c>
      <c r="F677" s="2">
        <v>4</v>
      </c>
      <c r="G677" s="5">
        <v>0.2</v>
      </c>
      <c r="H677" s="2" t="s">
        <v>25</v>
      </c>
      <c r="I677" s="2" t="s">
        <v>26</v>
      </c>
      <c r="J677" s="2" t="s">
        <v>21</v>
      </c>
      <c r="K677">
        <f>VLOOKUP(E677,Products!$A$2:$E$23,5,0)</f>
        <v>1599</v>
      </c>
      <c r="L677">
        <f>VLOOKUP(E677,Products!$A$2:$E$23,4,0)</f>
        <v>900</v>
      </c>
      <c r="M677" s="2">
        <f>K677*F677-Table1[[#This Row],[discount_amount]]</f>
        <v>5116.8</v>
      </c>
      <c r="N677">
        <f t="shared" si="21"/>
        <v>3600</v>
      </c>
      <c r="O677">
        <f t="shared" si="20"/>
        <v>1516.8000000000002</v>
      </c>
      <c r="P677">
        <f>Table1[[#This Row],[Quantity]]*Table1[[#This Row],[unit_price]]*Table1[[#This Row],[Discount]]</f>
        <v>1279.2</v>
      </c>
      <c r="Q677" t="str">
        <f>VLOOKUP(E677,Products!$A$2:$E$23,2,0)</f>
        <v>Headphones</v>
      </c>
      <c r="R677" t="str">
        <f>VLOOKUP(Table1[[#This Row],[Product ID]],Products!$A$2:$E$23,3,0)</f>
        <v>Electronics</v>
      </c>
      <c r="S677" t="str">
        <f>VLOOKUP(C677,Customers!$A$2:$F$201,4,0)</f>
        <v>Gujarat</v>
      </c>
      <c r="T677" t="str">
        <f>VLOOKUP(Table1[[#This Row],[Customer ID]],Customers!$A$2:$F$201,5,0)</f>
        <v>West</v>
      </c>
      <c r="U677" t="str">
        <f>VLOOKUP(Table1[[#This Row],[Customer ID]],Customers!$A$2:$F$201,6,0)</f>
        <v>Corporate</v>
      </c>
      <c r="V677" t="str">
        <f>TEXT(Table1[[#This Row],[Order Date]],"MMM")</f>
        <v>Feb</v>
      </c>
      <c r="W677" t="str">
        <f>TEXT(Table1[[#This Row],[Order Date]],"yyyy")</f>
        <v>2025</v>
      </c>
    </row>
    <row r="678" spans="1:23" x14ac:dyDescent="0.25">
      <c r="A678" s="2" t="s">
        <v>920</v>
      </c>
      <c r="B678" s="4">
        <v>45716</v>
      </c>
      <c r="C678" s="2" t="s">
        <v>261</v>
      </c>
      <c r="D678" s="2" t="str">
        <f>TEXT(Table1[[#This Row],[Order Date]],"mmmm")</f>
        <v>February</v>
      </c>
      <c r="E678" s="2" t="s">
        <v>24</v>
      </c>
      <c r="F678" s="2">
        <v>3</v>
      </c>
      <c r="G678" s="5">
        <v>0.1</v>
      </c>
      <c r="H678" s="2" t="s">
        <v>25</v>
      </c>
      <c r="I678" s="2" t="s">
        <v>20</v>
      </c>
      <c r="J678" s="2" t="s">
        <v>21</v>
      </c>
      <c r="K678">
        <f>VLOOKUP(E678,Products!$A$2:$E$23,5,0)</f>
        <v>899</v>
      </c>
      <c r="L678">
        <f>VLOOKUP(E678,Products!$A$2:$E$23,4,0)</f>
        <v>500</v>
      </c>
      <c r="M678" s="2">
        <f>K678*F678-Table1[[#This Row],[discount_amount]]</f>
        <v>2427.3000000000002</v>
      </c>
      <c r="N678">
        <f t="shared" si="21"/>
        <v>1500</v>
      </c>
      <c r="O678">
        <f t="shared" si="20"/>
        <v>927.30000000000018</v>
      </c>
      <c r="P678">
        <f>Table1[[#This Row],[Quantity]]*Table1[[#This Row],[unit_price]]*Table1[[#This Row],[Discount]]</f>
        <v>269.7</v>
      </c>
      <c r="Q678" t="str">
        <f>VLOOKUP(E678,Products!$A$2:$E$23,2,0)</f>
        <v>Monitor Stand</v>
      </c>
      <c r="R678" t="str">
        <f>VLOOKUP(Table1[[#This Row],[Product ID]],Products!$A$2:$E$23,3,0)</f>
        <v>Furniture</v>
      </c>
      <c r="S678" t="str">
        <f>VLOOKUP(C678,Customers!$A$2:$F$201,4,0)</f>
        <v>Odisha</v>
      </c>
      <c r="T678" t="str">
        <f>VLOOKUP(Table1[[#This Row],[Customer ID]],Customers!$A$2:$F$201,5,0)</f>
        <v>East</v>
      </c>
      <c r="U678" t="str">
        <f>VLOOKUP(Table1[[#This Row],[Customer ID]],Customers!$A$2:$F$201,6,0)</f>
        <v>Home Office</v>
      </c>
      <c r="V678" t="str">
        <f>TEXT(Table1[[#This Row],[Order Date]],"MMM")</f>
        <v>Feb</v>
      </c>
      <c r="W678" t="str">
        <f>TEXT(Table1[[#This Row],[Order Date]],"yyyy")</f>
        <v>2025</v>
      </c>
    </row>
    <row r="679" spans="1:23" x14ac:dyDescent="0.25">
      <c r="A679" s="2" t="s">
        <v>921</v>
      </c>
      <c r="B679" s="4">
        <v>45716</v>
      </c>
      <c r="C679" s="2" t="s">
        <v>150</v>
      </c>
      <c r="D679" s="2" t="str">
        <f>TEXT(Table1[[#This Row],[Order Date]],"mmmm")</f>
        <v>February</v>
      </c>
      <c r="E679" s="2" t="s">
        <v>54</v>
      </c>
      <c r="F679" s="2">
        <v>2</v>
      </c>
      <c r="G679" s="5">
        <v>0.1</v>
      </c>
      <c r="H679" s="2" t="s">
        <v>30</v>
      </c>
      <c r="I679" s="2" t="s">
        <v>31</v>
      </c>
      <c r="J679" s="2" t="s">
        <v>21</v>
      </c>
      <c r="K679">
        <f>VLOOKUP(E679,Products!$A$2:$E$23,5,0)</f>
        <v>299</v>
      </c>
      <c r="L679">
        <f>VLOOKUP(E679,Products!$A$2:$E$23,4,0)</f>
        <v>180</v>
      </c>
      <c r="M679" s="2">
        <f>K679*F679-Table1[[#This Row],[discount_amount]]</f>
        <v>538.20000000000005</v>
      </c>
      <c r="N679">
        <f t="shared" si="21"/>
        <v>360</v>
      </c>
      <c r="O679">
        <f t="shared" si="20"/>
        <v>178.20000000000005</v>
      </c>
      <c r="P679">
        <f>Table1[[#This Row],[Quantity]]*Table1[[#This Row],[unit_price]]*Table1[[#This Row],[Discount]]</f>
        <v>59.800000000000004</v>
      </c>
      <c r="Q679" t="str">
        <f>VLOOKUP(E679,Products!$A$2:$E$23,2,0)</f>
        <v>Notebook Pack of 5</v>
      </c>
      <c r="R679" t="str">
        <f>VLOOKUP(Table1[[#This Row],[Product ID]],Products!$A$2:$E$23,3,0)</f>
        <v>Office Supplies</v>
      </c>
      <c r="S679" t="str">
        <f>VLOOKUP(C679,Customers!$A$2:$F$201,4,0)</f>
        <v>Delhi</v>
      </c>
      <c r="T679" t="str">
        <f>VLOOKUP(Table1[[#This Row],[Customer ID]],Customers!$A$2:$F$201,5,0)</f>
        <v>North</v>
      </c>
      <c r="U679" t="str">
        <f>VLOOKUP(Table1[[#This Row],[Customer ID]],Customers!$A$2:$F$201,6,0)</f>
        <v>Corporate</v>
      </c>
      <c r="V679" t="str">
        <f>TEXT(Table1[[#This Row],[Order Date]],"MMM")</f>
        <v>Feb</v>
      </c>
      <c r="W679" t="str">
        <f>TEXT(Table1[[#This Row],[Order Date]],"yyyy")</f>
        <v>2025</v>
      </c>
    </row>
    <row r="680" spans="1:23" x14ac:dyDescent="0.25">
      <c r="A680" s="2" t="s">
        <v>922</v>
      </c>
      <c r="B680" s="4">
        <v>45716</v>
      </c>
      <c r="C680" s="2" t="s">
        <v>217</v>
      </c>
      <c r="D680" s="2" t="str">
        <f>TEXT(Table1[[#This Row],[Order Date]],"mmmm")</f>
        <v>February</v>
      </c>
      <c r="E680" s="2" t="s">
        <v>24</v>
      </c>
      <c r="F680" s="2">
        <v>2</v>
      </c>
      <c r="G680" s="5">
        <v>0</v>
      </c>
      <c r="H680" s="2" t="s">
        <v>30</v>
      </c>
      <c r="I680" s="2" t="s">
        <v>38</v>
      </c>
      <c r="J680" s="2" t="s">
        <v>21</v>
      </c>
      <c r="K680">
        <f>VLOOKUP(E680,Products!$A$2:$E$23,5,0)</f>
        <v>899</v>
      </c>
      <c r="L680">
        <f>VLOOKUP(E680,Products!$A$2:$E$23,4,0)</f>
        <v>500</v>
      </c>
      <c r="M680" s="2">
        <f>K680*F680-Table1[[#This Row],[discount_amount]]</f>
        <v>1798</v>
      </c>
      <c r="N680">
        <f t="shared" si="21"/>
        <v>1000</v>
      </c>
      <c r="O680">
        <f t="shared" si="20"/>
        <v>798</v>
      </c>
      <c r="P680">
        <f>Table1[[#This Row],[Quantity]]*Table1[[#This Row],[unit_price]]*Table1[[#This Row],[Discount]]</f>
        <v>0</v>
      </c>
      <c r="Q680" t="str">
        <f>VLOOKUP(E680,Products!$A$2:$E$23,2,0)</f>
        <v>Monitor Stand</v>
      </c>
      <c r="R680" t="str">
        <f>VLOOKUP(Table1[[#This Row],[Product ID]],Products!$A$2:$E$23,3,0)</f>
        <v>Furniture</v>
      </c>
      <c r="S680" t="str">
        <f>VLOOKUP(C680,Customers!$A$2:$F$201,4,0)</f>
        <v>Madhya Pradesh</v>
      </c>
      <c r="T680" t="str">
        <f>VLOOKUP(Table1[[#This Row],[Customer ID]],Customers!$A$2:$F$201,5,0)</f>
        <v>Central</v>
      </c>
      <c r="U680" t="str">
        <f>VLOOKUP(Table1[[#This Row],[Customer ID]],Customers!$A$2:$F$201,6,0)</f>
        <v>Corporate</v>
      </c>
      <c r="V680" t="str">
        <f>TEXT(Table1[[#This Row],[Order Date]],"MMM")</f>
        <v>Feb</v>
      </c>
      <c r="W680" t="str">
        <f>TEXT(Table1[[#This Row],[Order Date]],"yyyy")</f>
        <v>2025</v>
      </c>
    </row>
    <row r="681" spans="1:23" x14ac:dyDescent="0.25">
      <c r="A681" s="2" t="s">
        <v>923</v>
      </c>
      <c r="B681" s="4">
        <v>45717</v>
      </c>
      <c r="C681" s="2" t="s">
        <v>76</v>
      </c>
      <c r="D681" s="2" t="str">
        <f>TEXT(Table1[[#This Row],[Order Date]],"mmmm")</f>
        <v>March</v>
      </c>
      <c r="E681" s="2" t="s">
        <v>49</v>
      </c>
      <c r="F681" s="2">
        <v>1</v>
      </c>
      <c r="G681" s="5">
        <v>0.05</v>
      </c>
      <c r="H681" s="2" t="s">
        <v>19</v>
      </c>
      <c r="I681" s="2" t="s">
        <v>46</v>
      </c>
      <c r="J681" s="2" t="s">
        <v>21</v>
      </c>
      <c r="K681">
        <f>VLOOKUP(E681,Products!$A$2:$E$23,5,0)</f>
        <v>700</v>
      </c>
      <c r="L681">
        <f>VLOOKUP(E681,Products!$A$2:$E$23,4,0)</f>
        <v>450</v>
      </c>
      <c r="M681" s="2">
        <f>K681*F681-Table1[[#This Row],[discount_amount]]</f>
        <v>665</v>
      </c>
      <c r="N681">
        <f t="shared" si="21"/>
        <v>450</v>
      </c>
      <c r="O681">
        <f t="shared" si="20"/>
        <v>215</v>
      </c>
      <c r="P681">
        <f>Table1[[#This Row],[Quantity]]*Table1[[#This Row],[unit_price]]*Table1[[#This Row],[Discount]]</f>
        <v>35</v>
      </c>
      <c r="Q681" t="str">
        <f>VLOOKUP(E681,Products!$A$2:$E$23,2,0)</f>
        <v>Wireless Mouse</v>
      </c>
      <c r="R681" t="str">
        <f>VLOOKUP(Table1[[#This Row],[Product ID]],Products!$A$2:$E$23,3,0)</f>
        <v>Electronics</v>
      </c>
      <c r="S681" t="str">
        <f>VLOOKUP(C681,Customers!$A$2:$F$201,4,0)</f>
        <v>West Bengal</v>
      </c>
      <c r="T681" t="str">
        <f>VLOOKUP(Table1[[#This Row],[Customer ID]],Customers!$A$2:$F$201,5,0)</f>
        <v>East</v>
      </c>
      <c r="U681" t="str">
        <f>VLOOKUP(Table1[[#This Row],[Customer ID]],Customers!$A$2:$F$201,6,0)</f>
        <v>Corporate</v>
      </c>
      <c r="V681" t="str">
        <f>TEXT(Table1[[#This Row],[Order Date]],"MMM")</f>
        <v>Mar</v>
      </c>
      <c r="W681" t="str">
        <f>TEXT(Table1[[#This Row],[Order Date]],"yyyy")</f>
        <v>2025</v>
      </c>
    </row>
    <row r="682" spans="1:23" x14ac:dyDescent="0.25">
      <c r="A682" s="2" t="s">
        <v>924</v>
      </c>
      <c r="B682" s="4">
        <v>45717</v>
      </c>
      <c r="C682" s="2" t="s">
        <v>654</v>
      </c>
      <c r="D682" s="2" t="str">
        <f>TEXT(Table1[[#This Row],[Order Date]],"mmmm")</f>
        <v>March</v>
      </c>
      <c r="E682" s="2" t="s">
        <v>34</v>
      </c>
      <c r="F682" s="2">
        <v>2</v>
      </c>
      <c r="G682" s="5">
        <v>0</v>
      </c>
      <c r="H682" s="2" t="s">
        <v>30</v>
      </c>
      <c r="I682" s="2" t="s">
        <v>31</v>
      </c>
      <c r="J682" s="2" t="s">
        <v>21</v>
      </c>
      <c r="K682">
        <f>VLOOKUP(E682,Products!$A$2:$E$23,5,0)</f>
        <v>4599</v>
      </c>
      <c r="L682">
        <f>VLOOKUP(E682,Products!$A$2:$E$23,4,0)</f>
        <v>3000</v>
      </c>
      <c r="M682" s="2">
        <f>K682*F682-Table1[[#This Row],[discount_amount]]</f>
        <v>9198</v>
      </c>
      <c r="N682">
        <f t="shared" si="21"/>
        <v>6000</v>
      </c>
      <c r="O682">
        <f t="shared" si="20"/>
        <v>3198</v>
      </c>
      <c r="P682">
        <f>Table1[[#This Row],[Quantity]]*Table1[[#This Row],[unit_price]]*Table1[[#This Row],[Discount]]</f>
        <v>0</v>
      </c>
      <c r="Q682" t="str">
        <f>VLOOKUP(E682,Products!$A$2:$E$23,2,0)</f>
        <v>Filing Cabinet</v>
      </c>
      <c r="R682" t="str">
        <f>VLOOKUP(Table1[[#This Row],[Product ID]],Products!$A$2:$E$23,3,0)</f>
        <v>Furniture</v>
      </c>
      <c r="S682" t="str">
        <f>VLOOKUP(C682,Customers!$A$2:$F$201,4,0)</f>
        <v>Telangana</v>
      </c>
      <c r="T682" t="str">
        <f>VLOOKUP(Table1[[#This Row],[Customer ID]],Customers!$A$2:$F$201,5,0)</f>
        <v>South</v>
      </c>
      <c r="U682" t="str">
        <f>VLOOKUP(Table1[[#This Row],[Customer ID]],Customers!$A$2:$F$201,6,0)</f>
        <v>Consumer</v>
      </c>
      <c r="V682" t="str">
        <f>TEXT(Table1[[#This Row],[Order Date]],"MMM")</f>
        <v>Mar</v>
      </c>
      <c r="W682" t="str">
        <f>TEXT(Table1[[#This Row],[Order Date]],"yyyy")</f>
        <v>2025</v>
      </c>
    </row>
    <row r="683" spans="1:23" x14ac:dyDescent="0.25">
      <c r="A683" s="2" t="s">
        <v>925</v>
      </c>
      <c r="B683" s="4">
        <v>45717</v>
      </c>
      <c r="C683" s="2" t="s">
        <v>113</v>
      </c>
      <c r="D683" s="2" t="str">
        <f>TEXT(Table1[[#This Row],[Order Date]],"mmmm")</f>
        <v>March</v>
      </c>
      <c r="E683" s="2" t="s">
        <v>45</v>
      </c>
      <c r="F683" s="2">
        <v>1</v>
      </c>
      <c r="G683" s="5">
        <v>0.1</v>
      </c>
      <c r="H683" s="2" t="s">
        <v>25</v>
      </c>
      <c r="I683" s="2" t="s">
        <v>46</v>
      </c>
      <c r="J683" s="2" t="s">
        <v>21</v>
      </c>
      <c r="K683">
        <f>VLOOKUP(E683,Products!$A$2:$E$23,5,0)</f>
        <v>899</v>
      </c>
      <c r="L683">
        <f>VLOOKUP(E683,Products!$A$2:$E$23,4,0)</f>
        <v>450</v>
      </c>
      <c r="M683" s="2">
        <f>K683*F683-Table1[[#This Row],[discount_amount]]</f>
        <v>809.1</v>
      </c>
      <c r="N683">
        <f t="shared" si="21"/>
        <v>450</v>
      </c>
      <c r="O683">
        <f t="shared" si="20"/>
        <v>359.1</v>
      </c>
      <c r="P683">
        <f>Table1[[#This Row],[Quantity]]*Table1[[#This Row],[unit_price]]*Table1[[#This Row],[Discount]]</f>
        <v>89.9</v>
      </c>
      <c r="Q683" t="str">
        <f>VLOOKUP(E683,Products!$A$2:$E$23,2,0)</f>
        <v>Track Pants</v>
      </c>
      <c r="R683" t="str">
        <f>VLOOKUP(Table1[[#This Row],[Product ID]],Products!$A$2:$E$23,3,0)</f>
        <v>Clothing</v>
      </c>
      <c r="S683" t="str">
        <f>VLOOKUP(C683,Customers!$A$2:$F$201,4,0)</f>
        <v>Gujarat</v>
      </c>
      <c r="T683" t="str">
        <f>VLOOKUP(Table1[[#This Row],[Customer ID]],Customers!$A$2:$F$201,5,0)</f>
        <v>West</v>
      </c>
      <c r="U683" t="str">
        <f>VLOOKUP(Table1[[#This Row],[Customer ID]],Customers!$A$2:$F$201,6,0)</f>
        <v>Consumer</v>
      </c>
      <c r="V683" t="str">
        <f>TEXT(Table1[[#This Row],[Order Date]],"MMM")</f>
        <v>Mar</v>
      </c>
      <c r="W683" t="str">
        <f>TEXT(Table1[[#This Row],[Order Date]],"yyyy")</f>
        <v>2025</v>
      </c>
    </row>
    <row r="684" spans="1:23" x14ac:dyDescent="0.25">
      <c r="A684" s="2" t="s">
        <v>926</v>
      </c>
      <c r="B684" s="4">
        <v>45718</v>
      </c>
      <c r="C684" s="2" t="s">
        <v>248</v>
      </c>
      <c r="D684" s="2" t="str">
        <f>TEXT(Table1[[#This Row],[Order Date]],"mmmm")</f>
        <v>March</v>
      </c>
      <c r="E684" s="2" t="s">
        <v>118</v>
      </c>
      <c r="F684" s="2">
        <v>2</v>
      </c>
      <c r="G684" s="5">
        <v>0.15</v>
      </c>
      <c r="H684" s="2" t="s">
        <v>19</v>
      </c>
      <c r="I684" s="2" t="s">
        <v>26</v>
      </c>
      <c r="J684" s="2" t="s">
        <v>21</v>
      </c>
      <c r="K684">
        <f>VLOOKUP(E684,Products!$A$2:$E$23,5,0)</f>
        <v>150</v>
      </c>
      <c r="L684">
        <f>VLOOKUP(E684,Products!$A$2:$E$23,4,0)</f>
        <v>90</v>
      </c>
      <c r="M684" s="2">
        <f>K684*F684-Table1[[#This Row],[discount_amount]]</f>
        <v>255</v>
      </c>
      <c r="N684">
        <f t="shared" si="21"/>
        <v>180</v>
      </c>
      <c r="O684">
        <f t="shared" si="20"/>
        <v>75</v>
      </c>
      <c r="P684">
        <f>Table1[[#This Row],[Quantity]]*Table1[[#This Row],[unit_price]]*Table1[[#This Row],[Discount]]</f>
        <v>45</v>
      </c>
      <c r="Q684" t="str">
        <f>VLOOKUP(E684,Products!$A$2:$E$23,2,0)</f>
        <v>Gel Pen Box</v>
      </c>
      <c r="R684" t="str">
        <f>VLOOKUP(Table1[[#This Row],[Product ID]],Products!$A$2:$E$23,3,0)</f>
        <v>Office Supplies</v>
      </c>
      <c r="S684" t="str">
        <f>VLOOKUP(C684,Customers!$A$2:$F$201,4,0)</f>
        <v>West Bengal</v>
      </c>
      <c r="T684" t="str">
        <f>VLOOKUP(Table1[[#This Row],[Customer ID]],Customers!$A$2:$F$201,5,0)</f>
        <v>East</v>
      </c>
      <c r="U684" t="str">
        <f>VLOOKUP(Table1[[#This Row],[Customer ID]],Customers!$A$2:$F$201,6,0)</f>
        <v>Consumer</v>
      </c>
      <c r="V684" t="str">
        <f>TEXT(Table1[[#This Row],[Order Date]],"MMM")</f>
        <v>Mar</v>
      </c>
      <c r="W684" t="str">
        <f>TEXT(Table1[[#This Row],[Order Date]],"yyyy")</f>
        <v>2025</v>
      </c>
    </row>
    <row r="685" spans="1:23" x14ac:dyDescent="0.25">
      <c r="A685" s="2" t="s">
        <v>927</v>
      </c>
      <c r="B685" s="4">
        <v>45718</v>
      </c>
      <c r="C685" s="2" t="s">
        <v>201</v>
      </c>
      <c r="D685" s="2" t="str">
        <f>TEXT(Table1[[#This Row],[Order Date]],"mmmm")</f>
        <v>March</v>
      </c>
      <c r="E685" s="2" t="s">
        <v>54</v>
      </c>
      <c r="F685" s="2">
        <v>1</v>
      </c>
      <c r="G685" s="5">
        <v>0.05</v>
      </c>
      <c r="H685" s="2" t="s">
        <v>19</v>
      </c>
      <c r="I685" s="2" t="s">
        <v>20</v>
      </c>
      <c r="J685" s="2" t="s">
        <v>94</v>
      </c>
      <c r="K685">
        <f>VLOOKUP(E685,Products!$A$2:$E$23,5,0)</f>
        <v>299</v>
      </c>
      <c r="L685">
        <f>VLOOKUP(E685,Products!$A$2:$E$23,4,0)</f>
        <v>180</v>
      </c>
      <c r="M685" s="2">
        <f>K685*F685-Table1[[#This Row],[discount_amount]]</f>
        <v>284.05</v>
      </c>
      <c r="N685">
        <f t="shared" si="21"/>
        <v>180</v>
      </c>
      <c r="O685">
        <f t="shared" si="20"/>
        <v>104.05000000000001</v>
      </c>
      <c r="P685">
        <f>Table1[[#This Row],[Quantity]]*Table1[[#This Row],[unit_price]]*Table1[[#This Row],[Discount]]</f>
        <v>14.950000000000001</v>
      </c>
      <c r="Q685" t="str">
        <f>VLOOKUP(E685,Products!$A$2:$E$23,2,0)</f>
        <v>Notebook Pack of 5</v>
      </c>
      <c r="R685" t="str">
        <f>VLOOKUP(Table1[[#This Row],[Product ID]],Products!$A$2:$E$23,3,0)</f>
        <v>Office Supplies</v>
      </c>
      <c r="S685" t="str">
        <f>VLOOKUP(C685,Customers!$A$2:$F$201,4,0)</f>
        <v>Maharashtra</v>
      </c>
      <c r="T685" t="str">
        <f>VLOOKUP(Table1[[#This Row],[Customer ID]],Customers!$A$2:$F$201,5,0)</f>
        <v>Central</v>
      </c>
      <c r="U685" t="str">
        <f>VLOOKUP(Table1[[#This Row],[Customer ID]],Customers!$A$2:$F$201,6,0)</f>
        <v>Corporate</v>
      </c>
      <c r="V685" t="str">
        <f>TEXT(Table1[[#This Row],[Order Date]],"MMM")</f>
        <v>Mar</v>
      </c>
      <c r="W685" t="str">
        <f>TEXT(Table1[[#This Row],[Order Date]],"yyyy")</f>
        <v>2025</v>
      </c>
    </row>
    <row r="686" spans="1:23" x14ac:dyDescent="0.25">
      <c r="A686" s="2" t="s">
        <v>928</v>
      </c>
      <c r="B686" s="4">
        <v>45719</v>
      </c>
      <c r="C686" s="2" t="s">
        <v>150</v>
      </c>
      <c r="D686" s="2" t="str">
        <f>TEXT(Table1[[#This Row],[Order Date]],"mmmm")</f>
        <v>March</v>
      </c>
      <c r="E686" s="2" t="s">
        <v>45</v>
      </c>
      <c r="F686" s="2">
        <v>4</v>
      </c>
      <c r="G686" s="5">
        <v>0</v>
      </c>
      <c r="H686" s="2" t="s">
        <v>19</v>
      </c>
      <c r="I686" s="2" t="s">
        <v>38</v>
      </c>
      <c r="J686" s="2" t="s">
        <v>21</v>
      </c>
      <c r="K686">
        <f>VLOOKUP(E686,Products!$A$2:$E$23,5,0)</f>
        <v>899</v>
      </c>
      <c r="L686">
        <f>VLOOKUP(E686,Products!$A$2:$E$23,4,0)</f>
        <v>450</v>
      </c>
      <c r="M686" s="2">
        <f>K686*F686-Table1[[#This Row],[discount_amount]]</f>
        <v>3596</v>
      </c>
      <c r="N686">
        <f t="shared" si="21"/>
        <v>1800</v>
      </c>
      <c r="O686">
        <f t="shared" si="20"/>
        <v>1796</v>
      </c>
      <c r="P686">
        <f>Table1[[#This Row],[Quantity]]*Table1[[#This Row],[unit_price]]*Table1[[#This Row],[Discount]]</f>
        <v>0</v>
      </c>
      <c r="Q686" t="str">
        <f>VLOOKUP(E686,Products!$A$2:$E$23,2,0)</f>
        <v>Track Pants</v>
      </c>
      <c r="R686" t="str">
        <f>VLOOKUP(Table1[[#This Row],[Product ID]],Products!$A$2:$E$23,3,0)</f>
        <v>Clothing</v>
      </c>
      <c r="S686" t="str">
        <f>VLOOKUP(C686,Customers!$A$2:$F$201,4,0)</f>
        <v>Delhi</v>
      </c>
      <c r="T686" t="str">
        <f>VLOOKUP(Table1[[#This Row],[Customer ID]],Customers!$A$2:$F$201,5,0)</f>
        <v>North</v>
      </c>
      <c r="U686" t="str">
        <f>VLOOKUP(Table1[[#This Row],[Customer ID]],Customers!$A$2:$F$201,6,0)</f>
        <v>Corporate</v>
      </c>
      <c r="V686" t="str">
        <f>TEXT(Table1[[#This Row],[Order Date]],"MMM")</f>
        <v>Mar</v>
      </c>
      <c r="W686" t="str">
        <f>TEXT(Table1[[#This Row],[Order Date]],"yyyy")</f>
        <v>2025</v>
      </c>
    </row>
    <row r="687" spans="1:23" x14ac:dyDescent="0.25">
      <c r="A687" s="2" t="s">
        <v>929</v>
      </c>
      <c r="B687" s="4">
        <v>45720</v>
      </c>
      <c r="C687" s="2" t="s">
        <v>59</v>
      </c>
      <c r="D687" s="2" t="str">
        <f>TEXT(Table1[[#This Row],[Order Date]],"mmmm")</f>
        <v>March</v>
      </c>
      <c r="E687" s="2" t="s">
        <v>118</v>
      </c>
      <c r="F687" s="2">
        <v>4</v>
      </c>
      <c r="G687" s="5">
        <v>0.2</v>
      </c>
      <c r="H687" s="2" t="s">
        <v>19</v>
      </c>
      <c r="I687" s="2" t="s">
        <v>46</v>
      </c>
      <c r="J687" s="2" t="s">
        <v>21</v>
      </c>
      <c r="K687">
        <f>VLOOKUP(E687,Products!$A$2:$E$23,5,0)</f>
        <v>150</v>
      </c>
      <c r="L687">
        <f>VLOOKUP(E687,Products!$A$2:$E$23,4,0)</f>
        <v>90</v>
      </c>
      <c r="M687" s="2">
        <f>K687*F687-Table1[[#This Row],[discount_amount]]</f>
        <v>480</v>
      </c>
      <c r="N687">
        <f t="shared" si="21"/>
        <v>360</v>
      </c>
      <c r="O687">
        <f t="shared" si="20"/>
        <v>120</v>
      </c>
      <c r="P687">
        <f>Table1[[#This Row],[Quantity]]*Table1[[#This Row],[unit_price]]*Table1[[#This Row],[Discount]]</f>
        <v>120</v>
      </c>
      <c r="Q687" t="str">
        <f>VLOOKUP(E687,Products!$A$2:$E$23,2,0)</f>
        <v>Gel Pen Box</v>
      </c>
      <c r="R687" t="str">
        <f>VLOOKUP(Table1[[#This Row],[Product ID]],Products!$A$2:$E$23,3,0)</f>
        <v>Office Supplies</v>
      </c>
      <c r="S687" t="str">
        <f>VLOOKUP(C687,Customers!$A$2:$F$201,4,0)</f>
        <v>Rajasthan</v>
      </c>
      <c r="T687" t="str">
        <f>VLOOKUP(Table1[[#This Row],[Customer ID]],Customers!$A$2:$F$201,5,0)</f>
        <v>North</v>
      </c>
      <c r="U687" t="str">
        <f>VLOOKUP(Table1[[#This Row],[Customer ID]],Customers!$A$2:$F$201,6,0)</f>
        <v>Corporate</v>
      </c>
      <c r="V687" t="str">
        <f>TEXT(Table1[[#This Row],[Order Date]],"MMM")</f>
        <v>Mar</v>
      </c>
      <c r="W687" t="str">
        <f>TEXT(Table1[[#This Row],[Order Date]],"yyyy")</f>
        <v>2025</v>
      </c>
    </row>
    <row r="688" spans="1:23" x14ac:dyDescent="0.25">
      <c r="A688" s="2" t="s">
        <v>930</v>
      </c>
      <c r="B688" s="4">
        <v>45721</v>
      </c>
      <c r="C688" s="2" t="s">
        <v>209</v>
      </c>
      <c r="D688" s="2" t="str">
        <f>TEXT(Table1[[#This Row],[Order Date]],"mmmm")</f>
        <v>March</v>
      </c>
      <c r="E688" s="2" t="s">
        <v>54</v>
      </c>
      <c r="F688" s="2">
        <v>6</v>
      </c>
      <c r="G688" s="5">
        <v>0.2</v>
      </c>
      <c r="H688" s="2" t="s">
        <v>19</v>
      </c>
      <c r="I688" s="2" t="s">
        <v>46</v>
      </c>
      <c r="J688" s="2" t="s">
        <v>21</v>
      </c>
      <c r="K688">
        <f>VLOOKUP(E688,Products!$A$2:$E$23,5,0)</f>
        <v>299</v>
      </c>
      <c r="L688">
        <f>VLOOKUP(E688,Products!$A$2:$E$23,4,0)</f>
        <v>180</v>
      </c>
      <c r="M688" s="2">
        <f>K688*F688-Table1[[#This Row],[discount_amount]]</f>
        <v>1435.2</v>
      </c>
      <c r="N688">
        <f t="shared" si="21"/>
        <v>1080</v>
      </c>
      <c r="O688">
        <f t="shared" si="20"/>
        <v>355.20000000000005</v>
      </c>
      <c r="P688">
        <f>Table1[[#This Row],[Quantity]]*Table1[[#This Row],[unit_price]]*Table1[[#This Row],[Discount]]</f>
        <v>358.8</v>
      </c>
      <c r="Q688" t="str">
        <f>VLOOKUP(E688,Products!$A$2:$E$23,2,0)</f>
        <v>Notebook Pack of 5</v>
      </c>
      <c r="R688" t="str">
        <f>VLOOKUP(Table1[[#This Row],[Product ID]],Products!$A$2:$E$23,3,0)</f>
        <v>Office Supplies</v>
      </c>
      <c r="S688" t="str">
        <f>VLOOKUP(C688,Customers!$A$2:$F$201,4,0)</f>
        <v>Chandigarh</v>
      </c>
      <c r="T688" t="str">
        <f>VLOOKUP(Table1[[#This Row],[Customer ID]],Customers!$A$2:$F$201,5,0)</f>
        <v>North</v>
      </c>
      <c r="U688" t="str">
        <f>VLOOKUP(Table1[[#This Row],[Customer ID]],Customers!$A$2:$F$201,6,0)</f>
        <v>Corporate</v>
      </c>
      <c r="V688" t="str">
        <f>TEXT(Table1[[#This Row],[Order Date]],"MMM")</f>
        <v>Mar</v>
      </c>
      <c r="W688" t="str">
        <f>TEXT(Table1[[#This Row],[Order Date]],"yyyy")</f>
        <v>2025</v>
      </c>
    </row>
    <row r="689" spans="1:23" x14ac:dyDescent="0.25">
      <c r="A689" s="2" t="s">
        <v>931</v>
      </c>
      <c r="B689" s="4">
        <v>45721</v>
      </c>
      <c r="C689" s="2" t="s">
        <v>269</v>
      </c>
      <c r="D689" s="2" t="str">
        <f>TEXT(Table1[[#This Row],[Order Date]],"mmmm")</f>
        <v>March</v>
      </c>
      <c r="E689" s="2" t="s">
        <v>57</v>
      </c>
      <c r="F689" s="2">
        <v>1</v>
      </c>
      <c r="G689" s="5">
        <v>0</v>
      </c>
      <c r="H689" s="2" t="s">
        <v>30</v>
      </c>
      <c r="I689" s="2" t="s">
        <v>31</v>
      </c>
      <c r="J689" s="2" t="s">
        <v>21</v>
      </c>
      <c r="K689">
        <f>VLOOKUP(E689,Products!$A$2:$E$23,5,0)</f>
        <v>1599</v>
      </c>
      <c r="L689">
        <f>VLOOKUP(E689,Products!$A$2:$E$23,4,0)</f>
        <v>800</v>
      </c>
      <c r="M689" s="2">
        <f>K689*F689-Table1[[#This Row],[discount_amount]]</f>
        <v>1599</v>
      </c>
      <c r="N689">
        <f t="shared" si="21"/>
        <v>800</v>
      </c>
      <c r="O689">
        <f t="shared" si="20"/>
        <v>799</v>
      </c>
      <c r="P689">
        <f>Table1[[#This Row],[Quantity]]*Table1[[#This Row],[unit_price]]*Table1[[#This Row],[Discount]]</f>
        <v>0</v>
      </c>
      <c r="Q689" t="str">
        <f>VLOOKUP(E689,Products!$A$2:$E$23,2,0)</f>
        <v>Hoodie</v>
      </c>
      <c r="R689" t="str">
        <f>VLOOKUP(Table1[[#This Row],[Product ID]],Products!$A$2:$E$23,3,0)</f>
        <v>Clothing</v>
      </c>
      <c r="S689" t="str">
        <f>VLOOKUP(C689,Customers!$A$2:$F$201,4,0)</f>
        <v>Delhi</v>
      </c>
      <c r="T689" t="str">
        <f>VLOOKUP(Table1[[#This Row],[Customer ID]],Customers!$A$2:$F$201,5,0)</f>
        <v>North</v>
      </c>
      <c r="U689" t="str">
        <f>VLOOKUP(Table1[[#This Row],[Customer ID]],Customers!$A$2:$F$201,6,0)</f>
        <v>Corporate</v>
      </c>
      <c r="V689" t="str">
        <f>TEXT(Table1[[#This Row],[Order Date]],"MMM")</f>
        <v>Mar</v>
      </c>
      <c r="W689" t="str">
        <f>TEXT(Table1[[#This Row],[Order Date]],"yyyy")</f>
        <v>2025</v>
      </c>
    </row>
    <row r="690" spans="1:23" x14ac:dyDescent="0.25">
      <c r="A690" s="2" t="s">
        <v>932</v>
      </c>
      <c r="B690" s="4">
        <v>45721</v>
      </c>
      <c r="C690" s="2" t="s">
        <v>160</v>
      </c>
      <c r="D690" s="2" t="str">
        <f>TEXT(Table1[[#This Row],[Order Date]],"mmmm")</f>
        <v>March</v>
      </c>
      <c r="E690" s="2" t="s">
        <v>57</v>
      </c>
      <c r="F690" s="2">
        <v>6</v>
      </c>
      <c r="G690" s="5">
        <v>0.1</v>
      </c>
      <c r="H690" s="2" t="s">
        <v>30</v>
      </c>
      <c r="I690" s="2" t="s">
        <v>38</v>
      </c>
      <c r="J690" s="2" t="s">
        <v>21</v>
      </c>
      <c r="K690">
        <f>VLOOKUP(E690,Products!$A$2:$E$23,5,0)</f>
        <v>1599</v>
      </c>
      <c r="L690">
        <f>VLOOKUP(E690,Products!$A$2:$E$23,4,0)</f>
        <v>800</v>
      </c>
      <c r="M690" s="2">
        <f>K690*F690-Table1[[#This Row],[discount_amount]]</f>
        <v>8634.6</v>
      </c>
      <c r="N690">
        <f t="shared" si="21"/>
        <v>4800</v>
      </c>
      <c r="O690">
        <f t="shared" si="20"/>
        <v>3834.6000000000004</v>
      </c>
      <c r="P690">
        <f>Table1[[#This Row],[Quantity]]*Table1[[#This Row],[unit_price]]*Table1[[#This Row],[Discount]]</f>
        <v>959.40000000000009</v>
      </c>
      <c r="Q690" t="str">
        <f>VLOOKUP(E690,Products!$A$2:$E$23,2,0)</f>
        <v>Hoodie</v>
      </c>
      <c r="R690" t="str">
        <f>VLOOKUP(Table1[[#This Row],[Product ID]],Products!$A$2:$E$23,3,0)</f>
        <v>Clothing</v>
      </c>
      <c r="S690" t="str">
        <f>VLOOKUP(C690,Customers!$A$2:$F$201,4,0)</f>
        <v>Gujarat</v>
      </c>
      <c r="T690" t="str">
        <f>VLOOKUP(Table1[[#This Row],[Customer ID]],Customers!$A$2:$F$201,5,0)</f>
        <v>West</v>
      </c>
      <c r="U690" t="str">
        <f>VLOOKUP(Table1[[#This Row],[Customer ID]],Customers!$A$2:$F$201,6,0)</f>
        <v>Consumer</v>
      </c>
      <c r="V690" t="str">
        <f>TEXT(Table1[[#This Row],[Order Date]],"MMM")</f>
        <v>Mar</v>
      </c>
      <c r="W690" t="str">
        <f>TEXT(Table1[[#This Row],[Order Date]],"yyyy")</f>
        <v>2025</v>
      </c>
    </row>
    <row r="691" spans="1:23" x14ac:dyDescent="0.25">
      <c r="A691" s="2" t="s">
        <v>933</v>
      </c>
      <c r="B691" s="4">
        <v>45723</v>
      </c>
      <c r="C691" s="2" t="s">
        <v>28</v>
      </c>
      <c r="D691" s="2" t="str">
        <f>TEXT(Table1[[#This Row],[Order Date]],"mmmm")</f>
        <v>March</v>
      </c>
      <c r="E691" s="2" t="s">
        <v>91</v>
      </c>
      <c r="F691" s="2">
        <v>3</v>
      </c>
      <c r="G691" s="5">
        <v>0.1</v>
      </c>
      <c r="H691" s="2" t="s">
        <v>19</v>
      </c>
      <c r="I691" s="2" t="s">
        <v>46</v>
      </c>
      <c r="J691" s="2" t="s">
        <v>21</v>
      </c>
      <c r="K691">
        <f>VLOOKUP(E691,Products!$A$2:$E$23,5,0)</f>
        <v>1199</v>
      </c>
      <c r="L691">
        <f>VLOOKUP(E691,Products!$A$2:$E$23,4,0)</f>
        <v>600</v>
      </c>
      <c r="M691" s="2">
        <f>K691*F691-Table1[[#This Row],[discount_amount]]</f>
        <v>3237.3</v>
      </c>
      <c r="N691">
        <f t="shared" si="21"/>
        <v>1800</v>
      </c>
      <c r="O691">
        <f t="shared" si="20"/>
        <v>1437.3000000000002</v>
      </c>
      <c r="P691">
        <f>Table1[[#This Row],[Quantity]]*Table1[[#This Row],[unit_price]]*Table1[[#This Row],[Discount]]</f>
        <v>359.70000000000005</v>
      </c>
      <c r="Q691" t="str">
        <f>VLOOKUP(E691,Products!$A$2:$E$23,2,0)</f>
        <v>Formal Shirt</v>
      </c>
      <c r="R691" t="str">
        <f>VLOOKUP(Table1[[#This Row],[Product ID]],Products!$A$2:$E$23,3,0)</f>
        <v>Clothing</v>
      </c>
      <c r="S691" t="str">
        <f>VLOOKUP(C691,Customers!$A$2:$F$201,4,0)</f>
        <v>Maharashtra</v>
      </c>
      <c r="T691" t="str">
        <f>VLOOKUP(Table1[[#This Row],[Customer ID]],Customers!$A$2:$F$201,5,0)</f>
        <v>West</v>
      </c>
      <c r="U691" t="str">
        <f>VLOOKUP(Table1[[#This Row],[Customer ID]],Customers!$A$2:$F$201,6,0)</f>
        <v>Consumer</v>
      </c>
      <c r="V691" t="str">
        <f>TEXT(Table1[[#This Row],[Order Date]],"MMM")</f>
        <v>Mar</v>
      </c>
      <c r="W691" t="str">
        <f>TEXT(Table1[[#This Row],[Order Date]],"yyyy")</f>
        <v>2025</v>
      </c>
    </row>
    <row r="692" spans="1:23" x14ac:dyDescent="0.25">
      <c r="A692" s="2" t="s">
        <v>934</v>
      </c>
      <c r="B692" s="4">
        <v>45725</v>
      </c>
      <c r="C692" s="2" t="s">
        <v>44</v>
      </c>
      <c r="D692" s="2" t="str">
        <f>TEXT(Table1[[#This Row],[Order Date]],"mmmm")</f>
        <v>March</v>
      </c>
      <c r="E692" s="2" t="s">
        <v>57</v>
      </c>
      <c r="F692" s="2">
        <v>1</v>
      </c>
      <c r="G692" s="5">
        <v>0.15</v>
      </c>
      <c r="H692" s="2" t="s">
        <v>19</v>
      </c>
      <c r="I692" s="2" t="s">
        <v>46</v>
      </c>
      <c r="J692" s="2" t="s">
        <v>21</v>
      </c>
      <c r="K692">
        <f>VLOOKUP(E692,Products!$A$2:$E$23,5,0)</f>
        <v>1599</v>
      </c>
      <c r="L692">
        <f>VLOOKUP(E692,Products!$A$2:$E$23,4,0)</f>
        <v>800</v>
      </c>
      <c r="M692" s="2">
        <f>K692*F692-Table1[[#This Row],[discount_amount]]</f>
        <v>1359.15</v>
      </c>
      <c r="N692">
        <f t="shared" si="21"/>
        <v>800</v>
      </c>
      <c r="O692">
        <f t="shared" si="20"/>
        <v>559.15000000000009</v>
      </c>
      <c r="P692">
        <f>Table1[[#This Row],[Quantity]]*Table1[[#This Row],[unit_price]]*Table1[[#This Row],[Discount]]</f>
        <v>239.85</v>
      </c>
      <c r="Q692" t="str">
        <f>VLOOKUP(E692,Products!$A$2:$E$23,2,0)</f>
        <v>Hoodie</v>
      </c>
      <c r="R692" t="str">
        <f>VLOOKUP(Table1[[#This Row],[Product ID]],Products!$A$2:$E$23,3,0)</f>
        <v>Clothing</v>
      </c>
      <c r="S692" t="str">
        <f>VLOOKUP(C692,Customers!$A$2:$F$201,4,0)</f>
        <v>Gujarat</v>
      </c>
      <c r="T692" t="str">
        <f>VLOOKUP(Table1[[#This Row],[Customer ID]],Customers!$A$2:$F$201,5,0)</f>
        <v>West</v>
      </c>
      <c r="U692" t="str">
        <f>VLOOKUP(Table1[[#This Row],[Customer ID]],Customers!$A$2:$F$201,6,0)</f>
        <v>Home Office</v>
      </c>
      <c r="V692" t="str">
        <f>TEXT(Table1[[#This Row],[Order Date]],"MMM")</f>
        <v>Mar</v>
      </c>
      <c r="W692" t="str">
        <f>TEXT(Table1[[#This Row],[Order Date]],"yyyy")</f>
        <v>2025</v>
      </c>
    </row>
    <row r="693" spans="1:23" x14ac:dyDescent="0.25">
      <c r="A693" s="2" t="s">
        <v>935</v>
      </c>
      <c r="B693" s="4">
        <v>45725</v>
      </c>
      <c r="C693" s="2" t="s">
        <v>203</v>
      </c>
      <c r="D693" s="2" t="str">
        <f>TEXT(Table1[[#This Row],[Order Date]],"mmmm")</f>
        <v>March</v>
      </c>
      <c r="E693" s="2" t="s">
        <v>24</v>
      </c>
      <c r="F693" s="2">
        <v>1</v>
      </c>
      <c r="G693" s="5">
        <v>0.05</v>
      </c>
      <c r="H693" s="2" t="s">
        <v>19</v>
      </c>
      <c r="I693" s="2" t="s">
        <v>20</v>
      </c>
      <c r="J693" s="2" t="s">
        <v>94</v>
      </c>
      <c r="K693">
        <f>VLOOKUP(E693,Products!$A$2:$E$23,5,0)</f>
        <v>899</v>
      </c>
      <c r="L693">
        <f>VLOOKUP(E693,Products!$A$2:$E$23,4,0)</f>
        <v>500</v>
      </c>
      <c r="M693" s="2">
        <f>K693*F693-Table1[[#This Row],[discount_amount]]</f>
        <v>854.05</v>
      </c>
      <c r="N693">
        <f t="shared" si="21"/>
        <v>500</v>
      </c>
      <c r="O693">
        <f t="shared" si="20"/>
        <v>354.04999999999995</v>
      </c>
      <c r="P693">
        <f>Table1[[#This Row],[Quantity]]*Table1[[#This Row],[unit_price]]*Table1[[#This Row],[Discount]]</f>
        <v>44.95</v>
      </c>
      <c r="Q693" t="str">
        <f>VLOOKUP(E693,Products!$A$2:$E$23,2,0)</f>
        <v>Monitor Stand</v>
      </c>
      <c r="R693" t="str">
        <f>VLOOKUP(Table1[[#This Row],[Product ID]],Products!$A$2:$E$23,3,0)</f>
        <v>Furniture</v>
      </c>
      <c r="S693" t="str">
        <f>VLOOKUP(C693,Customers!$A$2:$F$201,4,0)</f>
        <v>Kerala</v>
      </c>
      <c r="T693" t="str">
        <f>VLOOKUP(Table1[[#This Row],[Customer ID]],Customers!$A$2:$F$201,5,0)</f>
        <v>South</v>
      </c>
      <c r="U693" t="str">
        <f>VLOOKUP(Table1[[#This Row],[Customer ID]],Customers!$A$2:$F$201,6,0)</f>
        <v>Corporate</v>
      </c>
      <c r="V693" t="str">
        <f>TEXT(Table1[[#This Row],[Order Date]],"MMM")</f>
        <v>Mar</v>
      </c>
      <c r="W693" t="str">
        <f>TEXT(Table1[[#This Row],[Order Date]],"yyyy")</f>
        <v>2025</v>
      </c>
    </row>
    <row r="694" spans="1:23" x14ac:dyDescent="0.25">
      <c r="A694" s="2" t="s">
        <v>936</v>
      </c>
      <c r="B694" s="4">
        <v>45725</v>
      </c>
      <c r="C694" s="2" t="s">
        <v>256</v>
      </c>
      <c r="D694" s="2" t="str">
        <f>TEXT(Table1[[#This Row],[Order Date]],"mmmm")</f>
        <v>March</v>
      </c>
      <c r="E694" s="2" t="s">
        <v>135</v>
      </c>
      <c r="F694" s="2">
        <v>1</v>
      </c>
      <c r="G694" s="5">
        <v>0.05</v>
      </c>
      <c r="H694" s="2" t="s">
        <v>25</v>
      </c>
      <c r="I694" s="2" t="s">
        <v>20</v>
      </c>
      <c r="J694" s="2" t="s">
        <v>21</v>
      </c>
      <c r="K694">
        <f>VLOOKUP(E694,Products!$A$2:$E$23,5,0)</f>
        <v>220</v>
      </c>
      <c r="L694">
        <f>VLOOKUP(E694,Products!$A$2:$E$23,4,0)</f>
        <v>120</v>
      </c>
      <c r="M694" s="2">
        <f>K694*F694-Table1[[#This Row],[discount_amount]]</f>
        <v>209</v>
      </c>
      <c r="N694">
        <f t="shared" si="21"/>
        <v>120</v>
      </c>
      <c r="O694">
        <f t="shared" si="20"/>
        <v>89</v>
      </c>
      <c r="P694">
        <f>Table1[[#This Row],[Quantity]]*Table1[[#This Row],[unit_price]]*Table1[[#This Row],[Discount]]</f>
        <v>11</v>
      </c>
      <c r="Q694" t="str">
        <f>VLOOKUP(E694,Products!$A$2:$E$23,2,0)</f>
        <v>Stapler</v>
      </c>
      <c r="R694" t="str">
        <f>VLOOKUP(Table1[[#This Row],[Product ID]],Products!$A$2:$E$23,3,0)</f>
        <v>Office Supplies</v>
      </c>
      <c r="S694" t="str">
        <f>VLOOKUP(C694,Customers!$A$2:$F$201,4,0)</f>
        <v>Gujarat</v>
      </c>
      <c r="T694" t="str">
        <f>VLOOKUP(Table1[[#This Row],[Customer ID]],Customers!$A$2:$F$201,5,0)</f>
        <v>West</v>
      </c>
      <c r="U694" t="str">
        <f>VLOOKUP(Table1[[#This Row],[Customer ID]],Customers!$A$2:$F$201,6,0)</f>
        <v>Consumer</v>
      </c>
      <c r="V694" t="str">
        <f>TEXT(Table1[[#This Row],[Order Date]],"MMM")</f>
        <v>Mar</v>
      </c>
      <c r="W694" t="str">
        <f>TEXT(Table1[[#This Row],[Order Date]],"yyyy")</f>
        <v>2025</v>
      </c>
    </row>
    <row r="695" spans="1:23" x14ac:dyDescent="0.25">
      <c r="A695" s="2" t="s">
        <v>937</v>
      </c>
      <c r="B695" s="4">
        <v>45726</v>
      </c>
      <c r="C695" s="2" t="s">
        <v>176</v>
      </c>
      <c r="D695" s="2" t="str">
        <f>TEXT(Table1[[#This Row],[Order Date]],"mmmm")</f>
        <v>March</v>
      </c>
      <c r="E695" s="2" t="s">
        <v>155</v>
      </c>
      <c r="F695" s="2">
        <v>10</v>
      </c>
      <c r="G695" s="5">
        <v>0.15</v>
      </c>
      <c r="H695" s="2" t="s">
        <v>25</v>
      </c>
      <c r="I695" s="2" t="s">
        <v>26</v>
      </c>
      <c r="J695" s="2" t="s">
        <v>21</v>
      </c>
      <c r="K695">
        <f>VLOOKUP(E695,Products!$A$2:$E$23,5,0)</f>
        <v>1599</v>
      </c>
      <c r="L695">
        <f>VLOOKUP(E695,Products!$A$2:$E$23,4,0)</f>
        <v>900</v>
      </c>
      <c r="M695" s="2">
        <f>K695*F695-Table1[[#This Row],[discount_amount]]</f>
        <v>13591.5</v>
      </c>
      <c r="N695">
        <f t="shared" si="21"/>
        <v>9000</v>
      </c>
      <c r="O695">
        <f t="shared" si="20"/>
        <v>4591.5</v>
      </c>
      <c r="P695">
        <f>Table1[[#This Row],[Quantity]]*Table1[[#This Row],[unit_price]]*Table1[[#This Row],[Discount]]</f>
        <v>2398.5</v>
      </c>
      <c r="Q695" t="str">
        <f>VLOOKUP(E695,Products!$A$2:$E$23,2,0)</f>
        <v>Headphones</v>
      </c>
      <c r="R695" t="str">
        <f>VLOOKUP(Table1[[#This Row],[Product ID]],Products!$A$2:$E$23,3,0)</f>
        <v>Electronics</v>
      </c>
      <c r="S695" t="str">
        <f>VLOOKUP(C695,Customers!$A$2:$F$201,4,0)</f>
        <v>Madhya Pradesh</v>
      </c>
      <c r="T695" t="str">
        <f>VLOOKUP(Table1[[#This Row],[Customer ID]],Customers!$A$2:$F$201,5,0)</f>
        <v>Central</v>
      </c>
      <c r="U695" t="str">
        <f>VLOOKUP(Table1[[#This Row],[Customer ID]],Customers!$A$2:$F$201,6,0)</f>
        <v>Consumer</v>
      </c>
      <c r="V695" t="str">
        <f>TEXT(Table1[[#This Row],[Order Date]],"MMM")</f>
        <v>Mar</v>
      </c>
      <c r="W695" t="str">
        <f>TEXT(Table1[[#This Row],[Order Date]],"yyyy")</f>
        <v>2025</v>
      </c>
    </row>
    <row r="696" spans="1:23" x14ac:dyDescent="0.25">
      <c r="A696" s="2" t="s">
        <v>938</v>
      </c>
      <c r="B696" s="4">
        <v>45726</v>
      </c>
      <c r="C696" s="2" t="s">
        <v>939</v>
      </c>
      <c r="D696" s="2" t="str">
        <f>TEXT(Table1[[#This Row],[Order Date]],"mmmm")</f>
        <v>March</v>
      </c>
      <c r="E696" s="2" t="s">
        <v>118</v>
      </c>
      <c r="F696" s="2">
        <v>1</v>
      </c>
      <c r="G696" s="5">
        <v>0</v>
      </c>
      <c r="H696" s="2" t="s">
        <v>19</v>
      </c>
      <c r="I696" s="2" t="s">
        <v>38</v>
      </c>
      <c r="J696" s="2" t="s">
        <v>21</v>
      </c>
      <c r="K696">
        <f>VLOOKUP(E696,Products!$A$2:$E$23,5,0)</f>
        <v>150</v>
      </c>
      <c r="L696">
        <f>VLOOKUP(E696,Products!$A$2:$E$23,4,0)</f>
        <v>90</v>
      </c>
      <c r="M696" s="2">
        <f>K696*F696-Table1[[#This Row],[discount_amount]]</f>
        <v>150</v>
      </c>
      <c r="N696">
        <f t="shared" si="21"/>
        <v>90</v>
      </c>
      <c r="O696">
        <f t="shared" si="20"/>
        <v>60</v>
      </c>
      <c r="P696">
        <f>Table1[[#This Row],[Quantity]]*Table1[[#This Row],[unit_price]]*Table1[[#This Row],[Discount]]</f>
        <v>0</v>
      </c>
      <c r="Q696" t="str">
        <f>VLOOKUP(E696,Products!$A$2:$E$23,2,0)</f>
        <v>Gel Pen Box</v>
      </c>
      <c r="R696" t="str">
        <f>VLOOKUP(Table1[[#This Row],[Product ID]],Products!$A$2:$E$23,3,0)</f>
        <v>Office Supplies</v>
      </c>
      <c r="S696" t="str">
        <f>VLOOKUP(C696,Customers!$A$2:$F$201,4,0)</f>
        <v>Uttar Pradesh</v>
      </c>
      <c r="T696" t="str">
        <f>VLOOKUP(Table1[[#This Row],[Customer ID]],Customers!$A$2:$F$201,5,0)</f>
        <v>North</v>
      </c>
      <c r="U696" t="str">
        <f>VLOOKUP(Table1[[#This Row],[Customer ID]],Customers!$A$2:$F$201,6,0)</f>
        <v>Consumer</v>
      </c>
      <c r="V696" t="str">
        <f>TEXT(Table1[[#This Row],[Order Date]],"MMM")</f>
        <v>Mar</v>
      </c>
      <c r="W696" t="str">
        <f>TEXT(Table1[[#This Row],[Order Date]],"yyyy")</f>
        <v>2025</v>
      </c>
    </row>
    <row r="697" spans="1:23" x14ac:dyDescent="0.25">
      <c r="A697" s="2" t="s">
        <v>940</v>
      </c>
      <c r="B697" s="4">
        <v>45727</v>
      </c>
      <c r="C697" s="2" t="s">
        <v>228</v>
      </c>
      <c r="D697" s="2" t="str">
        <f>TEXT(Table1[[#This Row],[Order Date]],"mmmm")</f>
        <v>March</v>
      </c>
      <c r="E697" s="2" t="s">
        <v>54</v>
      </c>
      <c r="F697" s="2">
        <v>3</v>
      </c>
      <c r="G697" s="5">
        <v>0.05</v>
      </c>
      <c r="H697" s="2" t="s">
        <v>30</v>
      </c>
      <c r="I697" s="2" t="s">
        <v>20</v>
      </c>
      <c r="J697" s="2" t="s">
        <v>21</v>
      </c>
      <c r="K697">
        <f>VLOOKUP(E697,Products!$A$2:$E$23,5,0)</f>
        <v>299</v>
      </c>
      <c r="L697">
        <f>VLOOKUP(E697,Products!$A$2:$E$23,4,0)</f>
        <v>180</v>
      </c>
      <c r="M697" s="2">
        <f>K697*F697-Table1[[#This Row],[discount_amount]]</f>
        <v>852.15</v>
      </c>
      <c r="N697">
        <f t="shared" si="21"/>
        <v>540</v>
      </c>
      <c r="O697">
        <f t="shared" si="20"/>
        <v>312.14999999999998</v>
      </c>
      <c r="P697">
        <f>Table1[[#This Row],[Quantity]]*Table1[[#This Row],[unit_price]]*Table1[[#This Row],[Discount]]</f>
        <v>44.85</v>
      </c>
      <c r="Q697" t="str">
        <f>VLOOKUP(E697,Products!$A$2:$E$23,2,0)</f>
        <v>Notebook Pack of 5</v>
      </c>
      <c r="R697" t="str">
        <f>VLOOKUP(Table1[[#This Row],[Product ID]],Products!$A$2:$E$23,3,0)</f>
        <v>Office Supplies</v>
      </c>
      <c r="S697" t="str">
        <f>VLOOKUP(C697,Customers!$A$2:$F$201,4,0)</f>
        <v>Odisha</v>
      </c>
      <c r="T697" t="str">
        <f>VLOOKUP(Table1[[#This Row],[Customer ID]],Customers!$A$2:$F$201,5,0)</f>
        <v>East</v>
      </c>
      <c r="U697" t="str">
        <f>VLOOKUP(Table1[[#This Row],[Customer ID]],Customers!$A$2:$F$201,6,0)</f>
        <v>Consumer</v>
      </c>
      <c r="V697" t="str">
        <f>TEXT(Table1[[#This Row],[Order Date]],"MMM")</f>
        <v>Mar</v>
      </c>
      <c r="W697" t="str">
        <f>TEXT(Table1[[#This Row],[Order Date]],"yyyy")</f>
        <v>2025</v>
      </c>
    </row>
    <row r="698" spans="1:23" x14ac:dyDescent="0.25">
      <c r="A698" s="2" t="s">
        <v>941</v>
      </c>
      <c r="B698" s="4">
        <v>45728</v>
      </c>
      <c r="C698" s="2" t="s">
        <v>942</v>
      </c>
      <c r="D698" s="2" t="str">
        <f>TEXT(Table1[[#This Row],[Order Date]],"mmmm")</f>
        <v>March</v>
      </c>
      <c r="E698" s="2" t="s">
        <v>45</v>
      </c>
      <c r="F698" s="2">
        <v>3</v>
      </c>
      <c r="G698" s="5">
        <v>0.1</v>
      </c>
      <c r="H698" s="2" t="s">
        <v>25</v>
      </c>
      <c r="I698" s="2" t="s">
        <v>26</v>
      </c>
      <c r="J698" s="2" t="s">
        <v>79</v>
      </c>
      <c r="K698">
        <f>VLOOKUP(E698,Products!$A$2:$E$23,5,0)</f>
        <v>899</v>
      </c>
      <c r="L698">
        <f>VLOOKUP(E698,Products!$A$2:$E$23,4,0)</f>
        <v>450</v>
      </c>
      <c r="M698" s="2">
        <f>K698*F698-Table1[[#This Row],[discount_amount]]</f>
        <v>2427.3000000000002</v>
      </c>
      <c r="N698">
        <f t="shared" si="21"/>
        <v>1350</v>
      </c>
      <c r="O698">
        <f t="shared" si="20"/>
        <v>1077.3000000000002</v>
      </c>
      <c r="P698">
        <f>Table1[[#This Row],[Quantity]]*Table1[[#This Row],[unit_price]]*Table1[[#This Row],[Discount]]</f>
        <v>269.7</v>
      </c>
      <c r="Q698" t="str">
        <f>VLOOKUP(E698,Products!$A$2:$E$23,2,0)</f>
        <v>Track Pants</v>
      </c>
      <c r="R698" t="str">
        <f>VLOOKUP(Table1[[#This Row],[Product ID]],Products!$A$2:$E$23,3,0)</f>
        <v>Clothing</v>
      </c>
      <c r="S698" t="str">
        <f>VLOOKUP(C698,Customers!$A$2:$F$201,4,0)</f>
        <v>Rajasthan</v>
      </c>
      <c r="T698" t="str">
        <f>VLOOKUP(Table1[[#This Row],[Customer ID]],Customers!$A$2:$F$201,5,0)</f>
        <v>North</v>
      </c>
      <c r="U698" t="str">
        <f>VLOOKUP(Table1[[#This Row],[Customer ID]],Customers!$A$2:$F$201,6,0)</f>
        <v>Corporate</v>
      </c>
      <c r="V698" t="str">
        <f>TEXT(Table1[[#This Row],[Order Date]],"MMM")</f>
        <v>Mar</v>
      </c>
      <c r="W698" t="str">
        <f>TEXT(Table1[[#This Row],[Order Date]],"yyyy")</f>
        <v>2025</v>
      </c>
    </row>
    <row r="699" spans="1:23" x14ac:dyDescent="0.25">
      <c r="A699" s="2" t="s">
        <v>943</v>
      </c>
      <c r="B699" s="4">
        <v>45729</v>
      </c>
      <c r="C699" s="2" t="s">
        <v>258</v>
      </c>
      <c r="D699" s="2" t="str">
        <f>TEXT(Table1[[#This Row],[Order Date]],"mmmm")</f>
        <v>March</v>
      </c>
      <c r="E699" s="2" t="s">
        <v>111</v>
      </c>
      <c r="F699" s="2">
        <v>6</v>
      </c>
      <c r="G699" s="5">
        <v>0.1</v>
      </c>
      <c r="H699" s="2" t="s">
        <v>30</v>
      </c>
      <c r="I699" s="2" t="s">
        <v>38</v>
      </c>
      <c r="J699" s="2" t="s">
        <v>21</v>
      </c>
      <c r="K699">
        <f>VLOOKUP(E699,Products!$A$2:$E$23,5,0)</f>
        <v>240</v>
      </c>
      <c r="L699">
        <f>VLOOKUP(E699,Products!$A$2:$E$23,4,0)</f>
        <v>140</v>
      </c>
      <c r="M699" s="2">
        <f>K699*F699-Table1[[#This Row],[discount_amount]]</f>
        <v>1296</v>
      </c>
      <c r="N699">
        <f t="shared" si="21"/>
        <v>840</v>
      </c>
      <c r="O699">
        <f t="shared" si="20"/>
        <v>456</v>
      </c>
      <c r="P699">
        <f>Table1[[#This Row],[Quantity]]*Table1[[#This Row],[unit_price]]*Table1[[#This Row],[Discount]]</f>
        <v>144</v>
      </c>
      <c r="Q699" t="str">
        <f>VLOOKUP(E699,Products!$A$2:$E$23,2,0)</f>
        <v>Whiteboard Marker Set</v>
      </c>
      <c r="R699" t="str">
        <f>VLOOKUP(Table1[[#This Row],[Product ID]],Products!$A$2:$E$23,3,0)</f>
        <v>Office Supplies</v>
      </c>
      <c r="S699" t="str">
        <f>VLOOKUP(C699,Customers!$A$2:$F$201,4,0)</f>
        <v>Karnataka</v>
      </c>
      <c r="T699" t="str">
        <f>VLOOKUP(Table1[[#This Row],[Customer ID]],Customers!$A$2:$F$201,5,0)</f>
        <v>South</v>
      </c>
      <c r="U699" t="str">
        <f>VLOOKUP(Table1[[#This Row],[Customer ID]],Customers!$A$2:$F$201,6,0)</f>
        <v>Consumer</v>
      </c>
      <c r="V699" t="str">
        <f>TEXT(Table1[[#This Row],[Order Date]],"MMM")</f>
        <v>Mar</v>
      </c>
      <c r="W699" t="str">
        <f>TEXT(Table1[[#This Row],[Order Date]],"yyyy")</f>
        <v>2025</v>
      </c>
    </row>
    <row r="700" spans="1:23" x14ac:dyDescent="0.25">
      <c r="A700" s="2" t="s">
        <v>944</v>
      </c>
      <c r="B700" s="4">
        <v>45731</v>
      </c>
      <c r="C700" s="2" t="s">
        <v>221</v>
      </c>
      <c r="D700" s="2" t="str">
        <f>TEXT(Table1[[#This Row],[Order Date]],"mmmm")</f>
        <v>March</v>
      </c>
      <c r="E700" s="2" t="s">
        <v>91</v>
      </c>
      <c r="F700" s="2">
        <v>6</v>
      </c>
      <c r="G700" s="5">
        <v>0</v>
      </c>
      <c r="H700" s="2" t="s">
        <v>25</v>
      </c>
      <c r="I700" s="2" t="s">
        <v>26</v>
      </c>
      <c r="J700" s="2" t="s">
        <v>21</v>
      </c>
      <c r="K700">
        <f>VLOOKUP(E700,Products!$A$2:$E$23,5,0)</f>
        <v>1199</v>
      </c>
      <c r="L700">
        <f>VLOOKUP(E700,Products!$A$2:$E$23,4,0)</f>
        <v>600</v>
      </c>
      <c r="M700" s="2">
        <f>K700*F700-Table1[[#This Row],[discount_amount]]</f>
        <v>7194</v>
      </c>
      <c r="N700">
        <f t="shared" si="21"/>
        <v>3600</v>
      </c>
      <c r="O700">
        <f t="shared" si="20"/>
        <v>3594</v>
      </c>
      <c r="P700">
        <f>Table1[[#This Row],[Quantity]]*Table1[[#This Row],[unit_price]]*Table1[[#This Row],[Discount]]</f>
        <v>0</v>
      </c>
      <c r="Q700" t="str">
        <f>VLOOKUP(E700,Products!$A$2:$E$23,2,0)</f>
        <v>Formal Shirt</v>
      </c>
      <c r="R700" t="str">
        <f>VLOOKUP(Table1[[#This Row],[Product ID]],Products!$A$2:$E$23,3,0)</f>
        <v>Clothing</v>
      </c>
      <c r="S700" t="str">
        <f>VLOOKUP(C700,Customers!$A$2:$F$201,4,0)</f>
        <v>Madhya Pradesh</v>
      </c>
      <c r="T700" t="str">
        <f>VLOOKUP(Table1[[#This Row],[Customer ID]],Customers!$A$2:$F$201,5,0)</f>
        <v>Central</v>
      </c>
      <c r="U700" t="str">
        <f>VLOOKUP(Table1[[#This Row],[Customer ID]],Customers!$A$2:$F$201,6,0)</f>
        <v>Home Office</v>
      </c>
      <c r="V700" t="str">
        <f>TEXT(Table1[[#This Row],[Order Date]],"MMM")</f>
        <v>Mar</v>
      </c>
      <c r="W700" t="str">
        <f>TEXT(Table1[[#This Row],[Order Date]],"yyyy")</f>
        <v>2025</v>
      </c>
    </row>
    <row r="701" spans="1:23" x14ac:dyDescent="0.25">
      <c r="A701" s="2" t="s">
        <v>945</v>
      </c>
      <c r="B701" s="4">
        <v>45731</v>
      </c>
      <c r="C701" s="2" t="s">
        <v>533</v>
      </c>
      <c r="D701" s="2" t="str">
        <f>TEXT(Table1[[#This Row],[Order Date]],"mmmm")</f>
        <v>March</v>
      </c>
      <c r="E701" s="2" t="s">
        <v>111</v>
      </c>
      <c r="F701" s="2">
        <v>6</v>
      </c>
      <c r="G701" s="5">
        <v>0.2</v>
      </c>
      <c r="H701" s="2" t="s">
        <v>19</v>
      </c>
      <c r="I701" s="2" t="s">
        <v>38</v>
      </c>
      <c r="J701" s="2" t="s">
        <v>21</v>
      </c>
      <c r="K701">
        <f>VLOOKUP(E701,Products!$A$2:$E$23,5,0)</f>
        <v>240</v>
      </c>
      <c r="L701">
        <f>VLOOKUP(E701,Products!$A$2:$E$23,4,0)</f>
        <v>140</v>
      </c>
      <c r="M701" s="2">
        <f>K701*F701-Table1[[#This Row],[discount_amount]]</f>
        <v>1152</v>
      </c>
      <c r="N701">
        <f t="shared" si="21"/>
        <v>840</v>
      </c>
      <c r="O701">
        <f t="shared" si="20"/>
        <v>312</v>
      </c>
      <c r="P701">
        <f>Table1[[#This Row],[Quantity]]*Table1[[#This Row],[unit_price]]*Table1[[#This Row],[Discount]]</f>
        <v>288</v>
      </c>
      <c r="Q701" t="str">
        <f>VLOOKUP(E701,Products!$A$2:$E$23,2,0)</f>
        <v>Whiteboard Marker Set</v>
      </c>
      <c r="R701" t="str">
        <f>VLOOKUP(Table1[[#This Row],[Product ID]],Products!$A$2:$E$23,3,0)</f>
        <v>Office Supplies</v>
      </c>
      <c r="S701" t="str">
        <f>VLOOKUP(C701,Customers!$A$2:$F$201,4,0)</f>
        <v>Gujarat</v>
      </c>
      <c r="T701" t="str">
        <f>VLOOKUP(Table1[[#This Row],[Customer ID]],Customers!$A$2:$F$201,5,0)</f>
        <v>West</v>
      </c>
      <c r="U701" t="str">
        <f>VLOOKUP(Table1[[#This Row],[Customer ID]],Customers!$A$2:$F$201,6,0)</f>
        <v>Corporate</v>
      </c>
      <c r="V701" t="str">
        <f>TEXT(Table1[[#This Row],[Order Date]],"MMM")</f>
        <v>Mar</v>
      </c>
      <c r="W701" t="str">
        <f>TEXT(Table1[[#This Row],[Order Date]],"yyyy")</f>
        <v>2025</v>
      </c>
    </row>
    <row r="702" spans="1:23" x14ac:dyDescent="0.25">
      <c r="A702" s="2" t="s">
        <v>946</v>
      </c>
      <c r="B702" s="4">
        <v>45731</v>
      </c>
      <c r="C702" s="2" t="s">
        <v>108</v>
      </c>
      <c r="D702" s="2" t="str">
        <f>TEXT(Table1[[#This Row],[Order Date]],"mmmm")</f>
        <v>March</v>
      </c>
      <c r="E702" s="2" t="s">
        <v>24</v>
      </c>
      <c r="F702" s="2">
        <v>1</v>
      </c>
      <c r="G702" s="5">
        <v>0.05</v>
      </c>
      <c r="H702" s="2" t="s">
        <v>25</v>
      </c>
      <c r="I702" s="2" t="s">
        <v>31</v>
      </c>
      <c r="J702" s="2" t="s">
        <v>21</v>
      </c>
      <c r="K702">
        <f>VLOOKUP(E702,Products!$A$2:$E$23,5,0)</f>
        <v>899</v>
      </c>
      <c r="L702">
        <f>VLOOKUP(E702,Products!$A$2:$E$23,4,0)</f>
        <v>500</v>
      </c>
      <c r="M702" s="2">
        <f>K702*F702-Table1[[#This Row],[discount_amount]]</f>
        <v>854.05</v>
      </c>
      <c r="N702">
        <f t="shared" si="21"/>
        <v>500</v>
      </c>
      <c r="O702">
        <f t="shared" si="20"/>
        <v>354.04999999999995</v>
      </c>
      <c r="P702">
        <f>Table1[[#This Row],[Quantity]]*Table1[[#This Row],[unit_price]]*Table1[[#This Row],[Discount]]</f>
        <v>44.95</v>
      </c>
      <c r="Q702" t="str">
        <f>VLOOKUP(E702,Products!$A$2:$E$23,2,0)</f>
        <v>Monitor Stand</v>
      </c>
      <c r="R702" t="str">
        <f>VLOOKUP(Table1[[#This Row],[Product ID]],Products!$A$2:$E$23,3,0)</f>
        <v>Furniture</v>
      </c>
      <c r="S702" t="str">
        <f>VLOOKUP(C702,Customers!$A$2:$F$201,4,0)</f>
        <v>West Bengal</v>
      </c>
      <c r="T702" t="str">
        <f>VLOOKUP(Table1[[#This Row],[Customer ID]],Customers!$A$2:$F$201,5,0)</f>
        <v>East</v>
      </c>
      <c r="U702" t="str">
        <f>VLOOKUP(Table1[[#This Row],[Customer ID]],Customers!$A$2:$F$201,6,0)</f>
        <v>Corporate</v>
      </c>
      <c r="V702" t="str">
        <f>TEXT(Table1[[#This Row],[Order Date]],"MMM")</f>
        <v>Mar</v>
      </c>
      <c r="W702" t="str">
        <f>TEXT(Table1[[#This Row],[Order Date]],"yyyy")</f>
        <v>2025</v>
      </c>
    </row>
    <row r="703" spans="1:23" x14ac:dyDescent="0.25">
      <c r="A703" s="2" t="s">
        <v>947</v>
      </c>
      <c r="B703" s="4">
        <v>45731</v>
      </c>
      <c r="C703" s="2" t="s">
        <v>217</v>
      </c>
      <c r="D703" s="2" t="str">
        <f>TEXT(Table1[[#This Row],[Order Date]],"mmmm")</f>
        <v>March</v>
      </c>
      <c r="E703" s="2" t="s">
        <v>54</v>
      </c>
      <c r="F703" s="2">
        <v>10</v>
      </c>
      <c r="G703" s="5">
        <v>0</v>
      </c>
      <c r="H703" s="2" t="s">
        <v>30</v>
      </c>
      <c r="I703" s="2" t="s">
        <v>38</v>
      </c>
      <c r="J703" s="2" t="s">
        <v>21</v>
      </c>
      <c r="K703">
        <f>VLOOKUP(E703,Products!$A$2:$E$23,5,0)</f>
        <v>299</v>
      </c>
      <c r="L703">
        <f>VLOOKUP(E703,Products!$A$2:$E$23,4,0)</f>
        <v>180</v>
      </c>
      <c r="M703" s="2">
        <f>K703*F703-Table1[[#This Row],[discount_amount]]</f>
        <v>2990</v>
      </c>
      <c r="N703">
        <f t="shared" si="21"/>
        <v>1800</v>
      </c>
      <c r="O703">
        <f t="shared" si="20"/>
        <v>1190</v>
      </c>
      <c r="P703">
        <f>Table1[[#This Row],[Quantity]]*Table1[[#This Row],[unit_price]]*Table1[[#This Row],[Discount]]</f>
        <v>0</v>
      </c>
      <c r="Q703" t="str">
        <f>VLOOKUP(E703,Products!$A$2:$E$23,2,0)</f>
        <v>Notebook Pack of 5</v>
      </c>
      <c r="R703" t="str">
        <f>VLOOKUP(Table1[[#This Row],[Product ID]],Products!$A$2:$E$23,3,0)</f>
        <v>Office Supplies</v>
      </c>
      <c r="S703" t="str">
        <f>VLOOKUP(C703,Customers!$A$2:$F$201,4,0)</f>
        <v>Madhya Pradesh</v>
      </c>
      <c r="T703" t="str">
        <f>VLOOKUP(Table1[[#This Row],[Customer ID]],Customers!$A$2:$F$201,5,0)</f>
        <v>Central</v>
      </c>
      <c r="U703" t="str">
        <f>VLOOKUP(Table1[[#This Row],[Customer ID]],Customers!$A$2:$F$201,6,0)</f>
        <v>Corporate</v>
      </c>
      <c r="V703" t="str">
        <f>TEXT(Table1[[#This Row],[Order Date]],"MMM")</f>
        <v>Mar</v>
      </c>
      <c r="W703" t="str">
        <f>TEXT(Table1[[#This Row],[Order Date]],"yyyy")</f>
        <v>2025</v>
      </c>
    </row>
    <row r="704" spans="1:23" x14ac:dyDescent="0.25">
      <c r="A704" s="2" t="s">
        <v>948</v>
      </c>
      <c r="B704" s="4">
        <v>45732</v>
      </c>
      <c r="C704" s="2" t="s">
        <v>269</v>
      </c>
      <c r="D704" s="2" t="str">
        <f>TEXT(Table1[[#This Row],[Order Date]],"mmmm")</f>
        <v>March</v>
      </c>
      <c r="E704" s="2" t="s">
        <v>66</v>
      </c>
      <c r="F704" s="2">
        <v>1</v>
      </c>
      <c r="G704" s="5">
        <v>0.05</v>
      </c>
      <c r="H704" s="2" t="s">
        <v>30</v>
      </c>
      <c r="I704" s="2" t="s">
        <v>46</v>
      </c>
      <c r="J704" s="2" t="s">
        <v>79</v>
      </c>
      <c r="K704">
        <f>VLOOKUP(E704,Products!$A$2:$E$23,5,0)</f>
        <v>1299</v>
      </c>
      <c r="L704">
        <f>VLOOKUP(E704,Products!$A$2:$E$23,4,0)</f>
        <v>800</v>
      </c>
      <c r="M704" s="2">
        <f>K704*F704-Table1[[#This Row],[discount_amount]]</f>
        <v>1234.05</v>
      </c>
      <c r="N704">
        <f t="shared" si="21"/>
        <v>800</v>
      </c>
      <c r="O704">
        <f t="shared" si="20"/>
        <v>434.04999999999995</v>
      </c>
      <c r="P704">
        <f>Table1[[#This Row],[Quantity]]*Table1[[#This Row],[unit_price]]*Table1[[#This Row],[Discount]]</f>
        <v>64.95</v>
      </c>
      <c r="Q704" t="str">
        <f>VLOOKUP(E704,Products!$A$2:$E$23,2,0)</f>
        <v>Power Bank 10000mAh</v>
      </c>
      <c r="R704" t="str">
        <f>VLOOKUP(Table1[[#This Row],[Product ID]],Products!$A$2:$E$23,3,0)</f>
        <v>Electronics</v>
      </c>
      <c r="S704" t="str">
        <f>VLOOKUP(C704,Customers!$A$2:$F$201,4,0)</f>
        <v>Delhi</v>
      </c>
      <c r="T704" t="str">
        <f>VLOOKUP(Table1[[#This Row],[Customer ID]],Customers!$A$2:$F$201,5,0)</f>
        <v>North</v>
      </c>
      <c r="U704" t="str">
        <f>VLOOKUP(Table1[[#This Row],[Customer ID]],Customers!$A$2:$F$201,6,0)</f>
        <v>Corporate</v>
      </c>
      <c r="V704" t="str">
        <f>TEXT(Table1[[#This Row],[Order Date]],"MMM")</f>
        <v>Mar</v>
      </c>
      <c r="W704" t="str">
        <f>TEXT(Table1[[#This Row],[Order Date]],"yyyy")</f>
        <v>2025</v>
      </c>
    </row>
    <row r="705" spans="1:23" x14ac:dyDescent="0.25">
      <c r="A705" s="2" t="s">
        <v>949</v>
      </c>
      <c r="B705" s="4">
        <v>45732</v>
      </c>
      <c r="C705" s="2" t="s">
        <v>356</v>
      </c>
      <c r="D705" s="2" t="str">
        <f>TEXT(Table1[[#This Row],[Order Date]],"mmmm")</f>
        <v>March</v>
      </c>
      <c r="E705" s="2" t="s">
        <v>57</v>
      </c>
      <c r="F705" s="2">
        <v>1</v>
      </c>
      <c r="G705" s="5">
        <v>0</v>
      </c>
      <c r="H705" s="2" t="s">
        <v>19</v>
      </c>
      <c r="I705" s="2" t="s">
        <v>38</v>
      </c>
      <c r="J705" s="2" t="s">
        <v>21</v>
      </c>
      <c r="K705">
        <f>VLOOKUP(E705,Products!$A$2:$E$23,5,0)</f>
        <v>1599</v>
      </c>
      <c r="L705">
        <f>VLOOKUP(E705,Products!$A$2:$E$23,4,0)</f>
        <v>800</v>
      </c>
      <c r="M705" s="2">
        <f>K705*F705-Table1[[#This Row],[discount_amount]]</f>
        <v>1599</v>
      </c>
      <c r="N705">
        <f t="shared" si="21"/>
        <v>800</v>
      </c>
      <c r="O705">
        <f t="shared" si="20"/>
        <v>799</v>
      </c>
      <c r="P705">
        <f>Table1[[#This Row],[Quantity]]*Table1[[#This Row],[unit_price]]*Table1[[#This Row],[Discount]]</f>
        <v>0</v>
      </c>
      <c r="Q705" t="str">
        <f>VLOOKUP(E705,Products!$A$2:$E$23,2,0)</f>
        <v>Hoodie</v>
      </c>
      <c r="R705" t="str">
        <f>VLOOKUP(Table1[[#This Row],[Product ID]],Products!$A$2:$E$23,3,0)</f>
        <v>Clothing</v>
      </c>
      <c r="S705" t="str">
        <f>VLOOKUP(C705,Customers!$A$2:$F$201,4,0)</f>
        <v>Gujarat</v>
      </c>
      <c r="T705" t="str">
        <f>VLOOKUP(Table1[[#This Row],[Customer ID]],Customers!$A$2:$F$201,5,0)</f>
        <v>West</v>
      </c>
      <c r="U705" t="str">
        <f>VLOOKUP(Table1[[#This Row],[Customer ID]],Customers!$A$2:$F$201,6,0)</f>
        <v>Corporate</v>
      </c>
      <c r="V705" t="str">
        <f>TEXT(Table1[[#This Row],[Order Date]],"MMM")</f>
        <v>Mar</v>
      </c>
      <c r="W705" t="str">
        <f>TEXT(Table1[[#This Row],[Order Date]],"yyyy")</f>
        <v>2025</v>
      </c>
    </row>
    <row r="706" spans="1:23" x14ac:dyDescent="0.25">
      <c r="A706" s="2" t="s">
        <v>950</v>
      </c>
      <c r="B706" s="4">
        <v>45732</v>
      </c>
      <c r="C706" s="2" t="s">
        <v>62</v>
      </c>
      <c r="D706" s="2" t="str">
        <f>TEXT(Table1[[#This Row],[Order Date]],"mmmm")</f>
        <v>March</v>
      </c>
      <c r="E706" s="2" t="s">
        <v>54</v>
      </c>
      <c r="F706" s="2">
        <v>2</v>
      </c>
      <c r="G706" s="5">
        <v>0.1</v>
      </c>
      <c r="H706" s="2" t="s">
        <v>30</v>
      </c>
      <c r="I706" s="2" t="s">
        <v>38</v>
      </c>
      <c r="J706" s="2" t="s">
        <v>21</v>
      </c>
      <c r="K706">
        <f>VLOOKUP(E706,Products!$A$2:$E$23,5,0)</f>
        <v>299</v>
      </c>
      <c r="L706">
        <f>VLOOKUP(E706,Products!$A$2:$E$23,4,0)</f>
        <v>180</v>
      </c>
      <c r="M706" s="2">
        <f>K706*F706-Table1[[#This Row],[discount_amount]]</f>
        <v>538.20000000000005</v>
      </c>
      <c r="N706">
        <f t="shared" si="21"/>
        <v>360</v>
      </c>
      <c r="O706">
        <f t="shared" ref="O706:O769" si="22">M706-N706</f>
        <v>178.20000000000005</v>
      </c>
      <c r="P706">
        <f>Table1[[#This Row],[Quantity]]*Table1[[#This Row],[unit_price]]*Table1[[#This Row],[Discount]]</f>
        <v>59.800000000000004</v>
      </c>
      <c r="Q706" t="str">
        <f>VLOOKUP(E706,Products!$A$2:$E$23,2,0)</f>
        <v>Notebook Pack of 5</v>
      </c>
      <c r="R706" t="str">
        <f>VLOOKUP(Table1[[#This Row],[Product ID]],Products!$A$2:$E$23,3,0)</f>
        <v>Office Supplies</v>
      </c>
      <c r="S706" t="str">
        <f>VLOOKUP(C706,Customers!$A$2:$F$201,4,0)</f>
        <v>Maharashtra</v>
      </c>
      <c r="T706" t="str">
        <f>VLOOKUP(Table1[[#This Row],[Customer ID]],Customers!$A$2:$F$201,5,0)</f>
        <v>West</v>
      </c>
      <c r="U706" t="str">
        <f>VLOOKUP(Table1[[#This Row],[Customer ID]],Customers!$A$2:$F$201,6,0)</f>
        <v>Consumer</v>
      </c>
      <c r="V706" t="str">
        <f>TEXT(Table1[[#This Row],[Order Date]],"MMM")</f>
        <v>Mar</v>
      </c>
      <c r="W706" t="str">
        <f>TEXT(Table1[[#This Row],[Order Date]],"yyyy")</f>
        <v>2025</v>
      </c>
    </row>
    <row r="707" spans="1:23" x14ac:dyDescent="0.25">
      <c r="A707" s="2" t="s">
        <v>951</v>
      </c>
      <c r="B707" s="4">
        <v>45732</v>
      </c>
      <c r="C707" s="2" t="s">
        <v>287</v>
      </c>
      <c r="D707" s="2" t="str">
        <f>TEXT(Table1[[#This Row],[Order Date]],"mmmm")</f>
        <v>March</v>
      </c>
      <c r="E707" s="2" t="s">
        <v>111</v>
      </c>
      <c r="F707" s="2">
        <v>2</v>
      </c>
      <c r="G707" s="5">
        <v>0</v>
      </c>
      <c r="H707" s="2" t="s">
        <v>19</v>
      </c>
      <c r="I707" s="2" t="s">
        <v>20</v>
      </c>
      <c r="J707" s="2" t="s">
        <v>21</v>
      </c>
      <c r="K707">
        <f>VLOOKUP(E707,Products!$A$2:$E$23,5,0)</f>
        <v>240</v>
      </c>
      <c r="L707">
        <f>VLOOKUP(E707,Products!$A$2:$E$23,4,0)</f>
        <v>140</v>
      </c>
      <c r="M707" s="2">
        <f>K707*F707-Table1[[#This Row],[discount_amount]]</f>
        <v>480</v>
      </c>
      <c r="N707">
        <f t="shared" ref="N707:N770" si="23">F707*L707</f>
        <v>280</v>
      </c>
      <c r="O707">
        <f t="shared" si="22"/>
        <v>200</v>
      </c>
      <c r="P707">
        <f>Table1[[#This Row],[Quantity]]*Table1[[#This Row],[unit_price]]*Table1[[#This Row],[Discount]]</f>
        <v>0</v>
      </c>
      <c r="Q707" t="str">
        <f>VLOOKUP(E707,Products!$A$2:$E$23,2,0)</f>
        <v>Whiteboard Marker Set</v>
      </c>
      <c r="R707" t="str">
        <f>VLOOKUP(Table1[[#This Row],[Product ID]],Products!$A$2:$E$23,3,0)</f>
        <v>Office Supplies</v>
      </c>
      <c r="S707" t="str">
        <f>VLOOKUP(C707,Customers!$A$2:$F$201,4,0)</f>
        <v>Kerala</v>
      </c>
      <c r="T707" t="str">
        <f>VLOOKUP(Table1[[#This Row],[Customer ID]],Customers!$A$2:$F$201,5,0)</f>
        <v>South</v>
      </c>
      <c r="U707" t="str">
        <f>VLOOKUP(Table1[[#This Row],[Customer ID]],Customers!$A$2:$F$201,6,0)</f>
        <v>Corporate</v>
      </c>
      <c r="V707" t="str">
        <f>TEXT(Table1[[#This Row],[Order Date]],"MMM")</f>
        <v>Mar</v>
      </c>
      <c r="W707" t="str">
        <f>TEXT(Table1[[#This Row],[Order Date]],"yyyy")</f>
        <v>2025</v>
      </c>
    </row>
    <row r="708" spans="1:23" x14ac:dyDescent="0.25">
      <c r="A708" s="2" t="s">
        <v>952</v>
      </c>
      <c r="B708" s="4">
        <v>45733</v>
      </c>
      <c r="C708" s="2" t="s">
        <v>183</v>
      </c>
      <c r="D708" s="2" t="str">
        <f>TEXT(Table1[[#This Row],[Order Date]],"mmmm")</f>
        <v>March</v>
      </c>
      <c r="E708" s="2" t="s">
        <v>24</v>
      </c>
      <c r="F708" s="2">
        <v>10</v>
      </c>
      <c r="G708" s="5">
        <v>0</v>
      </c>
      <c r="H708" s="2" t="s">
        <v>30</v>
      </c>
      <c r="I708" s="2" t="s">
        <v>38</v>
      </c>
      <c r="J708" s="2" t="s">
        <v>21</v>
      </c>
      <c r="K708">
        <f>VLOOKUP(E708,Products!$A$2:$E$23,5,0)</f>
        <v>899</v>
      </c>
      <c r="L708">
        <f>VLOOKUP(E708,Products!$A$2:$E$23,4,0)</f>
        <v>500</v>
      </c>
      <c r="M708" s="2">
        <f>K708*F708-Table1[[#This Row],[discount_amount]]</f>
        <v>8990</v>
      </c>
      <c r="N708">
        <f t="shared" si="23"/>
        <v>5000</v>
      </c>
      <c r="O708">
        <f t="shared" si="22"/>
        <v>3990</v>
      </c>
      <c r="P708">
        <f>Table1[[#This Row],[Quantity]]*Table1[[#This Row],[unit_price]]*Table1[[#This Row],[Discount]]</f>
        <v>0</v>
      </c>
      <c r="Q708" t="str">
        <f>VLOOKUP(E708,Products!$A$2:$E$23,2,0)</f>
        <v>Monitor Stand</v>
      </c>
      <c r="R708" t="str">
        <f>VLOOKUP(Table1[[#This Row],[Product ID]],Products!$A$2:$E$23,3,0)</f>
        <v>Furniture</v>
      </c>
      <c r="S708" t="str">
        <f>VLOOKUP(C708,Customers!$A$2:$F$201,4,0)</f>
        <v>Madhya Pradesh</v>
      </c>
      <c r="T708" t="str">
        <f>VLOOKUP(Table1[[#This Row],[Customer ID]],Customers!$A$2:$F$201,5,0)</f>
        <v>Central</v>
      </c>
      <c r="U708" t="str">
        <f>VLOOKUP(Table1[[#This Row],[Customer ID]],Customers!$A$2:$F$201,6,0)</f>
        <v>Corporate</v>
      </c>
      <c r="V708" t="str">
        <f>TEXT(Table1[[#This Row],[Order Date]],"MMM")</f>
        <v>Mar</v>
      </c>
      <c r="W708" t="str">
        <f>TEXT(Table1[[#This Row],[Order Date]],"yyyy")</f>
        <v>2025</v>
      </c>
    </row>
    <row r="709" spans="1:23" x14ac:dyDescent="0.25">
      <c r="A709" s="2" t="s">
        <v>953</v>
      </c>
      <c r="B709" s="4">
        <v>45734</v>
      </c>
      <c r="C709" s="2" t="s">
        <v>70</v>
      </c>
      <c r="D709" s="2" t="str">
        <f>TEXT(Table1[[#This Row],[Order Date]],"mmmm")</f>
        <v>March</v>
      </c>
      <c r="E709" s="2" t="s">
        <v>91</v>
      </c>
      <c r="F709" s="2">
        <v>4</v>
      </c>
      <c r="G709" s="5">
        <v>0</v>
      </c>
      <c r="H709" s="2" t="s">
        <v>19</v>
      </c>
      <c r="I709" s="2" t="s">
        <v>46</v>
      </c>
      <c r="J709" s="2" t="s">
        <v>21</v>
      </c>
      <c r="K709">
        <f>VLOOKUP(E709,Products!$A$2:$E$23,5,0)</f>
        <v>1199</v>
      </c>
      <c r="L709">
        <f>VLOOKUP(E709,Products!$A$2:$E$23,4,0)</f>
        <v>600</v>
      </c>
      <c r="M709" s="2">
        <f>K709*F709-Table1[[#This Row],[discount_amount]]</f>
        <v>4796</v>
      </c>
      <c r="N709">
        <f t="shared" si="23"/>
        <v>2400</v>
      </c>
      <c r="O709">
        <f t="shared" si="22"/>
        <v>2396</v>
      </c>
      <c r="P709">
        <f>Table1[[#This Row],[Quantity]]*Table1[[#This Row],[unit_price]]*Table1[[#This Row],[Discount]]</f>
        <v>0</v>
      </c>
      <c r="Q709" t="str">
        <f>VLOOKUP(E709,Products!$A$2:$E$23,2,0)</f>
        <v>Formal Shirt</v>
      </c>
      <c r="R709" t="str">
        <f>VLOOKUP(Table1[[#This Row],[Product ID]],Products!$A$2:$E$23,3,0)</f>
        <v>Clothing</v>
      </c>
      <c r="S709" t="str">
        <f>VLOOKUP(C709,Customers!$A$2:$F$201,4,0)</f>
        <v>Delhi</v>
      </c>
      <c r="T709" t="str">
        <f>VLOOKUP(Table1[[#This Row],[Customer ID]],Customers!$A$2:$F$201,5,0)</f>
        <v>North</v>
      </c>
      <c r="U709" t="str">
        <f>VLOOKUP(Table1[[#This Row],[Customer ID]],Customers!$A$2:$F$201,6,0)</f>
        <v>Home Office</v>
      </c>
      <c r="V709" t="str">
        <f>TEXT(Table1[[#This Row],[Order Date]],"MMM")</f>
        <v>Mar</v>
      </c>
      <c r="W709" t="str">
        <f>TEXT(Table1[[#This Row],[Order Date]],"yyyy")</f>
        <v>2025</v>
      </c>
    </row>
    <row r="710" spans="1:23" x14ac:dyDescent="0.25">
      <c r="A710" s="2" t="s">
        <v>954</v>
      </c>
      <c r="B710" s="4">
        <v>45734</v>
      </c>
      <c r="C710" s="2" t="s">
        <v>629</v>
      </c>
      <c r="D710" s="2" t="str">
        <f>TEXT(Table1[[#This Row],[Order Date]],"mmmm")</f>
        <v>March</v>
      </c>
      <c r="E710" s="2" t="s">
        <v>41</v>
      </c>
      <c r="F710" s="2">
        <v>2</v>
      </c>
      <c r="G710" s="5">
        <v>0.05</v>
      </c>
      <c r="H710" s="2" t="s">
        <v>30</v>
      </c>
      <c r="I710" s="2" t="s">
        <v>46</v>
      </c>
      <c r="J710" s="2" t="s">
        <v>94</v>
      </c>
      <c r="K710">
        <f>VLOOKUP(E710,Products!$A$2:$E$23,5,0)</f>
        <v>320</v>
      </c>
      <c r="L710">
        <f>VLOOKUP(E710,Products!$A$2:$E$23,4,0)</f>
        <v>220</v>
      </c>
      <c r="M710" s="2">
        <f>K710*F710-Table1[[#This Row],[discount_amount]]</f>
        <v>608</v>
      </c>
      <c r="N710">
        <f t="shared" si="23"/>
        <v>440</v>
      </c>
      <c r="O710">
        <f t="shared" si="22"/>
        <v>168</v>
      </c>
      <c r="P710">
        <f>Table1[[#This Row],[Quantity]]*Table1[[#This Row],[unit_price]]*Table1[[#This Row],[Discount]]</f>
        <v>32</v>
      </c>
      <c r="Q710" t="str">
        <f>VLOOKUP(E710,Products!$A$2:$E$23,2,0)</f>
        <v>A4 Paper Ream</v>
      </c>
      <c r="R710" t="str">
        <f>VLOOKUP(Table1[[#This Row],[Product ID]],Products!$A$2:$E$23,3,0)</f>
        <v>Office Supplies</v>
      </c>
      <c r="S710" t="str">
        <f>VLOOKUP(C710,Customers!$A$2:$F$201,4,0)</f>
        <v>West Bengal</v>
      </c>
      <c r="T710" t="str">
        <f>VLOOKUP(Table1[[#This Row],[Customer ID]],Customers!$A$2:$F$201,5,0)</f>
        <v>East</v>
      </c>
      <c r="U710" t="str">
        <f>VLOOKUP(Table1[[#This Row],[Customer ID]],Customers!$A$2:$F$201,6,0)</f>
        <v>Consumer</v>
      </c>
      <c r="V710" t="str">
        <f>TEXT(Table1[[#This Row],[Order Date]],"MMM")</f>
        <v>Mar</v>
      </c>
      <c r="W710" t="str">
        <f>TEXT(Table1[[#This Row],[Order Date]],"yyyy")</f>
        <v>2025</v>
      </c>
    </row>
    <row r="711" spans="1:23" x14ac:dyDescent="0.25">
      <c r="A711" s="2" t="s">
        <v>955</v>
      </c>
      <c r="B711" s="4">
        <v>45736</v>
      </c>
      <c r="C711" s="2" t="s">
        <v>956</v>
      </c>
      <c r="D711" s="2" t="str">
        <f>TEXT(Table1[[#This Row],[Order Date]],"mmmm")</f>
        <v>March</v>
      </c>
      <c r="E711" s="2" t="s">
        <v>155</v>
      </c>
      <c r="F711" s="2">
        <v>5</v>
      </c>
      <c r="G711" s="5">
        <v>0.1</v>
      </c>
      <c r="H711" s="2" t="s">
        <v>19</v>
      </c>
      <c r="I711" s="2" t="s">
        <v>38</v>
      </c>
      <c r="J711" s="2" t="s">
        <v>21</v>
      </c>
      <c r="K711">
        <f>VLOOKUP(E711,Products!$A$2:$E$23,5,0)</f>
        <v>1599</v>
      </c>
      <c r="L711">
        <f>VLOOKUP(E711,Products!$A$2:$E$23,4,0)</f>
        <v>900</v>
      </c>
      <c r="M711" s="2">
        <f>K711*F711-Table1[[#This Row],[discount_amount]]</f>
        <v>7195.5</v>
      </c>
      <c r="N711">
        <f t="shared" si="23"/>
        <v>4500</v>
      </c>
      <c r="O711">
        <f t="shared" si="22"/>
        <v>2695.5</v>
      </c>
      <c r="P711">
        <f>Table1[[#This Row],[Quantity]]*Table1[[#This Row],[unit_price]]*Table1[[#This Row],[Discount]]</f>
        <v>799.5</v>
      </c>
      <c r="Q711" t="str">
        <f>VLOOKUP(E711,Products!$A$2:$E$23,2,0)</f>
        <v>Headphones</v>
      </c>
      <c r="R711" t="str">
        <f>VLOOKUP(Table1[[#This Row],[Product ID]],Products!$A$2:$E$23,3,0)</f>
        <v>Electronics</v>
      </c>
      <c r="S711" t="str">
        <f>VLOOKUP(C711,Customers!$A$2:$F$201,4,0)</f>
        <v>Telangana</v>
      </c>
      <c r="T711" t="str">
        <f>VLOOKUP(Table1[[#This Row],[Customer ID]],Customers!$A$2:$F$201,5,0)</f>
        <v>South</v>
      </c>
      <c r="U711" t="str">
        <f>VLOOKUP(Table1[[#This Row],[Customer ID]],Customers!$A$2:$F$201,6,0)</f>
        <v>Home Office</v>
      </c>
      <c r="V711" t="str">
        <f>TEXT(Table1[[#This Row],[Order Date]],"MMM")</f>
        <v>Mar</v>
      </c>
      <c r="W711" t="str">
        <f>TEXT(Table1[[#This Row],[Order Date]],"yyyy")</f>
        <v>2025</v>
      </c>
    </row>
    <row r="712" spans="1:23" x14ac:dyDescent="0.25">
      <c r="A712" s="2" t="s">
        <v>957</v>
      </c>
      <c r="B712" s="4">
        <v>45738</v>
      </c>
      <c r="C712" s="2" t="s">
        <v>605</v>
      </c>
      <c r="D712" s="2" t="str">
        <f>TEXT(Table1[[#This Row],[Order Date]],"mmmm")</f>
        <v>March</v>
      </c>
      <c r="E712" s="2" t="s">
        <v>49</v>
      </c>
      <c r="F712" s="2">
        <v>2</v>
      </c>
      <c r="G712" s="5">
        <v>0.15</v>
      </c>
      <c r="H712" s="2" t="s">
        <v>25</v>
      </c>
      <c r="I712" s="2" t="s">
        <v>26</v>
      </c>
      <c r="J712" s="2" t="s">
        <v>21</v>
      </c>
      <c r="K712">
        <f>VLOOKUP(E712,Products!$A$2:$E$23,5,0)</f>
        <v>700</v>
      </c>
      <c r="L712">
        <f>VLOOKUP(E712,Products!$A$2:$E$23,4,0)</f>
        <v>450</v>
      </c>
      <c r="M712" s="2">
        <f>K712*F712-Table1[[#This Row],[discount_amount]]</f>
        <v>1190</v>
      </c>
      <c r="N712">
        <f t="shared" si="23"/>
        <v>900</v>
      </c>
      <c r="O712">
        <f t="shared" si="22"/>
        <v>290</v>
      </c>
      <c r="P712">
        <f>Table1[[#This Row],[Quantity]]*Table1[[#This Row],[unit_price]]*Table1[[#This Row],[Discount]]</f>
        <v>210</v>
      </c>
      <c r="Q712" t="str">
        <f>VLOOKUP(E712,Products!$A$2:$E$23,2,0)</f>
        <v>Wireless Mouse</v>
      </c>
      <c r="R712" t="str">
        <f>VLOOKUP(Table1[[#This Row],[Product ID]],Products!$A$2:$E$23,3,0)</f>
        <v>Electronics</v>
      </c>
      <c r="S712" t="str">
        <f>VLOOKUP(C712,Customers!$A$2:$F$201,4,0)</f>
        <v>Rajasthan</v>
      </c>
      <c r="T712" t="str">
        <f>VLOOKUP(Table1[[#This Row],[Customer ID]],Customers!$A$2:$F$201,5,0)</f>
        <v>North</v>
      </c>
      <c r="U712" t="str">
        <f>VLOOKUP(Table1[[#This Row],[Customer ID]],Customers!$A$2:$F$201,6,0)</f>
        <v>Consumer</v>
      </c>
      <c r="V712" t="str">
        <f>TEXT(Table1[[#This Row],[Order Date]],"MMM")</f>
        <v>Mar</v>
      </c>
      <c r="W712" t="str">
        <f>TEXT(Table1[[#This Row],[Order Date]],"yyyy")</f>
        <v>2025</v>
      </c>
    </row>
    <row r="713" spans="1:23" x14ac:dyDescent="0.25">
      <c r="A713" s="2" t="s">
        <v>958</v>
      </c>
      <c r="B713" s="4">
        <v>45738</v>
      </c>
      <c r="C713" s="2" t="s">
        <v>320</v>
      </c>
      <c r="D713" s="2" t="str">
        <f>TEXT(Table1[[#This Row],[Order Date]],"mmmm")</f>
        <v>March</v>
      </c>
      <c r="E713" s="2" t="s">
        <v>135</v>
      </c>
      <c r="F713" s="2">
        <v>6</v>
      </c>
      <c r="G713" s="5">
        <v>0.1</v>
      </c>
      <c r="H713" s="2" t="s">
        <v>25</v>
      </c>
      <c r="I713" s="2" t="s">
        <v>26</v>
      </c>
      <c r="J713" s="2" t="s">
        <v>21</v>
      </c>
      <c r="K713">
        <f>VLOOKUP(E713,Products!$A$2:$E$23,5,0)</f>
        <v>220</v>
      </c>
      <c r="L713">
        <f>VLOOKUP(E713,Products!$A$2:$E$23,4,0)</f>
        <v>120</v>
      </c>
      <c r="M713" s="2">
        <f>K713*F713-Table1[[#This Row],[discount_amount]]</f>
        <v>1188</v>
      </c>
      <c r="N713">
        <f t="shared" si="23"/>
        <v>720</v>
      </c>
      <c r="O713">
        <f t="shared" si="22"/>
        <v>468</v>
      </c>
      <c r="P713">
        <f>Table1[[#This Row],[Quantity]]*Table1[[#This Row],[unit_price]]*Table1[[#This Row],[Discount]]</f>
        <v>132</v>
      </c>
      <c r="Q713" t="str">
        <f>VLOOKUP(E713,Products!$A$2:$E$23,2,0)</f>
        <v>Stapler</v>
      </c>
      <c r="R713" t="str">
        <f>VLOOKUP(Table1[[#This Row],[Product ID]],Products!$A$2:$E$23,3,0)</f>
        <v>Office Supplies</v>
      </c>
      <c r="S713" t="str">
        <f>VLOOKUP(C713,Customers!$A$2:$F$201,4,0)</f>
        <v>Gujarat</v>
      </c>
      <c r="T713" t="str">
        <f>VLOOKUP(Table1[[#This Row],[Customer ID]],Customers!$A$2:$F$201,5,0)</f>
        <v>West</v>
      </c>
      <c r="U713" t="str">
        <f>VLOOKUP(Table1[[#This Row],[Customer ID]],Customers!$A$2:$F$201,6,0)</f>
        <v>Consumer</v>
      </c>
      <c r="V713" t="str">
        <f>TEXT(Table1[[#This Row],[Order Date]],"MMM")</f>
        <v>Mar</v>
      </c>
      <c r="W713" t="str">
        <f>TEXT(Table1[[#This Row],[Order Date]],"yyyy")</f>
        <v>2025</v>
      </c>
    </row>
    <row r="714" spans="1:23" x14ac:dyDescent="0.25">
      <c r="A714" s="2" t="s">
        <v>959</v>
      </c>
      <c r="B714" s="4">
        <v>45738</v>
      </c>
      <c r="C714" s="2" t="s">
        <v>719</v>
      </c>
      <c r="D714" s="2" t="str">
        <f>TEXT(Table1[[#This Row],[Order Date]],"mmmm")</f>
        <v>March</v>
      </c>
      <c r="E714" s="2" t="s">
        <v>60</v>
      </c>
      <c r="F714" s="2">
        <v>5</v>
      </c>
      <c r="G714" s="5">
        <v>0</v>
      </c>
      <c r="H714" s="2" t="s">
        <v>25</v>
      </c>
      <c r="I714" s="2" t="s">
        <v>38</v>
      </c>
      <c r="J714" s="2" t="s">
        <v>21</v>
      </c>
      <c r="K714">
        <f>VLOOKUP(E714,Products!$A$2:$E$23,5,0)</f>
        <v>449</v>
      </c>
      <c r="L714">
        <f>VLOOKUP(E714,Products!$A$2:$E$23,4,0)</f>
        <v>260</v>
      </c>
      <c r="M714" s="2">
        <f>K714*F714-Table1[[#This Row],[discount_amount]]</f>
        <v>2245</v>
      </c>
      <c r="N714">
        <f t="shared" si="23"/>
        <v>1300</v>
      </c>
      <c r="O714">
        <f t="shared" si="22"/>
        <v>945</v>
      </c>
      <c r="P714">
        <f>Table1[[#This Row],[Quantity]]*Table1[[#This Row],[unit_price]]*Table1[[#This Row],[Discount]]</f>
        <v>0</v>
      </c>
      <c r="Q714" t="str">
        <f>VLOOKUP(E714,Products!$A$2:$E$23,2,0)</f>
        <v>Desk Organizer</v>
      </c>
      <c r="R714" t="str">
        <f>VLOOKUP(Table1[[#This Row],[Product ID]],Products!$A$2:$E$23,3,0)</f>
        <v>Office Supplies</v>
      </c>
      <c r="S714" t="str">
        <f>VLOOKUP(C714,Customers!$A$2:$F$201,4,0)</f>
        <v>Gujarat</v>
      </c>
      <c r="T714" t="str">
        <f>VLOOKUP(Table1[[#This Row],[Customer ID]],Customers!$A$2:$F$201,5,0)</f>
        <v>West</v>
      </c>
      <c r="U714" t="str">
        <f>VLOOKUP(Table1[[#This Row],[Customer ID]],Customers!$A$2:$F$201,6,0)</f>
        <v>Corporate</v>
      </c>
      <c r="V714" t="str">
        <f>TEXT(Table1[[#This Row],[Order Date]],"MMM")</f>
        <v>Mar</v>
      </c>
      <c r="W714" t="str">
        <f>TEXT(Table1[[#This Row],[Order Date]],"yyyy")</f>
        <v>2025</v>
      </c>
    </row>
    <row r="715" spans="1:23" x14ac:dyDescent="0.25">
      <c r="A715" s="2" t="s">
        <v>960</v>
      </c>
      <c r="B715" s="4">
        <v>45739</v>
      </c>
      <c r="C715" s="2" t="s">
        <v>458</v>
      </c>
      <c r="D715" s="2" t="str">
        <f>TEXT(Table1[[#This Row],[Order Date]],"mmmm")</f>
        <v>March</v>
      </c>
      <c r="E715" s="2" t="s">
        <v>37</v>
      </c>
      <c r="F715" s="2">
        <v>6</v>
      </c>
      <c r="G715" s="5">
        <v>0.05</v>
      </c>
      <c r="H715" s="2" t="s">
        <v>19</v>
      </c>
      <c r="I715" s="2" t="s">
        <v>26</v>
      </c>
      <c r="J715" s="2" t="s">
        <v>21</v>
      </c>
      <c r="K715">
        <f>VLOOKUP(E715,Products!$A$2:$E$23,5,0)</f>
        <v>1799</v>
      </c>
      <c r="L715">
        <f>VLOOKUP(E715,Products!$A$2:$E$23,4,0)</f>
        <v>900</v>
      </c>
      <c r="M715" s="2">
        <f>K715*F715-Table1[[#This Row],[discount_amount]]</f>
        <v>10254.299999999999</v>
      </c>
      <c r="N715">
        <f t="shared" si="23"/>
        <v>5400</v>
      </c>
      <c r="O715">
        <f t="shared" si="22"/>
        <v>4854.2999999999993</v>
      </c>
      <c r="P715">
        <f>Table1[[#This Row],[Quantity]]*Table1[[#This Row],[unit_price]]*Table1[[#This Row],[Discount]]</f>
        <v>539.70000000000005</v>
      </c>
      <c r="Q715" t="str">
        <f>VLOOKUP(E715,Products!$A$2:$E$23,2,0)</f>
        <v>Denim Jeans</v>
      </c>
      <c r="R715" t="str">
        <f>VLOOKUP(Table1[[#This Row],[Product ID]],Products!$A$2:$E$23,3,0)</f>
        <v>Clothing</v>
      </c>
      <c r="S715" t="str">
        <f>VLOOKUP(C715,Customers!$A$2:$F$201,4,0)</f>
        <v>Gujarat</v>
      </c>
      <c r="T715" t="str">
        <f>VLOOKUP(Table1[[#This Row],[Customer ID]],Customers!$A$2:$F$201,5,0)</f>
        <v>West</v>
      </c>
      <c r="U715" t="str">
        <f>VLOOKUP(Table1[[#This Row],[Customer ID]],Customers!$A$2:$F$201,6,0)</f>
        <v>Consumer</v>
      </c>
      <c r="V715" t="str">
        <f>TEXT(Table1[[#This Row],[Order Date]],"MMM")</f>
        <v>Mar</v>
      </c>
      <c r="W715" t="str">
        <f>TEXT(Table1[[#This Row],[Order Date]],"yyyy")</f>
        <v>2025</v>
      </c>
    </row>
    <row r="716" spans="1:23" x14ac:dyDescent="0.25">
      <c r="A716" s="2" t="s">
        <v>961</v>
      </c>
      <c r="B716" s="4">
        <v>45739</v>
      </c>
      <c r="C716" s="2" t="s">
        <v>605</v>
      </c>
      <c r="D716" s="2" t="str">
        <f>TEXT(Table1[[#This Row],[Order Date]],"mmmm")</f>
        <v>March</v>
      </c>
      <c r="E716" s="2" t="s">
        <v>135</v>
      </c>
      <c r="F716" s="2">
        <v>10</v>
      </c>
      <c r="G716" s="5">
        <v>0</v>
      </c>
      <c r="H716" s="2" t="s">
        <v>25</v>
      </c>
      <c r="I716" s="2" t="s">
        <v>38</v>
      </c>
      <c r="J716" s="2" t="s">
        <v>21</v>
      </c>
      <c r="K716">
        <f>VLOOKUP(E716,Products!$A$2:$E$23,5,0)</f>
        <v>220</v>
      </c>
      <c r="L716">
        <f>VLOOKUP(E716,Products!$A$2:$E$23,4,0)</f>
        <v>120</v>
      </c>
      <c r="M716" s="2">
        <f>K716*F716-Table1[[#This Row],[discount_amount]]</f>
        <v>2200</v>
      </c>
      <c r="N716">
        <f t="shared" si="23"/>
        <v>1200</v>
      </c>
      <c r="O716">
        <f t="shared" si="22"/>
        <v>1000</v>
      </c>
      <c r="P716">
        <f>Table1[[#This Row],[Quantity]]*Table1[[#This Row],[unit_price]]*Table1[[#This Row],[Discount]]</f>
        <v>0</v>
      </c>
      <c r="Q716" t="str">
        <f>VLOOKUP(E716,Products!$A$2:$E$23,2,0)</f>
        <v>Stapler</v>
      </c>
      <c r="R716" t="str">
        <f>VLOOKUP(Table1[[#This Row],[Product ID]],Products!$A$2:$E$23,3,0)</f>
        <v>Office Supplies</v>
      </c>
      <c r="S716" t="str">
        <f>VLOOKUP(C716,Customers!$A$2:$F$201,4,0)</f>
        <v>Rajasthan</v>
      </c>
      <c r="T716" t="str">
        <f>VLOOKUP(Table1[[#This Row],[Customer ID]],Customers!$A$2:$F$201,5,0)</f>
        <v>North</v>
      </c>
      <c r="U716" t="str">
        <f>VLOOKUP(Table1[[#This Row],[Customer ID]],Customers!$A$2:$F$201,6,0)</f>
        <v>Consumer</v>
      </c>
      <c r="V716" t="str">
        <f>TEXT(Table1[[#This Row],[Order Date]],"MMM")</f>
        <v>Mar</v>
      </c>
      <c r="W716" t="str">
        <f>TEXT(Table1[[#This Row],[Order Date]],"yyyy")</f>
        <v>2025</v>
      </c>
    </row>
    <row r="717" spans="1:23" x14ac:dyDescent="0.25">
      <c r="A717" s="2" t="s">
        <v>962</v>
      </c>
      <c r="B717" s="4">
        <v>45740</v>
      </c>
      <c r="C717" s="2" t="s">
        <v>274</v>
      </c>
      <c r="D717" s="2" t="str">
        <f>TEXT(Table1[[#This Row],[Order Date]],"mmmm")</f>
        <v>March</v>
      </c>
      <c r="E717" s="2" t="s">
        <v>37</v>
      </c>
      <c r="F717" s="2">
        <v>10</v>
      </c>
      <c r="G717" s="5">
        <v>0.05</v>
      </c>
      <c r="H717" s="2" t="s">
        <v>25</v>
      </c>
      <c r="I717" s="2" t="s">
        <v>46</v>
      </c>
      <c r="J717" s="2" t="s">
        <v>21</v>
      </c>
      <c r="K717">
        <f>VLOOKUP(E717,Products!$A$2:$E$23,5,0)</f>
        <v>1799</v>
      </c>
      <c r="L717">
        <f>VLOOKUP(E717,Products!$A$2:$E$23,4,0)</f>
        <v>900</v>
      </c>
      <c r="M717" s="2">
        <f>K717*F717-Table1[[#This Row],[discount_amount]]</f>
        <v>17090.5</v>
      </c>
      <c r="N717">
        <f t="shared" si="23"/>
        <v>9000</v>
      </c>
      <c r="O717">
        <f t="shared" si="22"/>
        <v>8090.5</v>
      </c>
      <c r="P717">
        <f>Table1[[#This Row],[Quantity]]*Table1[[#This Row],[unit_price]]*Table1[[#This Row],[Discount]]</f>
        <v>899.5</v>
      </c>
      <c r="Q717" t="str">
        <f>VLOOKUP(E717,Products!$A$2:$E$23,2,0)</f>
        <v>Denim Jeans</v>
      </c>
      <c r="R717" t="str">
        <f>VLOOKUP(Table1[[#This Row],[Product ID]],Products!$A$2:$E$23,3,0)</f>
        <v>Clothing</v>
      </c>
      <c r="S717" t="str">
        <f>VLOOKUP(C717,Customers!$A$2:$F$201,4,0)</f>
        <v>Madhya Pradesh</v>
      </c>
      <c r="T717" t="str">
        <f>VLOOKUP(Table1[[#This Row],[Customer ID]],Customers!$A$2:$F$201,5,0)</f>
        <v>Central</v>
      </c>
      <c r="U717" t="str">
        <f>VLOOKUP(Table1[[#This Row],[Customer ID]],Customers!$A$2:$F$201,6,0)</f>
        <v>Consumer</v>
      </c>
      <c r="V717" t="str">
        <f>TEXT(Table1[[#This Row],[Order Date]],"MMM")</f>
        <v>Mar</v>
      </c>
      <c r="W717" t="str">
        <f>TEXT(Table1[[#This Row],[Order Date]],"yyyy")</f>
        <v>2025</v>
      </c>
    </row>
    <row r="718" spans="1:23" x14ac:dyDescent="0.25">
      <c r="A718" s="2" t="s">
        <v>963</v>
      </c>
      <c r="B718" s="4">
        <v>45740</v>
      </c>
      <c r="C718" s="2" t="s">
        <v>226</v>
      </c>
      <c r="D718" s="2" t="str">
        <f>TEXT(Table1[[#This Row],[Order Date]],"mmmm")</f>
        <v>March</v>
      </c>
      <c r="E718" s="2" t="s">
        <v>18</v>
      </c>
      <c r="F718" s="2">
        <v>2</v>
      </c>
      <c r="G718" s="5">
        <v>0</v>
      </c>
      <c r="H718" s="2" t="s">
        <v>19</v>
      </c>
      <c r="I718" s="2" t="s">
        <v>20</v>
      </c>
      <c r="J718" s="2" t="s">
        <v>21</v>
      </c>
      <c r="K718">
        <f>VLOOKUP(E718,Products!$A$2:$E$23,5,0)</f>
        <v>4299</v>
      </c>
      <c r="L718">
        <f>VLOOKUP(E718,Products!$A$2:$E$23,4,0)</f>
        <v>2800</v>
      </c>
      <c r="M718" s="2">
        <f>K718*F718-Table1[[#This Row],[discount_amount]]</f>
        <v>8598</v>
      </c>
      <c r="N718">
        <f t="shared" si="23"/>
        <v>5600</v>
      </c>
      <c r="O718">
        <f t="shared" si="22"/>
        <v>2998</v>
      </c>
      <c r="P718">
        <f>Table1[[#This Row],[Quantity]]*Table1[[#This Row],[unit_price]]*Table1[[#This Row],[Discount]]</f>
        <v>0</v>
      </c>
      <c r="Q718" t="str">
        <f>VLOOKUP(E718,Products!$A$2:$E$23,2,0)</f>
        <v>Bookshelf</v>
      </c>
      <c r="R718" t="str">
        <f>VLOOKUP(Table1[[#This Row],[Product ID]],Products!$A$2:$E$23,3,0)</f>
        <v>Furniture</v>
      </c>
      <c r="S718" t="str">
        <f>VLOOKUP(C718,Customers!$A$2:$F$201,4,0)</f>
        <v>Gujarat</v>
      </c>
      <c r="T718" t="str">
        <f>VLOOKUP(Table1[[#This Row],[Customer ID]],Customers!$A$2:$F$201,5,0)</f>
        <v>West</v>
      </c>
      <c r="U718" t="str">
        <f>VLOOKUP(Table1[[#This Row],[Customer ID]],Customers!$A$2:$F$201,6,0)</f>
        <v>Consumer</v>
      </c>
      <c r="V718" t="str">
        <f>TEXT(Table1[[#This Row],[Order Date]],"MMM")</f>
        <v>Mar</v>
      </c>
      <c r="W718" t="str">
        <f>TEXT(Table1[[#This Row],[Order Date]],"yyyy")</f>
        <v>2025</v>
      </c>
    </row>
    <row r="719" spans="1:23" x14ac:dyDescent="0.25">
      <c r="A719" s="2" t="s">
        <v>964</v>
      </c>
      <c r="B719" s="4">
        <v>45740</v>
      </c>
      <c r="C719" s="2" t="s">
        <v>626</v>
      </c>
      <c r="D719" s="2" t="str">
        <f>TEXT(Table1[[#This Row],[Order Date]],"mmmm")</f>
        <v>March</v>
      </c>
      <c r="E719" s="2" t="s">
        <v>82</v>
      </c>
      <c r="F719" s="2">
        <v>1</v>
      </c>
      <c r="G719" s="5">
        <v>0</v>
      </c>
      <c r="H719" s="2" t="s">
        <v>30</v>
      </c>
      <c r="I719" s="2" t="s">
        <v>20</v>
      </c>
      <c r="J719" s="2" t="s">
        <v>21</v>
      </c>
      <c r="K719">
        <f>VLOOKUP(E719,Products!$A$2:$E$23,5,0)</f>
        <v>1799</v>
      </c>
      <c r="L719">
        <f>VLOOKUP(E719,Products!$A$2:$E$23,4,0)</f>
        <v>1100</v>
      </c>
      <c r="M719" s="2">
        <f>K719*F719-Table1[[#This Row],[discount_amount]]</f>
        <v>1799</v>
      </c>
      <c r="N719">
        <f t="shared" si="23"/>
        <v>1100</v>
      </c>
      <c r="O719">
        <f t="shared" si="22"/>
        <v>699</v>
      </c>
      <c r="P719">
        <f>Table1[[#This Row],[Quantity]]*Table1[[#This Row],[unit_price]]*Table1[[#This Row],[Discount]]</f>
        <v>0</v>
      </c>
      <c r="Q719" t="str">
        <f>VLOOKUP(E719,Products!$A$2:$E$23,2,0)</f>
        <v>Webcam HD</v>
      </c>
      <c r="R719" t="str">
        <f>VLOOKUP(Table1[[#This Row],[Product ID]],Products!$A$2:$E$23,3,0)</f>
        <v>Electronics</v>
      </c>
      <c r="S719" t="str">
        <f>VLOOKUP(C719,Customers!$A$2:$F$201,4,0)</f>
        <v>Madhya Pradesh</v>
      </c>
      <c r="T719" t="str">
        <f>VLOOKUP(Table1[[#This Row],[Customer ID]],Customers!$A$2:$F$201,5,0)</f>
        <v>Central</v>
      </c>
      <c r="U719" t="str">
        <f>VLOOKUP(Table1[[#This Row],[Customer ID]],Customers!$A$2:$F$201,6,0)</f>
        <v>Corporate</v>
      </c>
      <c r="V719" t="str">
        <f>TEXT(Table1[[#This Row],[Order Date]],"MMM")</f>
        <v>Mar</v>
      </c>
      <c r="W719" t="str">
        <f>TEXT(Table1[[#This Row],[Order Date]],"yyyy")</f>
        <v>2025</v>
      </c>
    </row>
    <row r="720" spans="1:23" x14ac:dyDescent="0.25">
      <c r="A720" s="2" t="s">
        <v>965</v>
      </c>
      <c r="B720" s="4">
        <v>45740</v>
      </c>
      <c r="C720" s="2" t="s">
        <v>395</v>
      </c>
      <c r="D720" s="2" t="str">
        <f>TEXT(Table1[[#This Row],[Order Date]],"mmmm")</f>
        <v>March</v>
      </c>
      <c r="E720" s="2" t="s">
        <v>18</v>
      </c>
      <c r="F720" s="2">
        <v>6</v>
      </c>
      <c r="G720" s="5">
        <v>0</v>
      </c>
      <c r="H720" s="2" t="s">
        <v>25</v>
      </c>
      <c r="I720" s="2" t="s">
        <v>46</v>
      </c>
      <c r="J720" s="2" t="s">
        <v>21</v>
      </c>
      <c r="K720">
        <f>VLOOKUP(E720,Products!$A$2:$E$23,5,0)</f>
        <v>4299</v>
      </c>
      <c r="L720">
        <f>VLOOKUP(E720,Products!$A$2:$E$23,4,0)</f>
        <v>2800</v>
      </c>
      <c r="M720" s="2">
        <f>K720*F720-Table1[[#This Row],[discount_amount]]</f>
        <v>25794</v>
      </c>
      <c r="N720">
        <f t="shared" si="23"/>
        <v>16800</v>
      </c>
      <c r="O720">
        <f t="shared" si="22"/>
        <v>8994</v>
      </c>
      <c r="P720">
        <f>Table1[[#This Row],[Quantity]]*Table1[[#This Row],[unit_price]]*Table1[[#This Row],[Discount]]</f>
        <v>0</v>
      </c>
      <c r="Q720" t="str">
        <f>VLOOKUP(E720,Products!$A$2:$E$23,2,0)</f>
        <v>Bookshelf</v>
      </c>
      <c r="R720" t="str">
        <f>VLOOKUP(Table1[[#This Row],[Product ID]],Products!$A$2:$E$23,3,0)</f>
        <v>Furniture</v>
      </c>
      <c r="S720" t="str">
        <f>VLOOKUP(C720,Customers!$A$2:$F$201,4,0)</f>
        <v>Gujarat</v>
      </c>
      <c r="T720" t="str">
        <f>VLOOKUP(Table1[[#This Row],[Customer ID]],Customers!$A$2:$F$201,5,0)</f>
        <v>West</v>
      </c>
      <c r="U720" t="str">
        <f>VLOOKUP(Table1[[#This Row],[Customer ID]],Customers!$A$2:$F$201,6,0)</f>
        <v>Corporate</v>
      </c>
      <c r="V720" t="str">
        <f>TEXT(Table1[[#This Row],[Order Date]],"MMM")</f>
        <v>Mar</v>
      </c>
      <c r="W720" t="str">
        <f>TEXT(Table1[[#This Row],[Order Date]],"yyyy")</f>
        <v>2025</v>
      </c>
    </row>
    <row r="721" spans="1:23" x14ac:dyDescent="0.25">
      <c r="A721" s="2" t="s">
        <v>966</v>
      </c>
      <c r="B721" s="4">
        <v>45741</v>
      </c>
      <c r="C721" s="2" t="s">
        <v>313</v>
      </c>
      <c r="D721" s="2" t="str">
        <f>TEXT(Table1[[#This Row],[Order Date]],"mmmm")</f>
        <v>March</v>
      </c>
      <c r="E721" s="2" t="s">
        <v>82</v>
      </c>
      <c r="F721" s="2">
        <v>6</v>
      </c>
      <c r="G721" s="5">
        <v>0.05</v>
      </c>
      <c r="H721" s="2" t="s">
        <v>30</v>
      </c>
      <c r="I721" s="2" t="s">
        <v>20</v>
      </c>
      <c r="J721" s="2" t="s">
        <v>21</v>
      </c>
      <c r="K721">
        <f>VLOOKUP(E721,Products!$A$2:$E$23,5,0)</f>
        <v>1799</v>
      </c>
      <c r="L721">
        <f>VLOOKUP(E721,Products!$A$2:$E$23,4,0)</f>
        <v>1100</v>
      </c>
      <c r="M721" s="2">
        <f>K721*F721-Table1[[#This Row],[discount_amount]]</f>
        <v>10254.299999999999</v>
      </c>
      <c r="N721">
        <f t="shared" si="23"/>
        <v>6600</v>
      </c>
      <c r="O721">
        <f t="shared" si="22"/>
        <v>3654.2999999999993</v>
      </c>
      <c r="P721">
        <f>Table1[[#This Row],[Quantity]]*Table1[[#This Row],[unit_price]]*Table1[[#This Row],[Discount]]</f>
        <v>539.70000000000005</v>
      </c>
      <c r="Q721" t="str">
        <f>VLOOKUP(E721,Products!$A$2:$E$23,2,0)</f>
        <v>Webcam HD</v>
      </c>
      <c r="R721" t="str">
        <f>VLOOKUP(Table1[[#This Row],[Product ID]],Products!$A$2:$E$23,3,0)</f>
        <v>Electronics</v>
      </c>
      <c r="S721" t="str">
        <f>VLOOKUP(C721,Customers!$A$2:$F$201,4,0)</f>
        <v>Kerala</v>
      </c>
      <c r="T721" t="str">
        <f>VLOOKUP(Table1[[#This Row],[Customer ID]],Customers!$A$2:$F$201,5,0)</f>
        <v>South</v>
      </c>
      <c r="U721" t="str">
        <f>VLOOKUP(Table1[[#This Row],[Customer ID]],Customers!$A$2:$F$201,6,0)</f>
        <v>Consumer</v>
      </c>
      <c r="V721" t="str">
        <f>TEXT(Table1[[#This Row],[Order Date]],"MMM")</f>
        <v>Mar</v>
      </c>
      <c r="W721" t="str">
        <f>TEXT(Table1[[#This Row],[Order Date]],"yyyy")</f>
        <v>2025</v>
      </c>
    </row>
    <row r="722" spans="1:23" x14ac:dyDescent="0.25">
      <c r="A722" s="2" t="s">
        <v>967</v>
      </c>
      <c r="B722" s="4">
        <v>45741</v>
      </c>
      <c r="C722" s="2" t="s">
        <v>90</v>
      </c>
      <c r="D722" s="2" t="str">
        <f>TEXT(Table1[[#This Row],[Order Date]],"mmmm")</f>
        <v>March</v>
      </c>
      <c r="E722" s="2" t="s">
        <v>91</v>
      </c>
      <c r="F722" s="2">
        <v>4</v>
      </c>
      <c r="G722" s="5">
        <v>0.05</v>
      </c>
      <c r="H722" s="2" t="s">
        <v>19</v>
      </c>
      <c r="I722" s="2" t="s">
        <v>46</v>
      </c>
      <c r="J722" s="2" t="s">
        <v>21</v>
      </c>
      <c r="K722">
        <f>VLOOKUP(E722,Products!$A$2:$E$23,5,0)</f>
        <v>1199</v>
      </c>
      <c r="L722">
        <f>VLOOKUP(E722,Products!$A$2:$E$23,4,0)</f>
        <v>600</v>
      </c>
      <c r="M722" s="2">
        <f>K722*F722-Table1[[#This Row],[discount_amount]]</f>
        <v>4556.2</v>
      </c>
      <c r="N722">
        <f t="shared" si="23"/>
        <v>2400</v>
      </c>
      <c r="O722">
        <f t="shared" si="22"/>
        <v>2156.1999999999998</v>
      </c>
      <c r="P722">
        <f>Table1[[#This Row],[Quantity]]*Table1[[#This Row],[unit_price]]*Table1[[#This Row],[Discount]]</f>
        <v>239.8</v>
      </c>
      <c r="Q722" t="str">
        <f>VLOOKUP(E722,Products!$A$2:$E$23,2,0)</f>
        <v>Formal Shirt</v>
      </c>
      <c r="R722" t="str">
        <f>VLOOKUP(Table1[[#This Row],[Product ID]],Products!$A$2:$E$23,3,0)</f>
        <v>Clothing</v>
      </c>
      <c r="S722" t="str">
        <f>VLOOKUP(C722,Customers!$A$2:$F$201,4,0)</f>
        <v>Kerala</v>
      </c>
      <c r="T722" t="str">
        <f>VLOOKUP(Table1[[#This Row],[Customer ID]],Customers!$A$2:$F$201,5,0)</f>
        <v>South</v>
      </c>
      <c r="U722" t="str">
        <f>VLOOKUP(Table1[[#This Row],[Customer ID]],Customers!$A$2:$F$201,6,0)</f>
        <v>Corporate</v>
      </c>
      <c r="V722" t="str">
        <f>TEXT(Table1[[#This Row],[Order Date]],"MMM")</f>
        <v>Mar</v>
      </c>
      <c r="W722" t="str">
        <f>TEXT(Table1[[#This Row],[Order Date]],"yyyy")</f>
        <v>2025</v>
      </c>
    </row>
    <row r="723" spans="1:23" x14ac:dyDescent="0.25">
      <c r="A723" s="2" t="s">
        <v>968</v>
      </c>
      <c r="B723" s="4">
        <v>45742</v>
      </c>
      <c r="C723" s="2" t="s">
        <v>178</v>
      </c>
      <c r="D723" s="2" t="str">
        <f>TEXT(Table1[[#This Row],[Order Date]],"mmmm")</f>
        <v>March</v>
      </c>
      <c r="E723" s="2" t="s">
        <v>155</v>
      </c>
      <c r="F723" s="2">
        <v>2</v>
      </c>
      <c r="G723" s="5">
        <v>0</v>
      </c>
      <c r="H723" s="2" t="s">
        <v>30</v>
      </c>
      <c r="I723" s="2" t="s">
        <v>20</v>
      </c>
      <c r="J723" s="2" t="s">
        <v>21</v>
      </c>
      <c r="K723">
        <f>VLOOKUP(E723,Products!$A$2:$E$23,5,0)</f>
        <v>1599</v>
      </c>
      <c r="L723">
        <f>VLOOKUP(E723,Products!$A$2:$E$23,4,0)</f>
        <v>900</v>
      </c>
      <c r="M723" s="2">
        <f>K723*F723-Table1[[#This Row],[discount_amount]]</f>
        <v>3198</v>
      </c>
      <c r="N723">
        <f t="shared" si="23"/>
        <v>1800</v>
      </c>
      <c r="O723">
        <f t="shared" si="22"/>
        <v>1398</v>
      </c>
      <c r="P723">
        <f>Table1[[#This Row],[Quantity]]*Table1[[#This Row],[unit_price]]*Table1[[#This Row],[Discount]]</f>
        <v>0</v>
      </c>
      <c r="Q723" t="str">
        <f>VLOOKUP(E723,Products!$A$2:$E$23,2,0)</f>
        <v>Headphones</v>
      </c>
      <c r="R723" t="str">
        <f>VLOOKUP(Table1[[#This Row],[Product ID]],Products!$A$2:$E$23,3,0)</f>
        <v>Electronics</v>
      </c>
      <c r="S723" t="str">
        <f>VLOOKUP(C723,Customers!$A$2:$F$201,4,0)</f>
        <v>Bihar</v>
      </c>
      <c r="T723" t="str">
        <f>VLOOKUP(Table1[[#This Row],[Customer ID]],Customers!$A$2:$F$201,5,0)</f>
        <v>East</v>
      </c>
      <c r="U723" t="str">
        <f>VLOOKUP(Table1[[#This Row],[Customer ID]],Customers!$A$2:$F$201,6,0)</f>
        <v>Corporate</v>
      </c>
      <c r="V723" t="str">
        <f>TEXT(Table1[[#This Row],[Order Date]],"MMM")</f>
        <v>Mar</v>
      </c>
      <c r="W723" t="str">
        <f>TEXT(Table1[[#This Row],[Order Date]],"yyyy")</f>
        <v>2025</v>
      </c>
    </row>
    <row r="724" spans="1:23" x14ac:dyDescent="0.25">
      <c r="A724" s="2" t="s">
        <v>969</v>
      </c>
      <c r="B724" s="4">
        <v>45742</v>
      </c>
      <c r="C724" s="2" t="s">
        <v>65</v>
      </c>
      <c r="D724" s="2" t="str">
        <f>TEXT(Table1[[#This Row],[Order Date]],"mmmm")</f>
        <v>March</v>
      </c>
      <c r="E724" s="2" t="s">
        <v>73</v>
      </c>
      <c r="F724" s="2">
        <v>6</v>
      </c>
      <c r="G724" s="5">
        <v>0.05</v>
      </c>
      <c r="H724" s="2" t="s">
        <v>19</v>
      </c>
      <c r="I724" s="2" t="s">
        <v>46</v>
      </c>
      <c r="J724" s="2" t="s">
        <v>21</v>
      </c>
      <c r="K724">
        <f>VLOOKUP(E724,Products!$A$2:$E$23,5,0)</f>
        <v>6499</v>
      </c>
      <c r="L724">
        <f>VLOOKUP(E724,Products!$A$2:$E$23,4,0)</f>
        <v>4200</v>
      </c>
      <c r="M724" s="2">
        <f>K724*F724-Table1[[#This Row],[discount_amount]]</f>
        <v>37044.300000000003</v>
      </c>
      <c r="N724">
        <f t="shared" si="23"/>
        <v>25200</v>
      </c>
      <c r="O724">
        <f t="shared" si="22"/>
        <v>11844.300000000003</v>
      </c>
      <c r="P724">
        <f>Table1[[#This Row],[Quantity]]*Table1[[#This Row],[unit_price]]*Table1[[#This Row],[Discount]]</f>
        <v>1949.7</v>
      </c>
      <c r="Q724" t="str">
        <f>VLOOKUP(E724,Products!$A$2:$E$23,2,0)</f>
        <v>Study Table</v>
      </c>
      <c r="R724" t="str">
        <f>VLOOKUP(Table1[[#This Row],[Product ID]],Products!$A$2:$E$23,3,0)</f>
        <v>Furniture</v>
      </c>
      <c r="S724" t="str">
        <f>VLOOKUP(C724,Customers!$A$2:$F$201,4,0)</f>
        <v>Madhya Pradesh</v>
      </c>
      <c r="T724" t="str">
        <f>VLOOKUP(Table1[[#This Row],[Customer ID]],Customers!$A$2:$F$201,5,0)</f>
        <v>Central</v>
      </c>
      <c r="U724" t="str">
        <f>VLOOKUP(Table1[[#This Row],[Customer ID]],Customers!$A$2:$F$201,6,0)</f>
        <v>Consumer</v>
      </c>
      <c r="V724" t="str">
        <f>TEXT(Table1[[#This Row],[Order Date]],"MMM")</f>
        <v>Mar</v>
      </c>
      <c r="W724" t="str">
        <f>TEXT(Table1[[#This Row],[Order Date]],"yyyy")</f>
        <v>2025</v>
      </c>
    </row>
    <row r="725" spans="1:23" x14ac:dyDescent="0.25">
      <c r="A725" s="2" t="s">
        <v>970</v>
      </c>
      <c r="B725" s="4">
        <v>45743</v>
      </c>
      <c r="C725" s="2" t="s">
        <v>62</v>
      </c>
      <c r="D725" s="2" t="str">
        <f>TEXT(Table1[[#This Row],[Order Date]],"mmmm")</f>
        <v>March</v>
      </c>
      <c r="E725" s="2" t="s">
        <v>63</v>
      </c>
      <c r="F725" s="2">
        <v>6</v>
      </c>
      <c r="G725" s="5">
        <v>0</v>
      </c>
      <c r="H725" s="2" t="s">
        <v>19</v>
      </c>
      <c r="I725" s="2" t="s">
        <v>46</v>
      </c>
      <c r="J725" s="2" t="s">
        <v>21</v>
      </c>
      <c r="K725">
        <f>VLOOKUP(E725,Products!$A$2:$E$23,5,0)</f>
        <v>5499</v>
      </c>
      <c r="L725">
        <f>VLOOKUP(E725,Products!$A$2:$E$23,4,0)</f>
        <v>3500</v>
      </c>
      <c r="M725" s="2">
        <f>K725*F725-Table1[[#This Row],[discount_amount]]</f>
        <v>32994</v>
      </c>
      <c r="N725">
        <f t="shared" si="23"/>
        <v>21000</v>
      </c>
      <c r="O725">
        <f t="shared" si="22"/>
        <v>11994</v>
      </c>
      <c r="P725">
        <f>Table1[[#This Row],[Quantity]]*Table1[[#This Row],[unit_price]]*Table1[[#This Row],[Discount]]</f>
        <v>0</v>
      </c>
      <c r="Q725" t="str">
        <f>VLOOKUP(E725,Products!$A$2:$E$23,2,0)</f>
        <v>Office Chair</v>
      </c>
      <c r="R725" t="str">
        <f>VLOOKUP(Table1[[#This Row],[Product ID]],Products!$A$2:$E$23,3,0)</f>
        <v>Furniture</v>
      </c>
      <c r="S725" t="str">
        <f>VLOOKUP(C725,Customers!$A$2:$F$201,4,0)</f>
        <v>Maharashtra</v>
      </c>
      <c r="T725" t="str">
        <f>VLOOKUP(Table1[[#This Row],[Customer ID]],Customers!$A$2:$F$201,5,0)</f>
        <v>West</v>
      </c>
      <c r="U725" t="str">
        <f>VLOOKUP(Table1[[#This Row],[Customer ID]],Customers!$A$2:$F$201,6,0)</f>
        <v>Consumer</v>
      </c>
      <c r="V725" t="str">
        <f>TEXT(Table1[[#This Row],[Order Date]],"MMM")</f>
        <v>Mar</v>
      </c>
      <c r="W725" t="str">
        <f>TEXT(Table1[[#This Row],[Order Date]],"yyyy")</f>
        <v>2025</v>
      </c>
    </row>
    <row r="726" spans="1:23" x14ac:dyDescent="0.25">
      <c r="A726" s="2" t="s">
        <v>971</v>
      </c>
      <c r="B726" s="4">
        <v>45743</v>
      </c>
      <c r="C726" s="2" t="s">
        <v>325</v>
      </c>
      <c r="D726" s="2" t="str">
        <f>TEXT(Table1[[#This Row],[Order Date]],"mmmm")</f>
        <v>March</v>
      </c>
      <c r="E726" s="2" t="s">
        <v>57</v>
      </c>
      <c r="F726" s="2">
        <v>3</v>
      </c>
      <c r="G726" s="5">
        <v>0</v>
      </c>
      <c r="H726" s="2" t="s">
        <v>25</v>
      </c>
      <c r="I726" s="2" t="s">
        <v>31</v>
      </c>
      <c r="J726" s="2" t="s">
        <v>21</v>
      </c>
      <c r="K726">
        <f>VLOOKUP(E726,Products!$A$2:$E$23,5,0)</f>
        <v>1599</v>
      </c>
      <c r="L726">
        <f>VLOOKUP(E726,Products!$A$2:$E$23,4,0)</f>
        <v>800</v>
      </c>
      <c r="M726" s="2">
        <f>K726*F726-Table1[[#This Row],[discount_amount]]</f>
        <v>4797</v>
      </c>
      <c r="N726">
        <f t="shared" si="23"/>
        <v>2400</v>
      </c>
      <c r="O726">
        <f t="shared" si="22"/>
        <v>2397</v>
      </c>
      <c r="P726">
        <f>Table1[[#This Row],[Quantity]]*Table1[[#This Row],[unit_price]]*Table1[[#This Row],[Discount]]</f>
        <v>0</v>
      </c>
      <c r="Q726" t="str">
        <f>VLOOKUP(E726,Products!$A$2:$E$23,2,0)</f>
        <v>Hoodie</v>
      </c>
      <c r="R726" t="str">
        <f>VLOOKUP(Table1[[#This Row],[Product ID]],Products!$A$2:$E$23,3,0)</f>
        <v>Clothing</v>
      </c>
      <c r="S726" t="str">
        <f>VLOOKUP(C726,Customers!$A$2:$F$201,4,0)</f>
        <v>Maharashtra</v>
      </c>
      <c r="T726" t="str">
        <f>VLOOKUP(Table1[[#This Row],[Customer ID]],Customers!$A$2:$F$201,5,0)</f>
        <v>West</v>
      </c>
      <c r="U726" t="str">
        <f>VLOOKUP(Table1[[#This Row],[Customer ID]],Customers!$A$2:$F$201,6,0)</f>
        <v>Corporate</v>
      </c>
      <c r="V726" t="str">
        <f>TEXT(Table1[[#This Row],[Order Date]],"MMM")</f>
        <v>Mar</v>
      </c>
      <c r="W726" t="str">
        <f>TEXT(Table1[[#This Row],[Order Date]],"yyyy")</f>
        <v>2025</v>
      </c>
    </row>
    <row r="727" spans="1:23" x14ac:dyDescent="0.25">
      <c r="A727" s="2" t="s">
        <v>972</v>
      </c>
      <c r="B727" s="4">
        <v>45743</v>
      </c>
      <c r="C727" s="2" t="s">
        <v>56</v>
      </c>
      <c r="D727" s="2" t="str">
        <f>TEXT(Table1[[#This Row],[Order Date]],"mmmm")</f>
        <v>March</v>
      </c>
      <c r="E727" s="2" t="s">
        <v>127</v>
      </c>
      <c r="F727" s="2">
        <v>2</v>
      </c>
      <c r="G727" s="5">
        <v>0</v>
      </c>
      <c r="H727" s="2" t="s">
        <v>19</v>
      </c>
      <c r="I727" s="2" t="s">
        <v>46</v>
      </c>
      <c r="J727" s="2" t="s">
        <v>21</v>
      </c>
      <c r="K727">
        <f>VLOOKUP(E727,Products!$A$2:$E$23,5,0)</f>
        <v>1999</v>
      </c>
      <c r="L727">
        <f>VLOOKUP(E727,Products!$A$2:$E$23,4,0)</f>
        <v>1200</v>
      </c>
      <c r="M727" s="2">
        <f>K727*F727-Table1[[#This Row],[discount_amount]]</f>
        <v>3998</v>
      </c>
      <c r="N727">
        <f t="shared" si="23"/>
        <v>2400</v>
      </c>
      <c r="O727">
        <f t="shared" si="22"/>
        <v>1598</v>
      </c>
      <c r="P727">
        <f>Table1[[#This Row],[Quantity]]*Table1[[#This Row],[unit_price]]*Table1[[#This Row],[Discount]]</f>
        <v>0</v>
      </c>
      <c r="Q727" t="str">
        <f>VLOOKUP(E727,Products!$A$2:$E$23,2,0)</f>
        <v>Bluetooth Speaker</v>
      </c>
      <c r="R727" t="str">
        <f>VLOOKUP(Table1[[#This Row],[Product ID]],Products!$A$2:$E$23,3,0)</f>
        <v>Electronics</v>
      </c>
      <c r="S727" t="str">
        <f>VLOOKUP(C727,Customers!$A$2:$F$201,4,0)</f>
        <v>Maharashtra</v>
      </c>
      <c r="T727" t="str">
        <f>VLOOKUP(Table1[[#This Row],[Customer ID]],Customers!$A$2:$F$201,5,0)</f>
        <v>West</v>
      </c>
      <c r="U727" t="str">
        <f>VLOOKUP(Table1[[#This Row],[Customer ID]],Customers!$A$2:$F$201,6,0)</f>
        <v>Consumer</v>
      </c>
      <c r="V727" t="str">
        <f>TEXT(Table1[[#This Row],[Order Date]],"MMM")</f>
        <v>Mar</v>
      </c>
      <c r="W727" t="str">
        <f>TEXT(Table1[[#This Row],[Order Date]],"yyyy")</f>
        <v>2025</v>
      </c>
    </row>
    <row r="728" spans="1:23" x14ac:dyDescent="0.25">
      <c r="A728" s="2" t="s">
        <v>973</v>
      </c>
      <c r="B728" s="4">
        <v>45744</v>
      </c>
      <c r="C728" s="2" t="s">
        <v>732</v>
      </c>
      <c r="D728" s="2" t="str">
        <f>TEXT(Table1[[#This Row],[Order Date]],"mmmm")</f>
        <v>March</v>
      </c>
      <c r="E728" s="2" t="s">
        <v>24</v>
      </c>
      <c r="F728" s="2">
        <v>3</v>
      </c>
      <c r="G728" s="5">
        <v>0.05</v>
      </c>
      <c r="H728" s="2" t="s">
        <v>25</v>
      </c>
      <c r="I728" s="2" t="s">
        <v>31</v>
      </c>
      <c r="J728" s="2" t="s">
        <v>21</v>
      </c>
      <c r="K728">
        <f>VLOOKUP(E728,Products!$A$2:$E$23,5,0)</f>
        <v>899</v>
      </c>
      <c r="L728">
        <f>VLOOKUP(E728,Products!$A$2:$E$23,4,0)</f>
        <v>500</v>
      </c>
      <c r="M728" s="2">
        <f>K728*F728-Table1[[#This Row],[discount_amount]]</f>
        <v>2562.15</v>
      </c>
      <c r="N728">
        <f t="shared" si="23"/>
        <v>1500</v>
      </c>
      <c r="O728">
        <f t="shared" si="22"/>
        <v>1062.1500000000001</v>
      </c>
      <c r="P728">
        <f>Table1[[#This Row],[Quantity]]*Table1[[#This Row],[unit_price]]*Table1[[#This Row],[Discount]]</f>
        <v>134.85</v>
      </c>
      <c r="Q728" t="str">
        <f>VLOOKUP(E728,Products!$A$2:$E$23,2,0)</f>
        <v>Monitor Stand</v>
      </c>
      <c r="R728" t="str">
        <f>VLOOKUP(Table1[[#This Row],[Product ID]],Products!$A$2:$E$23,3,0)</f>
        <v>Furniture</v>
      </c>
      <c r="S728" t="str">
        <f>VLOOKUP(C728,Customers!$A$2:$F$201,4,0)</f>
        <v>Karnataka</v>
      </c>
      <c r="T728" t="str">
        <f>VLOOKUP(Table1[[#This Row],[Customer ID]],Customers!$A$2:$F$201,5,0)</f>
        <v>South</v>
      </c>
      <c r="U728" t="str">
        <f>VLOOKUP(Table1[[#This Row],[Customer ID]],Customers!$A$2:$F$201,6,0)</f>
        <v>Consumer</v>
      </c>
      <c r="V728" t="str">
        <f>TEXT(Table1[[#This Row],[Order Date]],"MMM")</f>
        <v>Mar</v>
      </c>
      <c r="W728" t="str">
        <f>TEXT(Table1[[#This Row],[Order Date]],"yyyy")</f>
        <v>2025</v>
      </c>
    </row>
    <row r="729" spans="1:23" x14ac:dyDescent="0.25">
      <c r="A729" s="2" t="s">
        <v>974</v>
      </c>
      <c r="B729" s="4">
        <v>45744</v>
      </c>
      <c r="C729" s="2" t="s">
        <v>443</v>
      </c>
      <c r="D729" s="2" t="str">
        <f>TEXT(Table1[[#This Row],[Order Date]],"mmmm")</f>
        <v>March</v>
      </c>
      <c r="E729" s="2" t="s">
        <v>82</v>
      </c>
      <c r="F729" s="2">
        <v>10</v>
      </c>
      <c r="G729" s="5">
        <v>0.15</v>
      </c>
      <c r="H729" s="2" t="s">
        <v>25</v>
      </c>
      <c r="I729" s="2" t="s">
        <v>20</v>
      </c>
      <c r="J729" s="2" t="s">
        <v>21</v>
      </c>
      <c r="K729">
        <f>VLOOKUP(E729,Products!$A$2:$E$23,5,0)</f>
        <v>1799</v>
      </c>
      <c r="L729">
        <f>VLOOKUP(E729,Products!$A$2:$E$23,4,0)</f>
        <v>1100</v>
      </c>
      <c r="M729" s="2">
        <f>K729*F729-Table1[[#This Row],[discount_amount]]</f>
        <v>15291.5</v>
      </c>
      <c r="N729">
        <f t="shared" si="23"/>
        <v>11000</v>
      </c>
      <c r="O729">
        <f t="shared" si="22"/>
        <v>4291.5</v>
      </c>
      <c r="P729">
        <f>Table1[[#This Row],[Quantity]]*Table1[[#This Row],[unit_price]]*Table1[[#This Row],[Discount]]</f>
        <v>2698.5</v>
      </c>
      <c r="Q729" t="str">
        <f>VLOOKUP(E729,Products!$A$2:$E$23,2,0)</f>
        <v>Webcam HD</v>
      </c>
      <c r="R729" t="str">
        <f>VLOOKUP(Table1[[#This Row],[Product ID]],Products!$A$2:$E$23,3,0)</f>
        <v>Electronics</v>
      </c>
      <c r="S729" t="str">
        <f>VLOOKUP(C729,Customers!$A$2:$F$201,4,0)</f>
        <v>Kerala</v>
      </c>
      <c r="T729" t="str">
        <f>VLOOKUP(Table1[[#This Row],[Customer ID]],Customers!$A$2:$F$201,5,0)</f>
        <v>South</v>
      </c>
      <c r="U729" t="str">
        <f>VLOOKUP(Table1[[#This Row],[Customer ID]],Customers!$A$2:$F$201,6,0)</f>
        <v>Consumer</v>
      </c>
      <c r="V729" t="str">
        <f>TEXT(Table1[[#This Row],[Order Date]],"MMM")</f>
        <v>Mar</v>
      </c>
      <c r="W729" t="str">
        <f>TEXT(Table1[[#This Row],[Order Date]],"yyyy")</f>
        <v>2025</v>
      </c>
    </row>
    <row r="730" spans="1:23" x14ac:dyDescent="0.25">
      <c r="A730" s="2" t="s">
        <v>975</v>
      </c>
      <c r="B730" s="4">
        <v>45744</v>
      </c>
      <c r="C730" s="2" t="s">
        <v>415</v>
      </c>
      <c r="D730" s="2" t="str">
        <f>TEXT(Table1[[#This Row],[Order Date]],"mmmm")</f>
        <v>March</v>
      </c>
      <c r="E730" s="2" t="s">
        <v>63</v>
      </c>
      <c r="F730" s="2">
        <v>6</v>
      </c>
      <c r="G730" s="5">
        <v>0.1</v>
      </c>
      <c r="H730" s="2" t="s">
        <v>25</v>
      </c>
      <c r="I730" s="2" t="s">
        <v>20</v>
      </c>
      <c r="J730" s="2" t="s">
        <v>21</v>
      </c>
      <c r="K730">
        <f>VLOOKUP(E730,Products!$A$2:$E$23,5,0)</f>
        <v>5499</v>
      </c>
      <c r="L730">
        <f>VLOOKUP(E730,Products!$A$2:$E$23,4,0)</f>
        <v>3500</v>
      </c>
      <c r="M730" s="2">
        <f>K730*F730-Table1[[#This Row],[discount_amount]]</f>
        <v>29694.6</v>
      </c>
      <c r="N730">
        <f t="shared" si="23"/>
        <v>21000</v>
      </c>
      <c r="O730">
        <f t="shared" si="22"/>
        <v>8694.5999999999985</v>
      </c>
      <c r="P730">
        <f>Table1[[#This Row],[Quantity]]*Table1[[#This Row],[unit_price]]*Table1[[#This Row],[Discount]]</f>
        <v>3299.4</v>
      </c>
      <c r="Q730" t="str">
        <f>VLOOKUP(E730,Products!$A$2:$E$23,2,0)</f>
        <v>Office Chair</v>
      </c>
      <c r="R730" t="str">
        <f>VLOOKUP(Table1[[#This Row],[Product ID]],Products!$A$2:$E$23,3,0)</f>
        <v>Furniture</v>
      </c>
      <c r="S730" t="str">
        <f>VLOOKUP(C730,Customers!$A$2:$F$201,4,0)</f>
        <v>Tamil Nadu</v>
      </c>
      <c r="T730" t="str">
        <f>VLOOKUP(Table1[[#This Row],[Customer ID]],Customers!$A$2:$F$201,5,0)</f>
        <v>South</v>
      </c>
      <c r="U730" t="str">
        <f>VLOOKUP(Table1[[#This Row],[Customer ID]],Customers!$A$2:$F$201,6,0)</f>
        <v>Consumer</v>
      </c>
      <c r="V730" t="str">
        <f>TEXT(Table1[[#This Row],[Order Date]],"MMM")</f>
        <v>Mar</v>
      </c>
      <c r="W730" t="str">
        <f>TEXT(Table1[[#This Row],[Order Date]],"yyyy")</f>
        <v>2025</v>
      </c>
    </row>
    <row r="731" spans="1:23" x14ac:dyDescent="0.25">
      <c r="A731" s="2" t="s">
        <v>976</v>
      </c>
      <c r="B731" s="4">
        <v>45744</v>
      </c>
      <c r="C731" s="2" t="s">
        <v>180</v>
      </c>
      <c r="D731" s="2" t="str">
        <f>TEXT(Table1[[#This Row],[Order Date]],"mmmm")</f>
        <v>March</v>
      </c>
      <c r="E731" s="2" t="s">
        <v>73</v>
      </c>
      <c r="F731" s="2">
        <v>4</v>
      </c>
      <c r="G731" s="5">
        <v>0.05</v>
      </c>
      <c r="H731" s="2" t="s">
        <v>25</v>
      </c>
      <c r="I731" s="2" t="s">
        <v>46</v>
      </c>
      <c r="J731" s="2" t="s">
        <v>21</v>
      </c>
      <c r="K731">
        <f>VLOOKUP(E731,Products!$A$2:$E$23,5,0)</f>
        <v>6499</v>
      </c>
      <c r="L731">
        <f>VLOOKUP(E731,Products!$A$2:$E$23,4,0)</f>
        <v>4200</v>
      </c>
      <c r="M731" s="2">
        <f>K731*F731-Table1[[#This Row],[discount_amount]]</f>
        <v>24696.2</v>
      </c>
      <c r="N731">
        <f t="shared" si="23"/>
        <v>16800</v>
      </c>
      <c r="O731">
        <f t="shared" si="22"/>
        <v>7896.2000000000007</v>
      </c>
      <c r="P731">
        <f>Table1[[#This Row],[Quantity]]*Table1[[#This Row],[unit_price]]*Table1[[#This Row],[Discount]]</f>
        <v>1299.8000000000002</v>
      </c>
      <c r="Q731" t="str">
        <f>VLOOKUP(E731,Products!$A$2:$E$23,2,0)</f>
        <v>Study Table</v>
      </c>
      <c r="R731" t="str">
        <f>VLOOKUP(Table1[[#This Row],[Product ID]],Products!$A$2:$E$23,3,0)</f>
        <v>Furniture</v>
      </c>
      <c r="S731" t="str">
        <f>VLOOKUP(C731,Customers!$A$2:$F$201,4,0)</f>
        <v>Delhi</v>
      </c>
      <c r="T731" t="str">
        <f>VLOOKUP(Table1[[#This Row],[Customer ID]],Customers!$A$2:$F$201,5,0)</f>
        <v>North</v>
      </c>
      <c r="U731" t="str">
        <f>VLOOKUP(Table1[[#This Row],[Customer ID]],Customers!$A$2:$F$201,6,0)</f>
        <v>Consumer</v>
      </c>
      <c r="V731" t="str">
        <f>TEXT(Table1[[#This Row],[Order Date]],"MMM")</f>
        <v>Mar</v>
      </c>
      <c r="W731" t="str">
        <f>TEXT(Table1[[#This Row],[Order Date]],"yyyy")</f>
        <v>2025</v>
      </c>
    </row>
    <row r="732" spans="1:23" x14ac:dyDescent="0.25">
      <c r="A732" s="2" t="s">
        <v>977</v>
      </c>
      <c r="B732" s="4">
        <v>45744</v>
      </c>
      <c r="C732" s="2" t="s">
        <v>605</v>
      </c>
      <c r="D732" s="2" t="str">
        <f>TEXT(Table1[[#This Row],[Order Date]],"mmmm")</f>
        <v>March</v>
      </c>
      <c r="E732" s="2" t="s">
        <v>91</v>
      </c>
      <c r="F732" s="2">
        <v>5</v>
      </c>
      <c r="G732" s="5">
        <v>0.2</v>
      </c>
      <c r="H732" s="2" t="s">
        <v>19</v>
      </c>
      <c r="I732" s="2" t="s">
        <v>31</v>
      </c>
      <c r="J732" s="2" t="s">
        <v>21</v>
      </c>
      <c r="K732">
        <f>VLOOKUP(E732,Products!$A$2:$E$23,5,0)</f>
        <v>1199</v>
      </c>
      <c r="L732">
        <f>VLOOKUP(E732,Products!$A$2:$E$23,4,0)</f>
        <v>600</v>
      </c>
      <c r="M732" s="2">
        <f>K732*F732-Table1[[#This Row],[discount_amount]]</f>
        <v>4796</v>
      </c>
      <c r="N732">
        <f t="shared" si="23"/>
        <v>3000</v>
      </c>
      <c r="O732">
        <f t="shared" si="22"/>
        <v>1796</v>
      </c>
      <c r="P732">
        <f>Table1[[#This Row],[Quantity]]*Table1[[#This Row],[unit_price]]*Table1[[#This Row],[Discount]]</f>
        <v>1199</v>
      </c>
      <c r="Q732" t="str">
        <f>VLOOKUP(E732,Products!$A$2:$E$23,2,0)</f>
        <v>Formal Shirt</v>
      </c>
      <c r="R732" t="str">
        <f>VLOOKUP(Table1[[#This Row],[Product ID]],Products!$A$2:$E$23,3,0)</f>
        <v>Clothing</v>
      </c>
      <c r="S732" t="str">
        <f>VLOOKUP(C732,Customers!$A$2:$F$201,4,0)</f>
        <v>Rajasthan</v>
      </c>
      <c r="T732" t="str">
        <f>VLOOKUP(Table1[[#This Row],[Customer ID]],Customers!$A$2:$F$201,5,0)</f>
        <v>North</v>
      </c>
      <c r="U732" t="str">
        <f>VLOOKUP(Table1[[#This Row],[Customer ID]],Customers!$A$2:$F$201,6,0)</f>
        <v>Consumer</v>
      </c>
      <c r="V732" t="str">
        <f>TEXT(Table1[[#This Row],[Order Date]],"MMM")</f>
        <v>Mar</v>
      </c>
      <c r="W732" t="str">
        <f>TEXT(Table1[[#This Row],[Order Date]],"yyyy")</f>
        <v>2025</v>
      </c>
    </row>
    <row r="733" spans="1:23" x14ac:dyDescent="0.25">
      <c r="A733" s="2" t="s">
        <v>978</v>
      </c>
      <c r="B733" s="4">
        <v>45745</v>
      </c>
      <c r="C733" s="2" t="s">
        <v>322</v>
      </c>
      <c r="D733" s="2" t="str">
        <f>TEXT(Table1[[#This Row],[Order Date]],"mmmm")</f>
        <v>March</v>
      </c>
      <c r="E733" s="2" t="s">
        <v>127</v>
      </c>
      <c r="F733" s="2">
        <v>10</v>
      </c>
      <c r="G733" s="5">
        <v>0</v>
      </c>
      <c r="H733" s="2" t="s">
        <v>25</v>
      </c>
      <c r="I733" s="2" t="s">
        <v>38</v>
      </c>
      <c r="J733" s="2" t="s">
        <v>21</v>
      </c>
      <c r="K733">
        <f>VLOOKUP(E733,Products!$A$2:$E$23,5,0)</f>
        <v>1999</v>
      </c>
      <c r="L733">
        <f>VLOOKUP(E733,Products!$A$2:$E$23,4,0)</f>
        <v>1200</v>
      </c>
      <c r="M733" s="2">
        <f>K733*F733-Table1[[#This Row],[discount_amount]]</f>
        <v>19990</v>
      </c>
      <c r="N733">
        <f t="shared" si="23"/>
        <v>12000</v>
      </c>
      <c r="O733">
        <f t="shared" si="22"/>
        <v>7990</v>
      </c>
      <c r="P733">
        <f>Table1[[#This Row],[Quantity]]*Table1[[#This Row],[unit_price]]*Table1[[#This Row],[Discount]]</f>
        <v>0</v>
      </c>
      <c r="Q733" t="str">
        <f>VLOOKUP(E733,Products!$A$2:$E$23,2,0)</f>
        <v>Bluetooth Speaker</v>
      </c>
      <c r="R733" t="str">
        <f>VLOOKUP(Table1[[#This Row],[Product ID]],Products!$A$2:$E$23,3,0)</f>
        <v>Electronics</v>
      </c>
      <c r="S733" t="str">
        <f>VLOOKUP(C733,Customers!$A$2:$F$201,4,0)</f>
        <v>Chandigarh</v>
      </c>
      <c r="T733" t="str">
        <f>VLOOKUP(Table1[[#This Row],[Customer ID]],Customers!$A$2:$F$201,5,0)</f>
        <v>North</v>
      </c>
      <c r="U733" t="str">
        <f>VLOOKUP(Table1[[#This Row],[Customer ID]],Customers!$A$2:$F$201,6,0)</f>
        <v>Consumer</v>
      </c>
      <c r="V733" t="str">
        <f>TEXT(Table1[[#This Row],[Order Date]],"MMM")</f>
        <v>Mar</v>
      </c>
      <c r="W733" t="str">
        <f>TEXT(Table1[[#This Row],[Order Date]],"yyyy")</f>
        <v>2025</v>
      </c>
    </row>
    <row r="734" spans="1:23" x14ac:dyDescent="0.25">
      <c r="A734" s="2" t="s">
        <v>979</v>
      </c>
      <c r="B734" s="4">
        <v>45745</v>
      </c>
      <c r="C734" s="2" t="s">
        <v>72</v>
      </c>
      <c r="D734" s="2" t="str">
        <f>TEXT(Table1[[#This Row],[Order Date]],"mmmm")</f>
        <v>March</v>
      </c>
      <c r="E734" s="2" t="s">
        <v>54</v>
      </c>
      <c r="F734" s="2">
        <v>2</v>
      </c>
      <c r="G734" s="5">
        <v>0</v>
      </c>
      <c r="H734" s="2" t="s">
        <v>25</v>
      </c>
      <c r="I734" s="2" t="s">
        <v>20</v>
      </c>
      <c r="J734" s="2" t="s">
        <v>21</v>
      </c>
      <c r="K734">
        <f>VLOOKUP(E734,Products!$A$2:$E$23,5,0)</f>
        <v>299</v>
      </c>
      <c r="L734">
        <f>VLOOKUP(E734,Products!$A$2:$E$23,4,0)</f>
        <v>180</v>
      </c>
      <c r="M734" s="2">
        <f>K734*F734-Table1[[#This Row],[discount_amount]]</f>
        <v>598</v>
      </c>
      <c r="N734">
        <f t="shared" si="23"/>
        <v>360</v>
      </c>
      <c r="O734">
        <f t="shared" si="22"/>
        <v>238</v>
      </c>
      <c r="P734">
        <f>Table1[[#This Row],[Quantity]]*Table1[[#This Row],[unit_price]]*Table1[[#This Row],[Discount]]</f>
        <v>0</v>
      </c>
      <c r="Q734" t="str">
        <f>VLOOKUP(E734,Products!$A$2:$E$23,2,0)</f>
        <v>Notebook Pack of 5</v>
      </c>
      <c r="R734" t="str">
        <f>VLOOKUP(Table1[[#This Row],[Product ID]],Products!$A$2:$E$23,3,0)</f>
        <v>Office Supplies</v>
      </c>
      <c r="S734" t="str">
        <f>VLOOKUP(C734,Customers!$A$2:$F$201,4,0)</f>
        <v>Maharashtra</v>
      </c>
      <c r="T734" t="str">
        <f>VLOOKUP(Table1[[#This Row],[Customer ID]],Customers!$A$2:$F$201,5,0)</f>
        <v>West</v>
      </c>
      <c r="U734" t="str">
        <f>VLOOKUP(Table1[[#This Row],[Customer ID]],Customers!$A$2:$F$201,6,0)</f>
        <v>Consumer</v>
      </c>
      <c r="V734" t="str">
        <f>TEXT(Table1[[#This Row],[Order Date]],"MMM")</f>
        <v>Mar</v>
      </c>
      <c r="W734" t="str">
        <f>TEXT(Table1[[#This Row],[Order Date]],"yyyy")</f>
        <v>2025</v>
      </c>
    </row>
    <row r="735" spans="1:23" x14ac:dyDescent="0.25">
      <c r="A735" s="2" t="s">
        <v>980</v>
      </c>
      <c r="B735" s="4">
        <v>45746</v>
      </c>
      <c r="C735" s="2" t="s">
        <v>356</v>
      </c>
      <c r="D735" s="2" t="str">
        <f>TEXT(Table1[[#This Row],[Order Date]],"mmmm")</f>
        <v>March</v>
      </c>
      <c r="E735" s="2" t="s">
        <v>63</v>
      </c>
      <c r="F735" s="2">
        <v>4</v>
      </c>
      <c r="G735" s="5">
        <v>0</v>
      </c>
      <c r="H735" s="2" t="s">
        <v>30</v>
      </c>
      <c r="I735" s="2" t="s">
        <v>38</v>
      </c>
      <c r="J735" s="2" t="s">
        <v>21</v>
      </c>
      <c r="K735">
        <f>VLOOKUP(E735,Products!$A$2:$E$23,5,0)</f>
        <v>5499</v>
      </c>
      <c r="L735">
        <f>VLOOKUP(E735,Products!$A$2:$E$23,4,0)</f>
        <v>3500</v>
      </c>
      <c r="M735" s="2">
        <f>K735*F735-Table1[[#This Row],[discount_amount]]</f>
        <v>21996</v>
      </c>
      <c r="N735">
        <f t="shared" si="23"/>
        <v>14000</v>
      </c>
      <c r="O735">
        <f t="shared" si="22"/>
        <v>7996</v>
      </c>
      <c r="P735">
        <f>Table1[[#This Row],[Quantity]]*Table1[[#This Row],[unit_price]]*Table1[[#This Row],[Discount]]</f>
        <v>0</v>
      </c>
      <c r="Q735" t="str">
        <f>VLOOKUP(E735,Products!$A$2:$E$23,2,0)</f>
        <v>Office Chair</v>
      </c>
      <c r="R735" t="str">
        <f>VLOOKUP(Table1[[#This Row],[Product ID]],Products!$A$2:$E$23,3,0)</f>
        <v>Furniture</v>
      </c>
      <c r="S735" t="str">
        <f>VLOOKUP(C735,Customers!$A$2:$F$201,4,0)</f>
        <v>Gujarat</v>
      </c>
      <c r="T735" t="str">
        <f>VLOOKUP(Table1[[#This Row],[Customer ID]],Customers!$A$2:$F$201,5,0)</f>
        <v>West</v>
      </c>
      <c r="U735" t="str">
        <f>VLOOKUP(Table1[[#This Row],[Customer ID]],Customers!$A$2:$F$201,6,0)</f>
        <v>Corporate</v>
      </c>
      <c r="V735" t="str">
        <f>TEXT(Table1[[#This Row],[Order Date]],"MMM")</f>
        <v>Mar</v>
      </c>
      <c r="W735" t="str">
        <f>TEXT(Table1[[#This Row],[Order Date]],"yyyy")</f>
        <v>2025</v>
      </c>
    </row>
    <row r="736" spans="1:23" x14ac:dyDescent="0.25">
      <c r="A736" s="2" t="s">
        <v>981</v>
      </c>
      <c r="B736" s="4">
        <v>45746</v>
      </c>
      <c r="C736" s="2" t="s">
        <v>788</v>
      </c>
      <c r="D736" s="2" t="str">
        <f>TEXT(Table1[[#This Row],[Order Date]],"mmmm")</f>
        <v>March</v>
      </c>
      <c r="E736" s="2" t="s">
        <v>111</v>
      </c>
      <c r="F736" s="2">
        <v>3</v>
      </c>
      <c r="G736" s="5">
        <v>0</v>
      </c>
      <c r="H736" s="2" t="s">
        <v>25</v>
      </c>
      <c r="I736" s="2" t="s">
        <v>31</v>
      </c>
      <c r="J736" s="2" t="s">
        <v>21</v>
      </c>
      <c r="K736">
        <f>VLOOKUP(E736,Products!$A$2:$E$23,5,0)</f>
        <v>240</v>
      </c>
      <c r="L736">
        <f>VLOOKUP(E736,Products!$A$2:$E$23,4,0)</f>
        <v>140</v>
      </c>
      <c r="M736" s="2">
        <f>K736*F736-Table1[[#This Row],[discount_amount]]</f>
        <v>720</v>
      </c>
      <c r="N736">
        <f t="shared" si="23"/>
        <v>420</v>
      </c>
      <c r="O736">
        <f t="shared" si="22"/>
        <v>300</v>
      </c>
      <c r="P736">
        <f>Table1[[#This Row],[Quantity]]*Table1[[#This Row],[unit_price]]*Table1[[#This Row],[Discount]]</f>
        <v>0</v>
      </c>
      <c r="Q736" t="str">
        <f>VLOOKUP(E736,Products!$A$2:$E$23,2,0)</f>
        <v>Whiteboard Marker Set</v>
      </c>
      <c r="R736" t="str">
        <f>VLOOKUP(Table1[[#This Row],[Product ID]],Products!$A$2:$E$23,3,0)</f>
        <v>Office Supplies</v>
      </c>
      <c r="S736" t="str">
        <f>VLOOKUP(C736,Customers!$A$2:$F$201,4,0)</f>
        <v>Uttar Pradesh</v>
      </c>
      <c r="T736" t="str">
        <f>VLOOKUP(Table1[[#This Row],[Customer ID]],Customers!$A$2:$F$201,5,0)</f>
        <v>North</v>
      </c>
      <c r="U736" t="str">
        <f>VLOOKUP(Table1[[#This Row],[Customer ID]],Customers!$A$2:$F$201,6,0)</f>
        <v>Home Office</v>
      </c>
      <c r="V736" t="str">
        <f>TEXT(Table1[[#This Row],[Order Date]],"MMM")</f>
        <v>Mar</v>
      </c>
      <c r="W736" t="str">
        <f>TEXT(Table1[[#This Row],[Order Date]],"yyyy")</f>
        <v>2025</v>
      </c>
    </row>
    <row r="737" spans="1:23" x14ac:dyDescent="0.25">
      <c r="A737" s="2" t="s">
        <v>982</v>
      </c>
      <c r="B737" s="4">
        <v>45746</v>
      </c>
      <c r="C737" s="2" t="s">
        <v>100</v>
      </c>
      <c r="D737" s="2" t="str">
        <f>TEXT(Table1[[#This Row],[Order Date]],"mmmm")</f>
        <v>March</v>
      </c>
      <c r="E737" s="2" t="s">
        <v>49</v>
      </c>
      <c r="F737" s="2">
        <v>6</v>
      </c>
      <c r="G737" s="5">
        <v>0.1</v>
      </c>
      <c r="H737" s="2" t="s">
        <v>19</v>
      </c>
      <c r="I737" s="2" t="s">
        <v>46</v>
      </c>
      <c r="J737" s="2" t="s">
        <v>79</v>
      </c>
      <c r="K737">
        <f>VLOOKUP(E737,Products!$A$2:$E$23,5,0)</f>
        <v>700</v>
      </c>
      <c r="L737">
        <f>VLOOKUP(E737,Products!$A$2:$E$23,4,0)</f>
        <v>450</v>
      </c>
      <c r="M737" s="2">
        <f>K737*F737-Table1[[#This Row],[discount_amount]]</f>
        <v>3780</v>
      </c>
      <c r="N737">
        <f t="shared" si="23"/>
        <v>2700</v>
      </c>
      <c r="O737">
        <f t="shared" si="22"/>
        <v>1080</v>
      </c>
      <c r="P737">
        <f>Table1[[#This Row],[Quantity]]*Table1[[#This Row],[unit_price]]*Table1[[#This Row],[Discount]]</f>
        <v>420</v>
      </c>
      <c r="Q737" t="str">
        <f>VLOOKUP(E737,Products!$A$2:$E$23,2,0)</f>
        <v>Wireless Mouse</v>
      </c>
      <c r="R737" t="str">
        <f>VLOOKUP(Table1[[#This Row],[Product ID]],Products!$A$2:$E$23,3,0)</f>
        <v>Electronics</v>
      </c>
      <c r="S737" t="str">
        <f>VLOOKUP(C737,Customers!$A$2:$F$201,4,0)</f>
        <v>Delhi</v>
      </c>
      <c r="T737" t="str">
        <f>VLOOKUP(Table1[[#This Row],[Customer ID]],Customers!$A$2:$F$201,5,0)</f>
        <v>North</v>
      </c>
      <c r="U737" t="str">
        <f>VLOOKUP(Table1[[#This Row],[Customer ID]],Customers!$A$2:$F$201,6,0)</f>
        <v>Consumer</v>
      </c>
      <c r="V737" t="str">
        <f>TEXT(Table1[[#This Row],[Order Date]],"MMM")</f>
        <v>Mar</v>
      </c>
      <c r="W737" t="str">
        <f>TEXT(Table1[[#This Row],[Order Date]],"yyyy")</f>
        <v>2025</v>
      </c>
    </row>
    <row r="738" spans="1:23" x14ac:dyDescent="0.25">
      <c r="A738" s="2" t="s">
        <v>983</v>
      </c>
      <c r="B738" s="4">
        <v>45746</v>
      </c>
      <c r="C738" s="2" t="s">
        <v>358</v>
      </c>
      <c r="D738" s="2" t="str">
        <f>TEXT(Table1[[#This Row],[Order Date]],"mmmm")</f>
        <v>March</v>
      </c>
      <c r="E738" s="2" t="s">
        <v>41</v>
      </c>
      <c r="F738" s="2">
        <v>6</v>
      </c>
      <c r="G738" s="5">
        <v>0.1</v>
      </c>
      <c r="H738" s="2" t="s">
        <v>25</v>
      </c>
      <c r="I738" s="2" t="s">
        <v>38</v>
      </c>
      <c r="J738" s="2" t="s">
        <v>21</v>
      </c>
      <c r="K738">
        <f>VLOOKUP(E738,Products!$A$2:$E$23,5,0)</f>
        <v>320</v>
      </c>
      <c r="L738">
        <f>VLOOKUP(E738,Products!$A$2:$E$23,4,0)</f>
        <v>220</v>
      </c>
      <c r="M738" s="2">
        <f>K738*F738-Table1[[#This Row],[discount_amount]]</f>
        <v>1728</v>
      </c>
      <c r="N738">
        <f t="shared" si="23"/>
        <v>1320</v>
      </c>
      <c r="O738">
        <f t="shared" si="22"/>
        <v>408</v>
      </c>
      <c r="P738">
        <f>Table1[[#This Row],[Quantity]]*Table1[[#This Row],[unit_price]]*Table1[[#This Row],[Discount]]</f>
        <v>192</v>
      </c>
      <c r="Q738" t="str">
        <f>VLOOKUP(E738,Products!$A$2:$E$23,2,0)</f>
        <v>A4 Paper Ream</v>
      </c>
      <c r="R738" t="str">
        <f>VLOOKUP(Table1[[#This Row],[Product ID]],Products!$A$2:$E$23,3,0)</f>
        <v>Office Supplies</v>
      </c>
      <c r="S738" t="str">
        <f>VLOOKUP(C738,Customers!$A$2:$F$201,4,0)</f>
        <v>Delhi</v>
      </c>
      <c r="T738" t="str">
        <f>VLOOKUP(Table1[[#This Row],[Customer ID]],Customers!$A$2:$F$201,5,0)</f>
        <v>North</v>
      </c>
      <c r="U738" t="str">
        <f>VLOOKUP(Table1[[#This Row],[Customer ID]],Customers!$A$2:$F$201,6,0)</f>
        <v>Consumer</v>
      </c>
      <c r="V738" t="str">
        <f>TEXT(Table1[[#This Row],[Order Date]],"MMM")</f>
        <v>Mar</v>
      </c>
      <c r="W738" t="str">
        <f>TEXT(Table1[[#This Row],[Order Date]],"yyyy")</f>
        <v>2025</v>
      </c>
    </row>
    <row r="739" spans="1:23" x14ac:dyDescent="0.25">
      <c r="A739" s="2" t="s">
        <v>984</v>
      </c>
      <c r="B739" s="4">
        <v>45747</v>
      </c>
      <c r="C739" s="2" t="s">
        <v>339</v>
      </c>
      <c r="D739" s="2" t="str">
        <f>TEXT(Table1[[#This Row],[Order Date]],"mmmm")</f>
        <v>March</v>
      </c>
      <c r="E739" s="2" t="s">
        <v>118</v>
      </c>
      <c r="F739" s="2">
        <v>4</v>
      </c>
      <c r="G739" s="5">
        <v>0.05</v>
      </c>
      <c r="H739" s="2" t="s">
        <v>19</v>
      </c>
      <c r="I739" s="2" t="s">
        <v>31</v>
      </c>
      <c r="J739" s="2" t="s">
        <v>21</v>
      </c>
      <c r="K739">
        <f>VLOOKUP(E739,Products!$A$2:$E$23,5,0)</f>
        <v>150</v>
      </c>
      <c r="L739">
        <f>VLOOKUP(E739,Products!$A$2:$E$23,4,0)</f>
        <v>90</v>
      </c>
      <c r="M739" s="2">
        <f>K739*F739-Table1[[#This Row],[discount_amount]]</f>
        <v>570</v>
      </c>
      <c r="N739">
        <f t="shared" si="23"/>
        <v>360</v>
      </c>
      <c r="O739">
        <f t="shared" si="22"/>
        <v>210</v>
      </c>
      <c r="P739">
        <f>Table1[[#This Row],[Quantity]]*Table1[[#This Row],[unit_price]]*Table1[[#This Row],[Discount]]</f>
        <v>30</v>
      </c>
      <c r="Q739" t="str">
        <f>VLOOKUP(E739,Products!$A$2:$E$23,2,0)</f>
        <v>Gel Pen Box</v>
      </c>
      <c r="R739" t="str">
        <f>VLOOKUP(Table1[[#This Row],[Product ID]],Products!$A$2:$E$23,3,0)</f>
        <v>Office Supplies</v>
      </c>
      <c r="S739" t="str">
        <f>VLOOKUP(C739,Customers!$A$2:$F$201,4,0)</f>
        <v>Tamil Nadu</v>
      </c>
      <c r="T739" t="str">
        <f>VLOOKUP(Table1[[#This Row],[Customer ID]],Customers!$A$2:$F$201,5,0)</f>
        <v>South</v>
      </c>
      <c r="U739" t="str">
        <f>VLOOKUP(Table1[[#This Row],[Customer ID]],Customers!$A$2:$F$201,6,0)</f>
        <v>Corporate</v>
      </c>
      <c r="V739" t="str">
        <f>TEXT(Table1[[#This Row],[Order Date]],"MMM")</f>
        <v>Mar</v>
      </c>
      <c r="W739" t="str">
        <f>TEXT(Table1[[#This Row],[Order Date]],"yyyy")</f>
        <v>2025</v>
      </c>
    </row>
    <row r="740" spans="1:23" x14ac:dyDescent="0.25">
      <c r="A740" s="2" t="s">
        <v>985</v>
      </c>
      <c r="B740" s="4">
        <v>45749</v>
      </c>
      <c r="C740" s="2" t="s">
        <v>443</v>
      </c>
      <c r="D740" s="2" t="str">
        <f>TEXT(Table1[[#This Row],[Order Date]],"mmmm")</f>
        <v>April</v>
      </c>
      <c r="E740" s="2" t="s">
        <v>121</v>
      </c>
      <c r="F740" s="2">
        <v>2</v>
      </c>
      <c r="G740" s="5">
        <v>0.1</v>
      </c>
      <c r="H740" s="2" t="s">
        <v>19</v>
      </c>
      <c r="I740" s="2" t="s">
        <v>38</v>
      </c>
      <c r="J740" s="2" t="s">
        <v>21</v>
      </c>
      <c r="K740">
        <f>VLOOKUP(E740,Products!$A$2:$E$23,5,0)</f>
        <v>499</v>
      </c>
      <c r="L740">
        <f>VLOOKUP(E740,Products!$A$2:$E$23,4,0)</f>
        <v>250</v>
      </c>
      <c r="M740" s="2">
        <f>K740*F740-Table1[[#This Row],[discount_amount]]</f>
        <v>898.2</v>
      </c>
      <c r="N740">
        <f t="shared" si="23"/>
        <v>500</v>
      </c>
      <c r="O740">
        <f t="shared" si="22"/>
        <v>398.20000000000005</v>
      </c>
      <c r="P740">
        <f>Table1[[#This Row],[Quantity]]*Table1[[#This Row],[unit_price]]*Table1[[#This Row],[Discount]]</f>
        <v>99.800000000000011</v>
      </c>
      <c r="Q740" t="str">
        <f>VLOOKUP(E740,Products!$A$2:$E$23,2,0)</f>
        <v>Cotton T-Shirt</v>
      </c>
      <c r="R740" t="str">
        <f>VLOOKUP(Table1[[#This Row],[Product ID]],Products!$A$2:$E$23,3,0)</f>
        <v>Clothing</v>
      </c>
      <c r="S740" t="str">
        <f>VLOOKUP(C740,Customers!$A$2:$F$201,4,0)</f>
        <v>Kerala</v>
      </c>
      <c r="T740" t="str">
        <f>VLOOKUP(Table1[[#This Row],[Customer ID]],Customers!$A$2:$F$201,5,0)</f>
        <v>South</v>
      </c>
      <c r="U740" t="str">
        <f>VLOOKUP(Table1[[#This Row],[Customer ID]],Customers!$A$2:$F$201,6,0)</f>
        <v>Consumer</v>
      </c>
      <c r="V740" t="str">
        <f>TEXT(Table1[[#This Row],[Order Date]],"MMM")</f>
        <v>Apr</v>
      </c>
      <c r="W740" t="str">
        <f>TEXT(Table1[[#This Row],[Order Date]],"yyyy")</f>
        <v>2025</v>
      </c>
    </row>
    <row r="741" spans="1:23" x14ac:dyDescent="0.25">
      <c r="A741" s="2" t="s">
        <v>986</v>
      </c>
      <c r="B741" s="4">
        <v>45751</v>
      </c>
      <c r="C741" s="2" t="s">
        <v>194</v>
      </c>
      <c r="D741" s="2" t="str">
        <f>TEXT(Table1[[#This Row],[Order Date]],"mmmm")</f>
        <v>April</v>
      </c>
      <c r="E741" s="2" t="s">
        <v>60</v>
      </c>
      <c r="F741" s="2">
        <v>4</v>
      </c>
      <c r="G741" s="5">
        <v>0.15</v>
      </c>
      <c r="H741" s="2" t="s">
        <v>19</v>
      </c>
      <c r="I741" s="2" t="s">
        <v>20</v>
      </c>
      <c r="J741" s="2" t="s">
        <v>21</v>
      </c>
      <c r="K741">
        <f>VLOOKUP(E741,Products!$A$2:$E$23,5,0)</f>
        <v>449</v>
      </c>
      <c r="L741">
        <f>VLOOKUP(E741,Products!$A$2:$E$23,4,0)</f>
        <v>260</v>
      </c>
      <c r="M741" s="2">
        <f>K741*F741-Table1[[#This Row],[discount_amount]]</f>
        <v>1526.6</v>
      </c>
      <c r="N741">
        <f t="shared" si="23"/>
        <v>1040</v>
      </c>
      <c r="O741">
        <f t="shared" si="22"/>
        <v>486.59999999999991</v>
      </c>
      <c r="P741">
        <f>Table1[[#This Row],[Quantity]]*Table1[[#This Row],[unit_price]]*Table1[[#This Row],[Discount]]</f>
        <v>269.39999999999998</v>
      </c>
      <c r="Q741" t="str">
        <f>VLOOKUP(E741,Products!$A$2:$E$23,2,0)</f>
        <v>Desk Organizer</v>
      </c>
      <c r="R741" t="str">
        <f>VLOOKUP(Table1[[#This Row],[Product ID]],Products!$A$2:$E$23,3,0)</f>
        <v>Office Supplies</v>
      </c>
      <c r="S741" t="str">
        <f>VLOOKUP(C741,Customers!$A$2:$F$201,4,0)</f>
        <v>Telangana</v>
      </c>
      <c r="T741" t="str">
        <f>VLOOKUP(Table1[[#This Row],[Customer ID]],Customers!$A$2:$F$201,5,0)</f>
        <v>South</v>
      </c>
      <c r="U741" t="str">
        <f>VLOOKUP(Table1[[#This Row],[Customer ID]],Customers!$A$2:$F$201,6,0)</f>
        <v>Consumer</v>
      </c>
      <c r="V741" t="str">
        <f>TEXT(Table1[[#This Row],[Order Date]],"MMM")</f>
        <v>Apr</v>
      </c>
      <c r="W741" t="str">
        <f>TEXT(Table1[[#This Row],[Order Date]],"yyyy")</f>
        <v>2025</v>
      </c>
    </row>
    <row r="742" spans="1:23" x14ac:dyDescent="0.25">
      <c r="A742" s="2" t="s">
        <v>987</v>
      </c>
      <c r="B742" s="4">
        <v>45751</v>
      </c>
      <c r="C742" s="2" t="s">
        <v>93</v>
      </c>
      <c r="D742" s="2" t="str">
        <f>TEXT(Table1[[#This Row],[Order Date]],"mmmm")</f>
        <v>April</v>
      </c>
      <c r="E742" s="2" t="s">
        <v>37</v>
      </c>
      <c r="F742" s="2">
        <v>4</v>
      </c>
      <c r="G742" s="5">
        <v>0</v>
      </c>
      <c r="H742" s="2" t="s">
        <v>25</v>
      </c>
      <c r="I742" s="2" t="s">
        <v>38</v>
      </c>
      <c r="J742" s="2" t="s">
        <v>21</v>
      </c>
      <c r="K742">
        <f>VLOOKUP(E742,Products!$A$2:$E$23,5,0)</f>
        <v>1799</v>
      </c>
      <c r="L742">
        <f>VLOOKUP(E742,Products!$A$2:$E$23,4,0)</f>
        <v>900</v>
      </c>
      <c r="M742" s="2">
        <f>K742*F742-Table1[[#This Row],[discount_amount]]</f>
        <v>7196</v>
      </c>
      <c r="N742">
        <f t="shared" si="23"/>
        <v>3600</v>
      </c>
      <c r="O742">
        <f t="shared" si="22"/>
        <v>3596</v>
      </c>
      <c r="P742">
        <f>Table1[[#This Row],[Quantity]]*Table1[[#This Row],[unit_price]]*Table1[[#This Row],[Discount]]</f>
        <v>0</v>
      </c>
      <c r="Q742" t="str">
        <f>VLOOKUP(E742,Products!$A$2:$E$23,2,0)</f>
        <v>Denim Jeans</v>
      </c>
      <c r="R742" t="str">
        <f>VLOOKUP(Table1[[#This Row],[Product ID]],Products!$A$2:$E$23,3,0)</f>
        <v>Clothing</v>
      </c>
      <c r="S742" t="str">
        <f>VLOOKUP(C742,Customers!$A$2:$F$201,4,0)</f>
        <v>Gujarat</v>
      </c>
      <c r="T742" t="str">
        <f>VLOOKUP(Table1[[#This Row],[Customer ID]],Customers!$A$2:$F$201,5,0)</f>
        <v>West</v>
      </c>
      <c r="U742" t="str">
        <f>VLOOKUP(Table1[[#This Row],[Customer ID]],Customers!$A$2:$F$201,6,0)</f>
        <v>Consumer</v>
      </c>
      <c r="V742" t="str">
        <f>TEXT(Table1[[#This Row],[Order Date]],"MMM")</f>
        <v>Apr</v>
      </c>
      <c r="W742" t="str">
        <f>TEXT(Table1[[#This Row],[Order Date]],"yyyy")</f>
        <v>2025</v>
      </c>
    </row>
    <row r="743" spans="1:23" x14ac:dyDescent="0.25">
      <c r="A743" s="2" t="s">
        <v>988</v>
      </c>
      <c r="B743" s="4">
        <v>45751</v>
      </c>
      <c r="C743" s="2" t="s">
        <v>132</v>
      </c>
      <c r="D743" s="2" t="str">
        <f>TEXT(Table1[[#This Row],[Order Date]],"mmmm")</f>
        <v>April</v>
      </c>
      <c r="E743" s="2" t="s">
        <v>121</v>
      </c>
      <c r="F743" s="2">
        <v>2</v>
      </c>
      <c r="G743" s="5">
        <v>0</v>
      </c>
      <c r="H743" s="2" t="s">
        <v>25</v>
      </c>
      <c r="I743" s="2" t="s">
        <v>38</v>
      </c>
      <c r="J743" s="2" t="s">
        <v>21</v>
      </c>
      <c r="K743">
        <f>VLOOKUP(E743,Products!$A$2:$E$23,5,0)</f>
        <v>499</v>
      </c>
      <c r="L743">
        <f>VLOOKUP(E743,Products!$A$2:$E$23,4,0)</f>
        <v>250</v>
      </c>
      <c r="M743" s="2">
        <f>K743*F743-Table1[[#This Row],[discount_amount]]</f>
        <v>998</v>
      </c>
      <c r="N743">
        <f t="shared" si="23"/>
        <v>500</v>
      </c>
      <c r="O743">
        <f t="shared" si="22"/>
        <v>498</v>
      </c>
      <c r="P743">
        <f>Table1[[#This Row],[Quantity]]*Table1[[#This Row],[unit_price]]*Table1[[#This Row],[Discount]]</f>
        <v>0</v>
      </c>
      <c r="Q743" t="str">
        <f>VLOOKUP(E743,Products!$A$2:$E$23,2,0)</f>
        <v>Cotton T-Shirt</v>
      </c>
      <c r="R743" t="str">
        <f>VLOOKUP(Table1[[#This Row],[Product ID]],Products!$A$2:$E$23,3,0)</f>
        <v>Clothing</v>
      </c>
      <c r="S743" t="str">
        <f>VLOOKUP(C743,Customers!$A$2:$F$201,4,0)</f>
        <v>Madhya Pradesh</v>
      </c>
      <c r="T743" t="str">
        <f>VLOOKUP(Table1[[#This Row],[Customer ID]],Customers!$A$2:$F$201,5,0)</f>
        <v>Central</v>
      </c>
      <c r="U743" t="str">
        <f>VLOOKUP(Table1[[#This Row],[Customer ID]],Customers!$A$2:$F$201,6,0)</f>
        <v>Consumer</v>
      </c>
      <c r="V743" t="str">
        <f>TEXT(Table1[[#This Row],[Order Date]],"MMM")</f>
        <v>Apr</v>
      </c>
      <c r="W743" t="str">
        <f>TEXT(Table1[[#This Row],[Order Date]],"yyyy")</f>
        <v>2025</v>
      </c>
    </row>
    <row r="744" spans="1:23" x14ac:dyDescent="0.25">
      <c r="A744" s="2" t="s">
        <v>989</v>
      </c>
      <c r="B744" s="4">
        <v>45751</v>
      </c>
      <c r="C744" s="2" t="s">
        <v>368</v>
      </c>
      <c r="D744" s="2" t="str">
        <f>TEXT(Table1[[#This Row],[Order Date]],"mmmm")</f>
        <v>April</v>
      </c>
      <c r="E744" s="2" t="s">
        <v>57</v>
      </c>
      <c r="F744" s="2">
        <v>2</v>
      </c>
      <c r="G744" s="5">
        <v>0.1</v>
      </c>
      <c r="H744" s="2" t="s">
        <v>19</v>
      </c>
      <c r="I744" s="2" t="s">
        <v>26</v>
      </c>
      <c r="J744" s="2" t="s">
        <v>21</v>
      </c>
      <c r="K744">
        <f>VLOOKUP(E744,Products!$A$2:$E$23,5,0)</f>
        <v>1599</v>
      </c>
      <c r="L744">
        <f>VLOOKUP(E744,Products!$A$2:$E$23,4,0)</f>
        <v>800</v>
      </c>
      <c r="M744" s="2">
        <f>K744*F744-Table1[[#This Row],[discount_amount]]</f>
        <v>2878.2</v>
      </c>
      <c r="N744">
        <f t="shared" si="23"/>
        <v>1600</v>
      </c>
      <c r="O744">
        <f t="shared" si="22"/>
        <v>1278.1999999999998</v>
      </c>
      <c r="P744">
        <f>Table1[[#This Row],[Quantity]]*Table1[[#This Row],[unit_price]]*Table1[[#This Row],[Discount]]</f>
        <v>319.8</v>
      </c>
      <c r="Q744" t="str">
        <f>VLOOKUP(E744,Products!$A$2:$E$23,2,0)</f>
        <v>Hoodie</v>
      </c>
      <c r="R744" t="str">
        <f>VLOOKUP(Table1[[#This Row],[Product ID]],Products!$A$2:$E$23,3,0)</f>
        <v>Clothing</v>
      </c>
      <c r="S744" t="str">
        <f>VLOOKUP(C744,Customers!$A$2:$F$201,4,0)</f>
        <v>Telangana</v>
      </c>
      <c r="T744" t="str">
        <f>VLOOKUP(Table1[[#This Row],[Customer ID]],Customers!$A$2:$F$201,5,0)</f>
        <v>South</v>
      </c>
      <c r="U744" t="str">
        <f>VLOOKUP(Table1[[#This Row],[Customer ID]],Customers!$A$2:$F$201,6,0)</f>
        <v>Consumer</v>
      </c>
      <c r="V744" t="str">
        <f>TEXT(Table1[[#This Row],[Order Date]],"MMM")</f>
        <v>Apr</v>
      </c>
      <c r="W744" t="str">
        <f>TEXT(Table1[[#This Row],[Order Date]],"yyyy")</f>
        <v>2025</v>
      </c>
    </row>
    <row r="745" spans="1:23" x14ac:dyDescent="0.25">
      <c r="A745" s="2" t="s">
        <v>990</v>
      </c>
      <c r="B745" s="4">
        <v>45752</v>
      </c>
      <c r="C745" s="2" t="s">
        <v>212</v>
      </c>
      <c r="D745" s="2" t="str">
        <f>TEXT(Table1[[#This Row],[Order Date]],"mmmm")</f>
        <v>April</v>
      </c>
      <c r="E745" s="2" t="s">
        <v>18</v>
      </c>
      <c r="F745" s="2">
        <v>5</v>
      </c>
      <c r="G745" s="5">
        <v>0</v>
      </c>
      <c r="H745" s="2" t="s">
        <v>19</v>
      </c>
      <c r="I745" s="2" t="s">
        <v>20</v>
      </c>
      <c r="J745" s="2" t="s">
        <v>21</v>
      </c>
      <c r="K745">
        <f>VLOOKUP(E745,Products!$A$2:$E$23,5,0)</f>
        <v>4299</v>
      </c>
      <c r="L745">
        <f>VLOOKUP(E745,Products!$A$2:$E$23,4,0)</f>
        <v>2800</v>
      </c>
      <c r="M745" s="2">
        <f>K745*F745-Table1[[#This Row],[discount_amount]]</f>
        <v>21495</v>
      </c>
      <c r="N745">
        <f t="shared" si="23"/>
        <v>14000</v>
      </c>
      <c r="O745">
        <f t="shared" si="22"/>
        <v>7495</v>
      </c>
      <c r="P745">
        <f>Table1[[#This Row],[Quantity]]*Table1[[#This Row],[unit_price]]*Table1[[#This Row],[Discount]]</f>
        <v>0</v>
      </c>
      <c r="Q745" t="str">
        <f>VLOOKUP(E745,Products!$A$2:$E$23,2,0)</f>
        <v>Bookshelf</v>
      </c>
      <c r="R745" t="str">
        <f>VLOOKUP(Table1[[#This Row],[Product ID]],Products!$A$2:$E$23,3,0)</f>
        <v>Furniture</v>
      </c>
      <c r="S745" t="str">
        <f>VLOOKUP(C745,Customers!$A$2:$F$201,4,0)</f>
        <v>Rajasthan</v>
      </c>
      <c r="T745" t="str">
        <f>VLOOKUP(Table1[[#This Row],[Customer ID]],Customers!$A$2:$F$201,5,0)</f>
        <v>North</v>
      </c>
      <c r="U745" t="str">
        <f>VLOOKUP(Table1[[#This Row],[Customer ID]],Customers!$A$2:$F$201,6,0)</f>
        <v>Corporate</v>
      </c>
      <c r="V745" t="str">
        <f>TEXT(Table1[[#This Row],[Order Date]],"MMM")</f>
        <v>Apr</v>
      </c>
      <c r="W745" t="str">
        <f>TEXT(Table1[[#This Row],[Order Date]],"yyyy")</f>
        <v>2025</v>
      </c>
    </row>
    <row r="746" spans="1:23" x14ac:dyDescent="0.25">
      <c r="A746" s="2" t="s">
        <v>991</v>
      </c>
      <c r="B746" s="4">
        <v>45752</v>
      </c>
      <c r="C746" s="2" t="s">
        <v>212</v>
      </c>
      <c r="D746" s="2" t="str">
        <f>TEXT(Table1[[#This Row],[Order Date]],"mmmm")</f>
        <v>April</v>
      </c>
      <c r="E746" s="2" t="s">
        <v>111</v>
      </c>
      <c r="F746" s="2">
        <v>10</v>
      </c>
      <c r="G746" s="5">
        <v>0.1</v>
      </c>
      <c r="H746" s="2" t="s">
        <v>25</v>
      </c>
      <c r="I746" s="2" t="s">
        <v>31</v>
      </c>
      <c r="J746" s="2" t="s">
        <v>21</v>
      </c>
      <c r="K746">
        <f>VLOOKUP(E746,Products!$A$2:$E$23,5,0)</f>
        <v>240</v>
      </c>
      <c r="L746">
        <f>VLOOKUP(E746,Products!$A$2:$E$23,4,0)</f>
        <v>140</v>
      </c>
      <c r="M746" s="2">
        <f>K746*F746-Table1[[#This Row],[discount_amount]]</f>
        <v>2160</v>
      </c>
      <c r="N746">
        <f t="shared" si="23"/>
        <v>1400</v>
      </c>
      <c r="O746">
        <f t="shared" si="22"/>
        <v>760</v>
      </c>
      <c r="P746">
        <f>Table1[[#This Row],[Quantity]]*Table1[[#This Row],[unit_price]]*Table1[[#This Row],[Discount]]</f>
        <v>240</v>
      </c>
      <c r="Q746" t="str">
        <f>VLOOKUP(E746,Products!$A$2:$E$23,2,0)</f>
        <v>Whiteboard Marker Set</v>
      </c>
      <c r="R746" t="str">
        <f>VLOOKUP(Table1[[#This Row],[Product ID]],Products!$A$2:$E$23,3,0)</f>
        <v>Office Supplies</v>
      </c>
      <c r="S746" t="str">
        <f>VLOOKUP(C746,Customers!$A$2:$F$201,4,0)</f>
        <v>Rajasthan</v>
      </c>
      <c r="T746" t="str">
        <f>VLOOKUP(Table1[[#This Row],[Customer ID]],Customers!$A$2:$F$201,5,0)</f>
        <v>North</v>
      </c>
      <c r="U746" t="str">
        <f>VLOOKUP(Table1[[#This Row],[Customer ID]],Customers!$A$2:$F$201,6,0)</f>
        <v>Corporate</v>
      </c>
      <c r="V746" t="str">
        <f>TEXT(Table1[[#This Row],[Order Date]],"MMM")</f>
        <v>Apr</v>
      </c>
      <c r="W746" t="str">
        <f>TEXT(Table1[[#This Row],[Order Date]],"yyyy")</f>
        <v>2025</v>
      </c>
    </row>
    <row r="747" spans="1:23" x14ac:dyDescent="0.25">
      <c r="A747" s="2" t="s">
        <v>992</v>
      </c>
      <c r="B747" s="4">
        <v>45753</v>
      </c>
      <c r="C747" s="2" t="s">
        <v>719</v>
      </c>
      <c r="D747" s="2" t="str">
        <f>TEXT(Table1[[#This Row],[Order Date]],"mmmm")</f>
        <v>April</v>
      </c>
      <c r="E747" s="2" t="s">
        <v>34</v>
      </c>
      <c r="F747" s="2">
        <v>4</v>
      </c>
      <c r="G747" s="5">
        <v>0.1</v>
      </c>
      <c r="H747" s="2" t="s">
        <v>30</v>
      </c>
      <c r="I747" s="2" t="s">
        <v>46</v>
      </c>
      <c r="J747" s="2" t="s">
        <v>94</v>
      </c>
      <c r="K747">
        <f>VLOOKUP(E747,Products!$A$2:$E$23,5,0)</f>
        <v>4599</v>
      </c>
      <c r="L747">
        <f>VLOOKUP(E747,Products!$A$2:$E$23,4,0)</f>
        <v>3000</v>
      </c>
      <c r="M747" s="2">
        <f>K747*F747-Table1[[#This Row],[discount_amount]]</f>
        <v>16556.400000000001</v>
      </c>
      <c r="N747">
        <f t="shared" si="23"/>
        <v>12000</v>
      </c>
      <c r="O747">
        <f t="shared" si="22"/>
        <v>4556.4000000000015</v>
      </c>
      <c r="P747">
        <f>Table1[[#This Row],[Quantity]]*Table1[[#This Row],[unit_price]]*Table1[[#This Row],[Discount]]</f>
        <v>1839.6000000000001</v>
      </c>
      <c r="Q747" t="str">
        <f>VLOOKUP(E747,Products!$A$2:$E$23,2,0)</f>
        <v>Filing Cabinet</v>
      </c>
      <c r="R747" t="str">
        <f>VLOOKUP(Table1[[#This Row],[Product ID]],Products!$A$2:$E$23,3,0)</f>
        <v>Furniture</v>
      </c>
      <c r="S747" t="str">
        <f>VLOOKUP(C747,Customers!$A$2:$F$201,4,0)</f>
        <v>Gujarat</v>
      </c>
      <c r="T747" t="str">
        <f>VLOOKUP(Table1[[#This Row],[Customer ID]],Customers!$A$2:$F$201,5,0)</f>
        <v>West</v>
      </c>
      <c r="U747" t="str">
        <f>VLOOKUP(Table1[[#This Row],[Customer ID]],Customers!$A$2:$F$201,6,0)</f>
        <v>Corporate</v>
      </c>
      <c r="V747" t="str">
        <f>TEXT(Table1[[#This Row],[Order Date]],"MMM")</f>
        <v>Apr</v>
      </c>
      <c r="W747" t="str">
        <f>TEXT(Table1[[#This Row],[Order Date]],"yyyy")</f>
        <v>2025</v>
      </c>
    </row>
    <row r="748" spans="1:23" x14ac:dyDescent="0.25">
      <c r="A748" s="2" t="s">
        <v>993</v>
      </c>
      <c r="B748" s="4">
        <v>45753</v>
      </c>
      <c r="C748" s="2" t="s">
        <v>337</v>
      </c>
      <c r="D748" s="2" t="str">
        <f>TEXT(Table1[[#This Row],[Order Date]],"mmmm")</f>
        <v>April</v>
      </c>
      <c r="E748" s="2" t="s">
        <v>54</v>
      </c>
      <c r="F748" s="2">
        <v>1</v>
      </c>
      <c r="G748" s="5">
        <v>0</v>
      </c>
      <c r="H748" s="2" t="s">
        <v>30</v>
      </c>
      <c r="I748" s="2" t="s">
        <v>38</v>
      </c>
      <c r="J748" s="2" t="s">
        <v>21</v>
      </c>
      <c r="K748">
        <f>VLOOKUP(E748,Products!$A$2:$E$23,5,0)</f>
        <v>299</v>
      </c>
      <c r="L748">
        <f>VLOOKUP(E748,Products!$A$2:$E$23,4,0)</f>
        <v>180</v>
      </c>
      <c r="M748" s="2">
        <f>K748*F748-Table1[[#This Row],[discount_amount]]</f>
        <v>299</v>
      </c>
      <c r="N748">
        <f t="shared" si="23"/>
        <v>180</v>
      </c>
      <c r="O748">
        <f t="shared" si="22"/>
        <v>119</v>
      </c>
      <c r="P748">
        <f>Table1[[#This Row],[Quantity]]*Table1[[#This Row],[unit_price]]*Table1[[#This Row],[Discount]]</f>
        <v>0</v>
      </c>
      <c r="Q748" t="str">
        <f>VLOOKUP(E748,Products!$A$2:$E$23,2,0)</f>
        <v>Notebook Pack of 5</v>
      </c>
      <c r="R748" t="str">
        <f>VLOOKUP(Table1[[#This Row],[Product ID]],Products!$A$2:$E$23,3,0)</f>
        <v>Office Supplies</v>
      </c>
      <c r="S748" t="str">
        <f>VLOOKUP(C748,Customers!$A$2:$F$201,4,0)</f>
        <v>Madhya Pradesh</v>
      </c>
      <c r="T748" t="str">
        <f>VLOOKUP(Table1[[#This Row],[Customer ID]],Customers!$A$2:$F$201,5,0)</f>
        <v>Central</v>
      </c>
      <c r="U748" t="str">
        <f>VLOOKUP(Table1[[#This Row],[Customer ID]],Customers!$A$2:$F$201,6,0)</f>
        <v>Corporate</v>
      </c>
      <c r="V748" t="str">
        <f>TEXT(Table1[[#This Row],[Order Date]],"MMM")</f>
        <v>Apr</v>
      </c>
      <c r="W748" t="str">
        <f>TEXT(Table1[[#This Row],[Order Date]],"yyyy")</f>
        <v>2025</v>
      </c>
    </row>
    <row r="749" spans="1:23" x14ac:dyDescent="0.25">
      <c r="A749" s="2" t="s">
        <v>994</v>
      </c>
      <c r="B749" s="4">
        <v>45753</v>
      </c>
      <c r="C749" s="2" t="s">
        <v>329</v>
      </c>
      <c r="D749" s="2" t="str">
        <f>TEXT(Table1[[#This Row],[Order Date]],"mmmm")</f>
        <v>April</v>
      </c>
      <c r="E749" s="2" t="s">
        <v>82</v>
      </c>
      <c r="F749" s="2">
        <v>1</v>
      </c>
      <c r="G749" s="5">
        <v>0.1</v>
      </c>
      <c r="H749" s="2" t="s">
        <v>30</v>
      </c>
      <c r="I749" s="2" t="s">
        <v>31</v>
      </c>
      <c r="J749" s="2" t="s">
        <v>21</v>
      </c>
      <c r="K749">
        <f>VLOOKUP(E749,Products!$A$2:$E$23,5,0)</f>
        <v>1799</v>
      </c>
      <c r="L749">
        <f>VLOOKUP(E749,Products!$A$2:$E$23,4,0)</f>
        <v>1100</v>
      </c>
      <c r="M749" s="2">
        <f>K749*F749-Table1[[#This Row],[discount_amount]]</f>
        <v>1619.1</v>
      </c>
      <c r="N749">
        <f t="shared" si="23"/>
        <v>1100</v>
      </c>
      <c r="O749">
        <f t="shared" si="22"/>
        <v>519.09999999999991</v>
      </c>
      <c r="P749">
        <f>Table1[[#This Row],[Quantity]]*Table1[[#This Row],[unit_price]]*Table1[[#This Row],[Discount]]</f>
        <v>179.9</v>
      </c>
      <c r="Q749" t="str">
        <f>VLOOKUP(E749,Products!$A$2:$E$23,2,0)</f>
        <v>Webcam HD</v>
      </c>
      <c r="R749" t="str">
        <f>VLOOKUP(Table1[[#This Row],[Product ID]],Products!$A$2:$E$23,3,0)</f>
        <v>Electronics</v>
      </c>
      <c r="S749" t="str">
        <f>VLOOKUP(C749,Customers!$A$2:$F$201,4,0)</f>
        <v>Maharashtra</v>
      </c>
      <c r="T749" t="str">
        <f>VLOOKUP(Table1[[#This Row],[Customer ID]],Customers!$A$2:$F$201,5,0)</f>
        <v>West</v>
      </c>
      <c r="U749" t="str">
        <f>VLOOKUP(Table1[[#This Row],[Customer ID]],Customers!$A$2:$F$201,6,0)</f>
        <v>Consumer</v>
      </c>
      <c r="V749" t="str">
        <f>TEXT(Table1[[#This Row],[Order Date]],"MMM")</f>
        <v>Apr</v>
      </c>
      <c r="W749" t="str">
        <f>TEXT(Table1[[#This Row],[Order Date]],"yyyy")</f>
        <v>2025</v>
      </c>
    </row>
    <row r="750" spans="1:23" x14ac:dyDescent="0.25">
      <c r="A750" s="2" t="s">
        <v>995</v>
      </c>
      <c r="B750" s="4">
        <v>45753</v>
      </c>
      <c r="C750" s="2" t="s">
        <v>496</v>
      </c>
      <c r="D750" s="2" t="str">
        <f>TEXT(Table1[[#This Row],[Order Date]],"mmmm")</f>
        <v>April</v>
      </c>
      <c r="E750" s="2" t="s">
        <v>57</v>
      </c>
      <c r="F750" s="2">
        <v>3</v>
      </c>
      <c r="G750" s="5">
        <v>0.05</v>
      </c>
      <c r="H750" s="2" t="s">
        <v>30</v>
      </c>
      <c r="I750" s="2" t="s">
        <v>20</v>
      </c>
      <c r="J750" s="2" t="s">
        <v>21</v>
      </c>
      <c r="K750">
        <f>VLOOKUP(E750,Products!$A$2:$E$23,5,0)</f>
        <v>1599</v>
      </c>
      <c r="L750">
        <f>VLOOKUP(E750,Products!$A$2:$E$23,4,0)</f>
        <v>800</v>
      </c>
      <c r="M750" s="2">
        <f>K750*F750-Table1[[#This Row],[discount_amount]]</f>
        <v>4557.1499999999996</v>
      </c>
      <c r="N750">
        <f t="shared" si="23"/>
        <v>2400</v>
      </c>
      <c r="O750">
        <f t="shared" si="22"/>
        <v>2157.1499999999996</v>
      </c>
      <c r="P750">
        <f>Table1[[#This Row],[Quantity]]*Table1[[#This Row],[unit_price]]*Table1[[#This Row],[Discount]]</f>
        <v>239.85000000000002</v>
      </c>
      <c r="Q750" t="str">
        <f>VLOOKUP(E750,Products!$A$2:$E$23,2,0)</f>
        <v>Hoodie</v>
      </c>
      <c r="R750" t="str">
        <f>VLOOKUP(Table1[[#This Row],[Product ID]],Products!$A$2:$E$23,3,0)</f>
        <v>Clothing</v>
      </c>
      <c r="S750" t="str">
        <f>VLOOKUP(C750,Customers!$A$2:$F$201,4,0)</f>
        <v>Madhya Pradesh</v>
      </c>
      <c r="T750" t="str">
        <f>VLOOKUP(Table1[[#This Row],[Customer ID]],Customers!$A$2:$F$201,5,0)</f>
        <v>Central</v>
      </c>
      <c r="U750" t="str">
        <f>VLOOKUP(Table1[[#This Row],[Customer ID]],Customers!$A$2:$F$201,6,0)</f>
        <v>Consumer</v>
      </c>
      <c r="V750" t="str">
        <f>TEXT(Table1[[#This Row],[Order Date]],"MMM")</f>
        <v>Apr</v>
      </c>
      <c r="W750" t="str">
        <f>TEXT(Table1[[#This Row],[Order Date]],"yyyy")</f>
        <v>2025</v>
      </c>
    </row>
    <row r="751" spans="1:23" x14ac:dyDescent="0.25">
      <c r="A751" s="2" t="s">
        <v>996</v>
      </c>
      <c r="B751" s="4">
        <v>45754</v>
      </c>
      <c r="C751" s="2" t="s">
        <v>402</v>
      </c>
      <c r="D751" s="2" t="str">
        <f>TEXT(Table1[[#This Row],[Order Date]],"mmmm")</f>
        <v>April</v>
      </c>
      <c r="E751" s="2" t="s">
        <v>41</v>
      </c>
      <c r="F751" s="2">
        <v>6</v>
      </c>
      <c r="G751" s="5">
        <v>0.1</v>
      </c>
      <c r="H751" s="2" t="s">
        <v>30</v>
      </c>
      <c r="I751" s="2" t="s">
        <v>38</v>
      </c>
      <c r="J751" s="2" t="s">
        <v>21</v>
      </c>
      <c r="K751">
        <f>VLOOKUP(E751,Products!$A$2:$E$23,5,0)</f>
        <v>320</v>
      </c>
      <c r="L751">
        <f>VLOOKUP(E751,Products!$A$2:$E$23,4,0)</f>
        <v>220</v>
      </c>
      <c r="M751" s="2">
        <f>K751*F751-Table1[[#This Row],[discount_amount]]</f>
        <v>1728</v>
      </c>
      <c r="N751">
        <f t="shared" si="23"/>
        <v>1320</v>
      </c>
      <c r="O751">
        <f t="shared" si="22"/>
        <v>408</v>
      </c>
      <c r="P751">
        <f>Table1[[#This Row],[Quantity]]*Table1[[#This Row],[unit_price]]*Table1[[#This Row],[Discount]]</f>
        <v>192</v>
      </c>
      <c r="Q751" t="str">
        <f>VLOOKUP(E751,Products!$A$2:$E$23,2,0)</f>
        <v>A4 Paper Ream</v>
      </c>
      <c r="R751" t="str">
        <f>VLOOKUP(Table1[[#This Row],[Product ID]],Products!$A$2:$E$23,3,0)</f>
        <v>Office Supplies</v>
      </c>
      <c r="S751" t="str">
        <f>VLOOKUP(C751,Customers!$A$2:$F$201,4,0)</f>
        <v>Telangana</v>
      </c>
      <c r="T751" t="str">
        <f>VLOOKUP(Table1[[#This Row],[Customer ID]],Customers!$A$2:$F$201,5,0)</f>
        <v>South</v>
      </c>
      <c r="U751" t="str">
        <f>VLOOKUP(Table1[[#This Row],[Customer ID]],Customers!$A$2:$F$201,6,0)</f>
        <v>Home Office</v>
      </c>
      <c r="V751" t="str">
        <f>TEXT(Table1[[#This Row],[Order Date]],"MMM")</f>
        <v>Apr</v>
      </c>
      <c r="W751" t="str">
        <f>TEXT(Table1[[#This Row],[Order Date]],"yyyy")</f>
        <v>2025</v>
      </c>
    </row>
    <row r="752" spans="1:23" x14ac:dyDescent="0.25">
      <c r="A752" s="2" t="s">
        <v>997</v>
      </c>
      <c r="B752" s="4">
        <v>45754</v>
      </c>
      <c r="C752" s="2" t="s">
        <v>162</v>
      </c>
      <c r="D752" s="2" t="str">
        <f>TEXT(Table1[[#This Row],[Order Date]],"mmmm")</f>
        <v>April</v>
      </c>
      <c r="E752" s="2" t="s">
        <v>49</v>
      </c>
      <c r="F752" s="2">
        <v>10</v>
      </c>
      <c r="G752" s="5">
        <v>0.05</v>
      </c>
      <c r="H752" s="2" t="s">
        <v>19</v>
      </c>
      <c r="I752" s="2" t="s">
        <v>26</v>
      </c>
      <c r="J752" s="2" t="s">
        <v>21</v>
      </c>
      <c r="K752">
        <f>VLOOKUP(E752,Products!$A$2:$E$23,5,0)</f>
        <v>700</v>
      </c>
      <c r="L752">
        <f>VLOOKUP(E752,Products!$A$2:$E$23,4,0)</f>
        <v>450</v>
      </c>
      <c r="M752" s="2">
        <f>K752*F752-Table1[[#This Row],[discount_amount]]</f>
        <v>6650</v>
      </c>
      <c r="N752">
        <f t="shared" si="23"/>
        <v>4500</v>
      </c>
      <c r="O752">
        <f t="shared" si="22"/>
        <v>2150</v>
      </c>
      <c r="P752">
        <f>Table1[[#This Row],[Quantity]]*Table1[[#This Row],[unit_price]]*Table1[[#This Row],[Discount]]</f>
        <v>350</v>
      </c>
      <c r="Q752" t="str">
        <f>VLOOKUP(E752,Products!$A$2:$E$23,2,0)</f>
        <v>Wireless Mouse</v>
      </c>
      <c r="R752" t="str">
        <f>VLOOKUP(Table1[[#This Row],[Product ID]],Products!$A$2:$E$23,3,0)</f>
        <v>Electronics</v>
      </c>
      <c r="S752" t="str">
        <f>VLOOKUP(C752,Customers!$A$2:$F$201,4,0)</f>
        <v>Gujarat</v>
      </c>
      <c r="T752" t="str">
        <f>VLOOKUP(Table1[[#This Row],[Customer ID]],Customers!$A$2:$F$201,5,0)</f>
        <v>West</v>
      </c>
      <c r="U752" t="str">
        <f>VLOOKUP(Table1[[#This Row],[Customer ID]],Customers!$A$2:$F$201,6,0)</f>
        <v>Home Office</v>
      </c>
      <c r="V752" t="str">
        <f>TEXT(Table1[[#This Row],[Order Date]],"MMM")</f>
        <v>Apr</v>
      </c>
      <c r="W752" t="str">
        <f>TEXT(Table1[[#This Row],[Order Date]],"yyyy")</f>
        <v>2025</v>
      </c>
    </row>
    <row r="753" spans="1:23" x14ac:dyDescent="0.25">
      <c r="A753" s="2" t="s">
        <v>998</v>
      </c>
      <c r="B753" s="4">
        <v>45754</v>
      </c>
      <c r="C753" s="2" t="s">
        <v>415</v>
      </c>
      <c r="D753" s="2" t="str">
        <f>TEXT(Table1[[#This Row],[Order Date]],"mmmm")</f>
        <v>April</v>
      </c>
      <c r="E753" s="2" t="s">
        <v>111</v>
      </c>
      <c r="F753" s="2">
        <v>10</v>
      </c>
      <c r="G753" s="5">
        <v>0.1</v>
      </c>
      <c r="H753" s="2" t="s">
        <v>19</v>
      </c>
      <c r="I753" s="2" t="s">
        <v>31</v>
      </c>
      <c r="J753" s="2" t="s">
        <v>21</v>
      </c>
      <c r="K753">
        <f>VLOOKUP(E753,Products!$A$2:$E$23,5,0)</f>
        <v>240</v>
      </c>
      <c r="L753">
        <f>VLOOKUP(E753,Products!$A$2:$E$23,4,0)</f>
        <v>140</v>
      </c>
      <c r="M753" s="2">
        <f>K753*F753-Table1[[#This Row],[discount_amount]]</f>
        <v>2160</v>
      </c>
      <c r="N753">
        <f t="shared" si="23"/>
        <v>1400</v>
      </c>
      <c r="O753">
        <f t="shared" si="22"/>
        <v>760</v>
      </c>
      <c r="P753">
        <f>Table1[[#This Row],[Quantity]]*Table1[[#This Row],[unit_price]]*Table1[[#This Row],[Discount]]</f>
        <v>240</v>
      </c>
      <c r="Q753" t="str">
        <f>VLOOKUP(E753,Products!$A$2:$E$23,2,0)</f>
        <v>Whiteboard Marker Set</v>
      </c>
      <c r="R753" t="str">
        <f>VLOOKUP(Table1[[#This Row],[Product ID]],Products!$A$2:$E$23,3,0)</f>
        <v>Office Supplies</v>
      </c>
      <c r="S753" t="str">
        <f>VLOOKUP(C753,Customers!$A$2:$F$201,4,0)</f>
        <v>Tamil Nadu</v>
      </c>
      <c r="T753" t="str">
        <f>VLOOKUP(Table1[[#This Row],[Customer ID]],Customers!$A$2:$F$201,5,0)</f>
        <v>South</v>
      </c>
      <c r="U753" t="str">
        <f>VLOOKUP(Table1[[#This Row],[Customer ID]],Customers!$A$2:$F$201,6,0)</f>
        <v>Consumer</v>
      </c>
      <c r="V753" t="str">
        <f>TEXT(Table1[[#This Row],[Order Date]],"MMM")</f>
        <v>Apr</v>
      </c>
      <c r="W753" t="str">
        <f>TEXT(Table1[[#This Row],[Order Date]],"yyyy")</f>
        <v>2025</v>
      </c>
    </row>
    <row r="754" spans="1:23" x14ac:dyDescent="0.25">
      <c r="A754" s="2" t="s">
        <v>999</v>
      </c>
      <c r="B754" s="4">
        <v>45756</v>
      </c>
      <c r="C754" s="2" t="s">
        <v>110</v>
      </c>
      <c r="D754" s="2" t="str">
        <f>TEXT(Table1[[#This Row],[Order Date]],"mmmm")</f>
        <v>April</v>
      </c>
      <c r="E754" s="2" t="s">
        <v>66</v>
      </c>
      <c r="F754" s="2">
        <v>2</v>
      </c>
      <c r="G754" s="5">
        <v>0.1</v>
      </c>
      <c r="H754" s="2" t="s">
        <v>19</v>
      </c>
      <c r="I754" s="2" t="s">
        <v>26</v>
      </c>
      <c r="J754" s="2" t="s">
        <v>21</v>
      </c>
      <c r="K754">
        <f>VLOOKUP(E754,Products!$A$2:$E$23,5,0)</f>
        <v>1299</v>
      </c>
      <c r="L754">
        <f>VLOOKUP(E754,Products!$A$2:$E$23,4,0)</f>
        <v>800</v>
      </c>
      <c r="M754" s="2">
        <f>K754*F754-Table1[[#This Row],[discount_amount]]</f>
        <v>2338.1999999999998</v>
      </c>
      <c r="N754">
        <f t="shared" si="23"/>
        <v>1600</v>
      </c>
      <c r="O754">
        <f t="shared" si="22"/>
        <v>738.19999999999982</v>
      </c>
      <c r="P754">
        <f>Table1[[#This Row],[Quantity]]*Table1[[#This Row],[unit_price]]*Table1[[#This Row],[Discount]]</f>
        <v>259.8</v>
      </c>
      <c r="Q754" t="str">
        <f>VLOOKUP(E754,Products!$A$2:$E$23,2,0)</f>
        <v>Power Bank 10000mAh</v>
      </c>
      <c r="R754" t="str">
        <f>VLOOKUP(Table1[[#This Row],[Product ID]],Products!$A$2:$E$23,3,0)</f>
        <v>Electronics</v>
      </c>
      <c r="S754" t="str">
        <f>VLOOKUP(C754,Customers!$A$2:$F$201,4,0)</f>
        <v>Gujarat</v>
      </c>
      <c r="T754" t="str">
        <f>VLOOKUP(Table1[[#This Row],[Customer ID]],Customers!$A$2:$F$201,5,0)</f>
        <v>West</v>
      </c>
      <c r="U754" t="str">
        <f>VLOOKUP(Table1[[#This Row],[Customer ID]],Customers!$A$2:$F$201,6,0)</f>
        <v>Corporate</v>
      </c>
      <c r="V754" t="str">
        <f>TEXT(Table1[[#This Row],[Order Date]],"MMM")</f>
        <v>Apr</v>
      </c>
      <c r="W754" t="str">
        <f>TEXT(Table1[[#This Row],[Order Date]],"yyyy")</f>
        <v>2025</v>
      </c>
    </row>
    <row r="755" spans="1:23" x14ac:dyDescent="0.25">
      <c r="A755" s="2" t="s">
        <v>1000</v>
      </c>
      <c r="B755" s="4">
        <v>45756</v>
      </c>
      <c r="C755" s="2" t="s">
        <v>140</v>
      </c>
      <c r="D755" s="2" t="str">
        <f>TEXT(Table1[[#This Row],[Order Date]],"mmmm")</f>
        <v>April</v>
      </c>
      <c r="E755" s="2" t="s">
        <v>127</v>
      </c>
      <c r="F755" s="2">
        <v>4</v>
      </c>
      <c r="G755" s="5">
        <v>0</v>
      </c>
      <c r="H755" s="2" t="s">
        <v>25</v>
      </c>
      <c r="I755" s="2" t="s">
        <v>46</v>
      </c>
      <c r="J755" s="2" t="s">
        <v>94</v>
      </c>
      <c r="K755">
        <f>VLOOKUP(E755,Products!$A$2:$E$23,5,0)</f>
        <v>1999</v>
      </c>
      <c r="L755">
        <f>VLOOKUP(E755,Products!$A$2:$E$23,4,0)</f>
        <v>1200</v>
      </c>
      <c r="M755" s="2">
        <f>K755*F755-Table1[[#This Row],[discount_amount]]</f>
        <v>7996</v>
      </c>
      <c r="N755">
        <f t="shared" si="23"/>
        <v>4800</v>
      </c>
      <c r="O755">
        <f t="shared" si="22"/>
        <v>3196</v>
      </c>
      <c r="P755">
        <f>Table1[[#This Row],[Quantity]]*Table1[[#This Row],[unit_price]]*Table1[[#This Row],[Discount]]</f>
        <v>0</v>
      </c>
      <c r="Q755" t="str">
        <f>VLOOKUP(E755,Products!$A$2:$E$23,2,0)</f>
        <v>Bluetooth Speaker</v>
      </c>
      <c r="R755" t="str">
        <f>VLOOKUP(Table1[[#This Row],[Product ID]],Products!$A$2:$E$23,3,0)</f>
        <v>Electronics</v>
      </c>
      <c r="S755" t="str">
        <f>VLOOKUP(C755,Customers!$A$2:$F$201,4,0)</f>
        <v>Gujarat</v>
      </c>
      <c r="T755" t="str">
        <f>VLOOKUP(Table1[[#This Row],[Customer ID]],Customers!$A$2:$F$201,5,0)</f>
        <v>West</v>
      </c>
      <c r="U755" t="str">
        <f>VLOOKUP(Table1[[#This Row],[Customer ID]],Customers!$A$2:$F$201,6,0)</f>
        <v>Consumer</v>
      </c>
      <c r="V755" t="str">
        <f>TEXT(Table1[[#This Row],[Order Date]],"MMM")</f>
        <v>Apr</v>
      </c>
      <c r="W755" t="str">
        <f>TEXT(Table1[[#This Row],[Order Date]],"yyyy")</f>
        <v>2025</v>
      </c>
    </row>
    <row r="756" spans="1:23" x14ac:dyDescent="0.25">
      <c r="A756" s="2" t="s">
        <v>1001</v>
      </c>
      <c r="B756" s="4">
        <v>45756</v>
      </c>
      <c r="C756" s="2" t="s">
        <v>120</v>
      </c>
      <c r="D756" s="2" t="str">
        <f>TEXT(Table1[[#This Row],[Order Date]],"mmmm")</f>
        <v>April</v>
      </c>
      <c r="E756" s="2" t="s">
        <v>121</v>
      </c>
      <c r="F756" s="2">
        <v>2</v>
      </c>
      <c r="G756" s="5">
        <v>0.2</v>
      </c>
      <c r="H756" s="2" t="s">
        <v>25</v>
      </c>
      <c r="I756" s="2" t="s">
        <v>46</v>
      </c>
      <c r="J756" s="2" t="s">
        <v>21</v>
      </c>
      <c r="K756">
        <f>VLOOKUP(E756,Products!$A$2:$E$23,5,0)</f>
        <v>499</v>
      </c>
      <c r="L756">
        <f>VLOOKUP(E756,Products!$A$2:$E$23,4,0)</f>
        <v>250</v>
      </c>
      <c r="M756" s="2">
        <f>K756*F756-Table1[[#This Row],[discount_amount]]</f>
        <v>798.4</v>
      </c>
      <c r="N756">
        <f t="shared" si="23"/>
        <v>500</v>
      </c>
      <c r="O756">
        <f t="shared" si="22"/>
        <v>298.39999999999998</v>
      </c>
      <c r="P756">
        <f>Table1[[#This Row],[Quantity]]*Table1[[#This Row],[unit_price]]*Table1[[#This Row],[Discount]]</f>
        <v>199.60000000000002</v>
      </c>
      <c r="Q756" t="str">
        <f>VLOOKUP(E756,Products!$A$2:$E$23,2,0)</f>
        <v>Cotton T-Shirt</v>
      </c>
      <c r="R756" t="str">
        <f>VLOOKUP(Table1[[#This Row],[Product ID]],Products!$A$2:$E$23,3,0)</f>
        <v>Clothing</v>
      </c>
      <c r="S756" t="str">
        <f>VLOOKUP(C756,Customers!$A$2:$F$201,4,0)</f>
        <v>Madhya Pradesh</v>
      </c>
      <c r="T756" t="str">
        <f>VLOOKUP(Table1[[#This Row],[Customer ID]],Customers!$A$2:$F$201,5,0)</f>
        <v>Central</v>
      </c>
      <c r="U756" t="str">
        <f>VLOOKUP(Table1[[#This Row],[Customer ID]],Customers!$A$2:$F$201,6,0)</f>
        <v>Corporate</v>
      </c>
      <c r="V756" t="str">
        <f>TEXT(Table1[[#This Row],[Order Date]],"MMM")</f>
        <v>Apr</v>
      </c>
      <c r="W756" t="str">
        <f>TEXT(Table1[[#This Row],[Order Date]],"yyyy")</f>
        <v>2025</v>
      </c>
    </row>
    <row r="757" spans="1:23" x14ac:dyDescent="0.25">
      <c r="A757" s="2" t="s">
        <v>1002</v>
      </c>
      <c r="B757" s="4">
        <v>45756</v>
      </c>
      <c r="C757" s="2" t="s">
        <v>550</v>
      </c>
      <c r="D757" s="2" t="str">
        <f>TEXT(Table1[[#This Row],[Order Date]],"mmmm")</f>
        <v>April</v>
      </c>
      <c r="E757" s="2" t="s">
        <v>82</v>
      </c>
      <c r="F757" s="2">
        <v>1</v>
      </c>
      <c r="G757" s="5">
        <v>0</v>
      </c>
      <c r="H757" s="2" t="s">
        <v>30</v>
      </c>
      <c r="I757" s="2" t="s">
        <v>20</v>
      </c>
      <c r="J757" s="2" t="s">
        <v>21</v>
      </c>
      <c r="K757">
        <f>VLOOKUP(E757,Products!$A$2:$E$23,5,0)</f>
        <v>1799</v>
      </c>
      <c r="L757">
        <f>VLOOKUP(E757,Products!$A$2:$E$23,4,0)</f>
        <v>1100</v>
      </c>
      <c r="M757" s="2">
        <f>K757*F757-Table1[[#This Row],[discount_amount]]</f>
        <v>1799</v>
      </c>
      <c r="N757">
        <f t="shared" si="23"/>
        <v>1100</v>
      </c>
      <c r="O757">
        <f t="shared" si="22"/>
        <v>699</v>
      </c>
      <c r="P757">
        <f>Table1[[#This Row],[Quantity]]*Table1[[#This Row],[unit_price]]*Table1[[#This Row],[Discount]]</f>
        <v>0</v>
      </c>
      <c r="Q757" t="str">
        <f>VLOOKUP(E757,Products!$A$2:$E$23,2,0)</f>
        <v>Webcam HD</v>
      </c>
      <c r="R757" t="str">
        <f>VLOOKUP(Table1[[#This Row],[Product ID]],Products!$A$2:$E$23,3,0)</f>
        <v>Electronics</v>
      </c>
      <c r="S757" t="str">
        <f>VLOOKUP(C757,Customers!$A$2:$F$201,4,0)</f>
        <v>Madhya Pradesh</v>
      </c>
      <c r="T757" t="str">
        <f>VLOOKUP(Table1[[#This Row],[Customer ID]],Customers!$A$2:$F$201,5,0)</f>
        <v>Central</v>
      </c>
      <c r="U757" t="str">
        <f>VLOOKUP(Table1[[#This Row],[Customer ID]],Customers!$A$2:$F$201,6,0)</f>
        <v>Corporate</v>
      </c>
      <c r="V757" t="str">
        <f>TEXT(Table1[[#This Row],[Order Date]],"MMM")</f>
        <v>Apr</v>
      </c>
      <c r="W757" t="str">
        <f>TEXT(Table1[[#This Row],[Order Date]],"yyyy")</f>
        <v>2025</v>
      </c>
    </row>
    <row r="758" spans="1:23" x14ac:dyDescent="0.25">
      <c r="A758" s="2" t="s">
        <v>1003</v>
      </c>
      <c r="B758" s="4">
        <v>45756</v>
      </c>
      <c r="C758" s="2" t="s">
        <v>370</v>
      </c>
      <c r="D758" s="2" t="str">
        <f>TEXT(Table1[[#This Row],[Order Date]],"mmmm")</f>
        <v>April</v>
      </c>
      <c r="E758" s="2" t="s">
        <v>18</v>
      </c>
      <c r="F758" s="2">
        <v>2</v>
      </c>
      <c r="G758" s="5">
        <v>0</v>
      </c>
      <c r="H758" s="2" t="s">
        <v>25</v>
      </c>
      <c r="I758" s="2" t="s">
        <v>26</v>
      </c>
      <c r="J758" s="2" t="s">
        <v>21</v>
      </c>
      <c r="K758">
        <f>VLOOKUP(E758,Products!$A$2:$E$23,5,0)</f>
        <v>4299</v>
      </c>
      <c r="L758">
        <f>VLOOKUP(E758,Products!$A$2:$E$23,4,0)</f>
        <v>2800</v>
      </c>
      <c r="M758" s="2">
        <f>K758*F758-Table1[[#This Row],[discount_amount]]</f>
        <v>8598</v>
      </c>
      <c r="N758">
        <f t="shared" si="23"/>
        <v>5600</v>
      </c>
      <c r="O758">
        <f t="shared" si="22"/>
        <v>2998</v>
      </c>
      <c r="P758">
        <f>Table1[[#This Row],[Quantity]]*Table1[[#This Row],[unit_price]]*Table1[[#This Row],[Discount]]</f>
        <v>0</v>
      </c>
      <c r="Q758" t="str">
        <f>VLOOKUP(E758,Products!$A$2:$E$23,2,0)</f>
        <v>Bookshelf</v>
      </c>
      <c r="R758" t="str">
        <f>VLOOKUP(Table1[[#This Row],[Product ID]],Products!$A$2:$E$23,3,0)</f>
        <v>Furniture</v>
      </c>
      <c r="S758" t="str">
        <f>VLOOKUP(C758,Customers!$A$2:$F$201,4,0)</f>
        <v>Tamil Nadu</v>
      </c>
      <c r="T758" t="str">
        <f>VLOOKUP(Table1[[#This Row],[Customer ID]],Customers!$A$2:$F$201,5,0)</f>
        <v>South</v>
      </c>
      <c r="U758" t="str">
        <f>VLOOKUP(Table1[[#This Row],[Customer ID]],Customers!$A$2:$F$201,6,0)</f>
        <v>Consumer</v>
      </c>
      <c r="V758" t="str">
        <f>TEXT(Table1[[#This Row],[Order Date]],"MMM")</f>
        <v>Apr</v>
      </c>
      <c r="W758" t="str">
        <f>TEXT(Table1[[#This Row],[Order Date]],"yyyy")</f>
        <v>2025</v>
      </c>
    </row>
    <row r="759" spans="1:23" x14ac:dyDescent="0.25">
      <c r="A759" s="2" t="s">
        <v>1004</v>
      </c>
      <c r="B759" s="4">
        <v>45757</v>
      </c>
      <c r="C759" s="2" t="s">
        <v>140</v>
      </c>
      <c r="D759" s="2" t="str">
        <f>TEXT(Table1[[#This Row],[Order Date]],"mmmm")</f>
        <v>April</v>
      </c>
      <c r="E759" s="2" t="s">
        <v>41</v>
      </c>
      <c r="F759" s="2">
        <v>4</v>
      </c>
      <c r="G759" s="5">
        <v>0.05</v>
      </c>
      <c r="H759" s="2" t="s">
        <v>25</v>
      </c>
      <c r="I759" s="2" t="s">
        <v>26</v>
      </c>
      <c r="J759" s="2" t="s">
        <v>42</v>
      </c>
      <c r="K759">
        <f>VLOOKUP(E759,Products!$A$2:$E$23,5,0)</f>
        <v>320</v>
      </c>
      <c r="L759">
        <f>VLOOKUP(E759,Products!$A$2:$E$23,4,0)</f>
        <v>220</v>
      </c>
      <c r="M759" s="2">
        <f>K759*F759-Table1[[#This Row],[discount_amount]]</f>
        <v>1216</v>
      </c>
      <c r="N759">
        <f t="shared" si="23"/>
        <v>880</v>
      </c>
      <c r="O759">
        <f t="shared" si="22"/>
        <v>336</v>
      </c>
      <c r="P759">
        <f>Table1[[#This Row],[Quantity]]*Table1[[#This Row],[unit_price]]*Table1[[#This Row],[Discount]]</f>
        <v>64</v>
      </c>
      <c r="Q759" t="str">
        <f>VLOOKUP(E759,Products!$A$2:$E$23,2,0)</f>
        <v>A4 Paper Ream</v>
      </c>
      <c r="R759" t="str">
        <f>VLOOKUP(Table1[[#This Row],[Product ID]],Products!$A$2:$E$23,3,0)</f>
        <v>Office Supplies</v>
      </c>
      <c r="S759" t="str">
        <f>VLOOKUP(C759,Customers!$A$2:$F$201,4,0)</f>
        <v>Gujarat</v>
      </c>
      <c r="T759" t="str">
        <f>VLOOKUP(Table1[[#This Row],[Customer ID]],Customers!$A$2:$F$201,5,0)</f>
        <v>West</v>
      </c>
      <c r="U759" t="str">
        <f>VLOOKUP(Table1[[#This Row],[Customer ID]],Customers!$A$2:$F$201,6,0)</f>
        <v>Consumer</v>
      </c>
      <c r="V759" t="str">
        <f>TEXT(Table1[[#This Row],[Order Date]],"MMM")</f>
        <v>Apr</v>
      </c>
      <c r="W759" t="str">
        <f>TEXT(Table1[[#This Row],[Order Date]],"yyyy")</f>
        <v>2025</v>
      </c>
    </row>
    <row r="760" spans="1:23" x14ac:dyDescent="0.25">
      <c r="A760" s="2" t="s">
        <v>1005</v>
      </c>
      <c r="B760" s="4">
        <v>45757</v>
      </c>
      <c r="C760" s="2" t="s">
        <v>439</v>
      </c>
      <c r="D760" s="2" t="str">
        <f>TEXT(Table1[[#This Row],[Order Date]],"mmmm")</f>
        <v>April</v>
      </c>
      <c r="E760" s="2" t="s">
        <v>155</v>
      </c>
      <c r="F760" s="2">
        <v>5</v>
      </c>
      <c r="G760" s="5">
        <v>0.15</v>
      </c>
      <c r="H760" s="2" t="s">
        <v>19</v>
      </c>
      <c r="I760" s="2" t="s">
        <v>26</v>
      </c>
      <c r="J760" s="2" t="s">
        <v>21</v>
      </c>
      <c r="K760">
        <f>VLOOKUP(E760,Products!$A$2:$E$23,5,0)</f>
        <v>1599</v>
      </c>
      <c r="L760">
        <f>VLOOKUP(E760,Products!$A$2:$E$23,4,0)</f>
        <v>900</v>
      </c>
      <c r="M760" s="2">
        <f>K760*F760-Table1[[#This Row],[discount_amount]]</f>
        <v>6795.75</v>
      </c>
      <c r="N760">
        <f t="shared" si="23"/>
        <v>4500</v>
      </c>
      <c r="O760">
        <f t="shared" si="22"/>
        <v>2295.75</v>
      </c>
      <c r="P760">
        <f>Table1[[#This Row],[Quantity]]*Table1[[#This Row],[unit_price]]*Table1[[#This Row],[Discount]]</f>
        <v>1199.25</v>
      </c>
      <c r="Q760" t="str">
        <f>VLOOKUP(E760,Products!$A$2:$E$23,2,0)</f>
        <v>Headphones</v>
      </c>
      <c r="R760" t="str">
        <f>VLOOKUP(Table1[[#This Row],[Product ID]],Products!$A$2:$E$23,3,0)</f>
        <v>Electronics</v>
      </c>
      <c r="S760" t="str">
        <f>VLOOKUP(C760,Customers!$A$2:$F$201,4,0)</f>
        <v>Chandigarh</v>
      </c>
      <c r="T760" t="str">
        <f>VLOOKUP(Table1[[#This Row],[Customer ID]],Customers!$A$2:$F$201,5,0)</f>
        <v>North</v>
      </c>
      <c r="U760" t="str">
        <f>VLOOKUP(Table1[[#This Row],[Customer ID]],Customers!$A$2:$F$201,6,0)</f>
        <v>Corporate</v>
      </c>
      <c r="V760" t="str">
        <f>TEXT(Table1[[#This Row],[Order Date]],"MMM")</f>
        <v>Apr</v>
      </c>
      <c r="W760" t="str">
        <f>TEXT(Table1[[#This Row],[Order Date]],"yyyy")</f>
        <v>2025</v>
      </c>
    </row>
    <row r="761" spans="1:23" x14ac:dyDescent="0.25">
      <c r="A761" s="2" t="s">
        <v>1006</v>
      </c>
      <c r="B761" s="4">
        <v>45757</v>
      </c>
      <c r="C761" s="2" t="s">
        <v>605</v>
      </c>
      <c r="D761" s="2" t="str">
        <f>TEXT(Table1[[#This Row],[Order Date]],"mmmm")</f>
        <v>April</v>
      </c>
      <c r="E761" s="2" t="s">
        <v>66</v>
      </c>
      <c r="F761" s="2">
        <v>10</v>
      </c>
      <c r="G761" s="5">
        <v>0.2</v>
      </c>
      <c r="H761" s="2" t="s">
        <v>25</v>
      </c>
      <c r="I761" s="2" t="s">
        <v>26</v>
      </c>
      <c r="J761" s="2" t="s">
        <v>21</v>
      </c>
      <c r="K761">
        <f>VLOOKUP(E761,Products!$A$2:$E$23,5,0)</f>
        <v>1299</v>
      </c>
      <c r="L761">
        <f>VLOOKUP(E761,Products!$A$2:$E$23,4,0)</f>
        <v>800</v>
      </c>
      <c r="M761" s="2">
        <f>K761*F761-Table1[[#This Row],[discount_amount]]</f>
        <v>10392</v>
      </c>
      <c r="N761">
        <f t="shared" si="23"/>
        <v>8000</v>
      </c>
      <c r="O761">
        <f t="shared" si="22"/>
        <v>2392</v>
      </c>
      <c r="P761">
        <f>Table1[[#This Row],[Quantity]]*Table1[[#This Row],[unit_price]]*Table1[[#This Row],[Discount]]</f>
        <v>2598</v>
      </c>
      <c r="Q761" t="str">
        <f>VLOOKUP(E761,Products!$A$2:$E$23,2,0)</f>
        <v>Power Bank 10000mAh</v>
      </c>
      <c r="R761" t="str">
        <f>VLOOKUP(Table1[[#This Row],[Product ID]],Products!$A$2:$E$23,3,0)</f>
        <v>Electronics</v>
      </c>
      <c r="S761" t="str">
        <f>VLOOKUP(C761,Customers!$A$2:$F$201,4,0)</f>
        <v>Rajasthan</v>
      </c>
      <c r="T761" t="str">
        <f>VLOOKUP(Table1[[#This Row],[Customer ID]],Customers!$A$2:$F$201,5,0)</f>
        <v>North</v>
      </c>
      <c r="U761" t="str">
        <f>VLOOKUP(Table1[[#This Row],[Customer ID]],Customers!$A$2:$F$201,6,0)</f>
        <v>Consumer</v>
      </c>
      <c r="V761" t="str">
        <f>TEXT(Table1[[#This Row],[Order Date]],"MMM")</f>
        <v>Apr</v>
      </c>
      <c r="W761" t="str">
        <f>TEXT(Table1[[#This Row],[Order Date]],"yyyy")</f>
        <v>2025</v>
      </c>
    </row>
    <row r="762" spans="1:23" x14ac:dyDescent="0.25">
      <c r="A762" s="2" t="s">
        <v>1007</v>
      </c>
      <c r="B762" s="4">
        <v>45758</v>
      </c>
      <c r="C762" s="2" t="s">
        <v>820</v>
      </c>
      <c r="D762" s="2" t="str">
        <f>TEXT(Table1[[#This Row],[Order Date]],"mmmm")</f>
        <v>April</v>
      </c>
      <c r="E762" s="2" t="s">
        <v>111</v>
      </c>
      <c r="F762" s="2">
        <v>2</v>
      </c>
      <c r="G762" s="5">
        <v>0.1</v>
      </c>
      <c r="H762" s="2" t="s">
        <v>19</v>
      </c>
      <c r="I762" s="2" t="s">
        <v>26</v>
      </c>
      <c r="J762" s="2" t="s">
        <v>21</v>
      </c>
      <c r="K762">
        <f>VLOOKUP(E762,Products!$A$2:$E$23,5,0)</f>
        <v>240</v>
      </c>
      <c r="L762">
        <f>VLOOKUP(E762,Products!$A$2:$E$23,4,0)</f>
        <v>140</v>
      </c>
      <c r="M762" s="2">
        <f>K762*F762-Table1[[#This Row],[discount_amount]]</f>
        <v>432</v>
      </c>
      <c r="N762">
        <f t="shared" si="23"/>
        <v>280</v>
      </c>
      <c r="O762">
        <f t="shared" si="22"/>
        <v>152</v>
      </c>
      <c r="P762">
        <f>Table1[[#This Row],[Quantity]]*Table1[[#This Row],[unit_price]]*Table1[[#This Row],[Discount]]</f>
        <v>48</v>
      </c>
      <c r="Q762" t="str">
        <f>VLOOKUP(E762,Products!$A$2:$E$23,2,0)</f>
        <v>Whiteboard Marker Set</v>
      </c>
      <c r="R762" t="str">
        <f>VLOOKUP(Table1[[#This Row],[Product ID]],Products!$A$2:$E$23,3,0)</f>
        <v>Office Supplies</v>
      </c>
      <c r="S762" t="str">
        <f>VLOOKUP(C762,Customers!$A$2:$F$201,4,0)</f>
        <v>Maharashtra</v>
      </c>
      <c r="T762" t="str">
        <f>VLOOKUP(Table1[[#This Row],[Customer ID]],Customers!$A$2:$F$201,5,0)</f>
        <v>Central</v>
      </c>
      <c r="U762" t="str">
        <f>VLOOKUP(Table1[[#This Row],[Customer ID]],Customers!$A$2:$F$201,6,0)</f>
        <v>Corporate</v>
      </c>
      <c r="V762" t="str">
        <f>TEXT(Table1[[#This Row],[Order Date]],"MMM")</f>
        <v>Apr</v>
      </c>
      <c r="W762" t="str">
        <f>TEXT(Table1[[#This Row],[Order Date]],"yyyy")</f>
        <v>2025</v>
      </c>
    </row>
    <row r="763" spans="1:23" x14ac:dyDescent="0.25">
      <c r="A763" s="2" t="s">
        <v>1008</v>
      </c>
      <c r="B763" s="4">
        <v>45759</v>
      </c>
      <c r="C763" s="2" t="s">
        <v>453</v>
      </c>
      <c r="D763" s="2" t="str">
        <f>TEXT(Table1[[#This Row],[Order Date]],"mmmm")</f>
        <v>April</v>
      </c>
      <c r="E763" s="2" t="s">
        <v>155</v>
      </c>
      <c r="F763" s="2">
        <v>6</v>
      </c>
      <c r="G763" s="5">
        <v>0.15</v>
      </c>
      <c r="H763" s="2" t="s">
        <v>25</v>
      </c>
      <c r="I763" s="2" t="s">
        <v>38</v>
      </c>
      <c r="J763" s="2" t="s">
        <v>21</v>
      </c>
      <c r="K763">
        <f>VLOOKUP(E763,Products!$A$2:$E$23,5,0)</f>
        <v>1599</v>
      </c>
      <c r="L763">
        <f>VLOOKUP(E763,Products!$A$2:$E$23,4,0)</f>
        <v>900</v>
      </c>
      <c r="M763" s="2">
        <f>K763*F763-Table1[[#This Row],[discount_amount]]</f>
        <v>8154.9</v>
      </c>
      <c r="N763">
        <f t="shared" si="23"/>
        <v>5400</v>
      </c>
      <c r="O763">
        <f t="shared" si="22"/>
        <v>2754.8999999999996</v>
      </c>
      <c r="P763">
        <f>Table1[[#This Row],[Quantity]]*Table1[[#This Row],[unit_price]]*Table1[[#This Row],[Discount]]</f>
        <v>1439.1</v>
      </c>
      <c r="Q763" t="str">
        <f>VLOOKUP(E763,Products!$A$2:$E$23,2,0)</f>
        <v>Headphones</v>
      </c>
      <c r="R763" t="str">
        <f>VLOOKUP(Table1[[#This Row],[Product ID]],Products!$A$2:$E$23,3,0)</f>
        <v>Electronics</v>
      </c>
      <c r="S763" t="str">
        <f>VLOOKUP(C763,Customers!$A$2:$F$201,4,0)</f>
        <v>Chandigarh</v>
      </c>
      <c r="T763" t="str">
        <f>VLOOKUP(Table1[[#This Row],[Customer ID]],Customers!$A$2:$F$201,5,0)</f>
        <v>North</v>
      </c>
      <c r="U763" t="str">
        <f>VLOOKUP(Table1[[#This Row],[Customer ID]],Customers!$A$2:$F$201,6,0)</f>
        <v>Home Office</v>
      </c>
      <c r="V763" t="str">
        <f>TEXT(Table1[[#This Row],[Order Date]],"MMM")</f>
        <v>Apr</v>
      </c>
      <c r="W763" t="str">
        <f>TEXT(Table1[[#This Row],[Order Date]],"yyyy")</f>
        <v>2025</v>
      </c>
    </row>
    <row r="764" spans="1:23" x14ac:dyDescent="0.25">
      <c r="A764" s="2" t="s">
        <v>1009</v>
      </c>
      <c r="B764" s="4">
        <v>45759</v>
      </c>
      <c r="C764" s="2" t="s">
        <v>439</v>
      </c>
      <c r="D764" s="2" t="str">
        <f>TEXT(Table1[[#This Row],[Order Date]],"mmmm")</f>
        <v>April</v>
      </c>
      <c r="E764" s="2" t="s">
        <v>34</v>
      </c>
      <c r="F764" s="2">
        <v>5</v>
      </c>
      <c r="G764" s="5">
        <v>0.05</v>
      </c>
      <c r="H764" s="2" t="s">
        <v>19</v>
      </c>
      <c r="I764" s="2" t="s">
        <v>38</v>
      </c>
      <c r="J764" s="2" t="s">
        <v>21</v>
      </c>
      <c r="K764">
        <f>VLOOKUP(E764,Products!$A$2:$E$23,5,0)</f>
        <v>4599</v>
      </c>
      <c r="L764">
        <f>VLOOKUP(E764,Products!$A$2:$E$23,4,0)</f>
        <v>3000</v>
      </c>
      <c r="M764" s="2">
        <f>K764*F764-Table1[[#This Row],[discount_amount]]</f>
        <v>21845.25</v>
      </c>
      <c r="N764">
        <f t="shared" si="23"/>
        <v>15000</v>
      </c>
      <c r="O764">
        <f t="shared" si="22"/>
        <v>6845.25</v>
      </c>
      <c r="P764">
        <f>Table1[[#This Row],[Quantity]]*Table1[[#This Row],[unit_price]]*Table1[[#This Row],[Discount]]</f>
        <v>1149.75</v>
      </c>
      <c r="Q764" t="str">
        <f>VLOOKUP(E764,Products!$A$2:$E$23,2,0)</f>
        <v>Filing Cabinet</v>
      </c>
      <c r="R764" t="str">
        <f>VLOOKUP(Table1[[#This Row],[Product ID]],Products!$A$2:$E$23,3,0)</f>
        <v>Furniture</v>
      </c>
      <c r="S764" t="str">
        <f>VLOOKUP(C764,Customers!$A$2:$F$201,4,0)</f>
        <v>Chandigarh</v>
      </c>
      <c r="T764" t="str">
        <f>VLOOKUP(Table1[[#This Row],[Customer ID]],Customers!$A$2:$F$201,5,0)</f>
        <v>North</v>
      </c>
      <c r="U764" t="str">
        <f>VLOOKUP(Table1[[#This Row],[Customer ID]],Customers!$A$2:$F$201,6,0)</f>
        <v>Corporate</v>
      </c>
      <c r="V764" t="str">
        <f>TEXT(Table1[[#This Row],[Order Date]],"MMM")</f>
        <v>Apr</v>
      </c>
      <c r="W764" t="str">
        <f>TEXT(Table1[[#This Row],[Order Date]],"yyyy")</f>
        <v>2025</v>
      </c>
    </row>
    <row r="765" spans="1:23" x14ac:dyDescent="0.25">
      <c r="A765" s="2" t="s">
        <v>1010</v>
      </c>
      <c r="B765" s="4">
        <v>45759</v>
      </c>
      <c r="C765" s="2" t="s">
        <v>939</v>
      </c>
      <c r="D765" s="2" t="str">
        <f>TEXT(Table1[[#This Row],[Order Date]],"mmmm")</f>
        <v>April</v>
      </c>
      <c r="E765" s="2" t="s">
        <v>24</v>
      </c>
      <c r="F765" s="2">
        <v>2</v>
      </c>
      <c r="G765" s="5">
        <v>0.05</v>
      </c>
      <c r="H765" s="2" t="s">
        <v>19</v>
      </c>
      <c r="I765" s="2" t="s">
        <v>46</v>
      </c>
      <c r="J765" s="2" t="s">
        <v>21</v>
      </c>
      <c r="K765">
        <f>VLOOKUP(E765,Products!$A$2:$E$23,5,0)</f>
        <v>899</v>
      </c>
      <c r="L765">
        <f>VLOOKUP(E765,Products!$A$2:$E$23,4,0)</f>
        <v>500</v>
      </c>
      <c r="M765" s="2">
        <f>K765*F765-Table1[[#This Row],[discount_amount]]</f>
        <v>1708.1</v>
      </c>
      <c r="N765">
        <f t="shared" si="23"/>
        <v>1000</v>
      </c>
      <c r="O765">
        <f t="shared" si="22"/>
        <v>708.09999999999991</v>
      </c>
      <c r="P765">
        <f>Table1[[#This Row],[Quantity]]*Table1[[#This Row],[unit_price]]*Table1[[#This Row],[Discount]]</f>
        <v>89.9</v>
      </c>
      <c r="Q765" t="str">
        <f>VLOOKUP(E765,Products!$A$2:$E$23,2,0)</f>
        <v>Monitor Stand</v>
      </c>
      <c r="R765" t="str">
        <f>VLOOKUP(Table1[[#This Row],[Product ID]],Products!$A$2:$E$23,3,0)</f>
        <v>Furniture</v>
      </c>
      <c r="S765" t="str">
        <f>VLOOKUP(C765,Customers!$A$2:$F$201,4,0)</f>
        <v>Uttar Pradesh</v>
      </c>
      <c r="T765" t="str">
        <f>VLOOKUP(Table1[[#This Row],[Customer ID]],Customers!$A$2:$F$201,5,0)</f>
        <v>North</v>
      </c>
      <c r="U765" t="str">
        <f>VLOOKUP(Table1[[#This Row],[Customer ID]],Customers!$A$2:$F$201,6,0)</f>
        <v>Consumer</v>
      </c>
      <c r="V765" t="str">
        <f>TEXT(Table1[[#This Row],[Order Date]],"MMM")</f>
        <v>Apr</v>
      </c>
      <c r="W765" t="str">
        <f>TEXT(Table1[[#This Row],[Order Date]],"yyyy")</f>
        <v>2025</v>
      </c>
    </row>
    <row r="766" spans="1:23" x14ac:dyDescent="0.25">
      <c r="A766" s="2" t="s">
        <v>1011</v>
      </c>
      <c r="B766" s="4">
        <v>45760</v>
      </c>
      <c r="C766" s="2" t="s">
        <v>258</v>
      </c>
      <c r="D766" s="2" t="str">
        <f>TEXT(Table1[[#This Row],[Order Date]],"mmmm")</f>
        <v>April</v>
      </c>
      <c r="E766" s="2" t="s">
        <v>49</v>
      </c>
      <c r="F766" s="2">
        <v>10</v>
      </c>
      <c r="G766" s="5">
        <v>0.1</v>
      </c>
      <c r="H766" s="2" t="s">
        <v>30</v>
      </c>
      <c r="I766" s="2" t="s">
        <v>31</v>
      </c>
      <c r="J766" s="2" t="s">
        <v>21</v>
      </c>
      <c r="K766">
        <f>VLOOKUP(E766,Products!$A$2:$E$23,5,0)</f>
        <v>700</v>
      </c>
      <c r="L766">
        <f>VLOOKUP(E766,Products!$A$2:$E$23,4,0)</f>
        <v>450</v>
      </c>
      <c r="M766" s="2">
        <f>K766*F766-Table1[[#This Row],[discount_amount]]</f>
        <v>6300</v>
      </c>
      <c r="N766">
        <f t="shared" si="23"/>
        <v>4500</v>
      </c>
      <c r="O766">
        <f t="shared" si="22"/>
        <v>1800</v>
      </c>
      <c r="P766">
        <f>Table1[[#This Row],[Quantity]]*Table1[[#This Row],[unit_price]]*Table1[[#This Row],[Discount]]</f>
        <v>700</v>
      </c>
      <c r="Q766" t="str">
        <f>VLOOKUP(E766,Products!$A$2:$E$23,2,0)</f>
        <v>Wireless Mouse</v>
      </c>
      <c r="R766" t="str">
        <f>VLOOKUP(Table1[[#This Row],[Product ID]],Products!$A$2:$E$23,3,0)</f>
        <v>Electronics</v>
      </c>
      <c r="S766" t="str">
        <f>VLOOKUP(C766,Customers!$A$2:$F$201,4,0)</f>
        <v>Karnataka</v>
      </c>
      <c r="T766" t="str">
        <f>VLOOKUP(Table1[[#This Row],[Customer ID]],Customers!$A$2:$F$201,5,0)</f>
        <v>South</v>
      </c>
      <c r="U766" t="str">
        <f>VLOOKUP(Table1[[#This Row],[Customer ID]],Customers!$A$2:$F$201,6,0)</f>
        <v>Consumer</v>
      </c>
      <c r="V766" t="str">
        <f>TEXT(Table1[[#This Row],[Order Date]],"MMM")</f>
        <v>Apr</v>
      </c>
      <c r="W766" t="str">
        <f>TEXT(Table1[[#This Row],[Order Date]],"yyyy")</f>
        <v>2025</v>
      </c>
    </row>
    <row r="767" spans="1:23" x14ac:dyDescent="0.25">
      <c r="A767" s="2" t="s">
        <v>1012</v>
      </c>
      <c r="B767" s="4">
        <v>45760</v>
      </c>
      <c r="C767" s="2" t="s">
        <v>684</v>
      </c>
      <c r="D767" s="2" t="str">
        <f>TEXT(Table1[[#This Row],[Order Date]],"mmmm")</f>
        <v>April</v>
      </c>
      <c r="E767" s="2" t="s">
        <v>118</v>
      </c>
      <c r="F767" s="2">
        <v>6</v>
      </c>
      <c r="G767" s="5">
        <v>0</v>
      </c>
      <c r="H767" s="2" t="s">
        <v>30</v>
      </c>
      <c r="I767" s="2" t="s">
        <v>26</v>
      </c>
      <c r="J767" s="2" t="s">
        <v>21</v>
      </c>
      <c r="K767">
        <f>VLOOKUP(E767,Products!$A$2:$E$23,5,0)</f>
        <v>150</v>
      </c>
      <c r="L767">
        <f>VLOOKUP(E767,Products!$A$2:$E$23,4,0)</f>
        <v>90</v>
      </c>
      <c r="M767" s="2">
        <f>K767*F767-Table1[[#This Row],[discount_amount]]</f>
        <v>900</v>
      </c>
      <c r="N767">
        <f t="shared" si="23"/>
        <v>540</v>
      </c>
      <c r="O767">
        <f t="shared" si="22"/>
        <v>360</v>
      </c>
      <c r="P767">
        <f>Table1[[#This Row],[Quantity]]*Table1[[#This Row],[unit_price]]*Table1[[#This Row],[Discount]]</f>
        <v>0</v>
      </c>
      <c r="Q767" t="str">
        <f>VLOOKUP(E767,Products!$A$2:$E$23,2,0)</f>
        <v>Gel Pen Box</v>
      </c>
      <c r="R767" t="str">
        <f>VLOOKUP(Table1[[#This Row],[Product ID]],Products!$A$2:$E$23,3,0)</f>
        <v>Office Supplies</v>
      </c>
      <c r="S767" t="str">
        <f>VLOOKUP(C767,Customers!$A$2:$F$201,4,0)</f>
        <v>Gujarat</v>
      </c>
      <c r="T767" t="str">
        <f>VLOOKUP(Table1[[#This Row],[Customer ID]],Customers!$A$2:$F$201,5,0)</f>
        <v>West</v>
      </c>
      <c r="U767" t="str">
        <f>VLOOKUP(Table1[[#This Row],[Customer ID]],Customers!$A$2:$F$201,6,0)</f>
        <v>Home Office</v>
      </c>
      <c r="V767" t="str">
        <f>TEXT(Table1[[#This Row],[Order Date]],"MMM")</f>
        <v>Apr</v>
      </c>
      <c r="W767" t="str">
        <f>TEXT(Table1[[#This Row],[Order Date]],"yyyy")</f>
        <v>2025</v>
      </c>
    </row>
    <row r="768" spans="1:23" x14ac:dyDescent="0.25">
      <c r="A768" s="2" t="s">
        <v>1013</v>
      </c>
      <c r="B768" s="4">
        <v>45761</v>
      </c>
      <c r="C768" s="2" t="s">
        <v>140</v>
      </c>
      <c r="D768" s="2" t="str">
        <f>TEXT(Table1[[#This Row],[Order Date]],"mmmm")</f>
        <v>April</v>
      </c>
      <c r="E768" s="2" t="s">
        <v>118</v>
      </c>
      <c r="F768" s="2">
        <v>5</v>
      </c>
      <c r="G768" s="5">
        <v>0</v>
      </c>
      <c r="H768" s="2" t="s">
        <v>19</v>
      </c>
      <c r="I768" s="2" t="s">
        <v>26</v>
      </c>
      <c r="J768" s="2" t="s">
        <v>21</v>
      </c>
      <c r="K768">
        <f>VLOOKUP(E768,Products!$A$2:$E$23,5,0)</f>
        <v>150</v>
      </c>
      <c r="L768">
        <f>VLOOKUP(E768,Products!$A$2:$E$23,4,0)</f>
        <v>90</v>
      </c>
      <c r="M768" s="2">
        <f>K768*F768-Table1[[#This Row],[discount_amount]]</f>
        <v>750</v>
      </c>
      <c r="N768">
        <f t="shared" si="23"/>
        <v>450</v>
      </c>
      <c r="O768">
        <f t="shared" si="22"/>
        <v>300</v>
      </c>
      <c r="P768">
        <f>Table1[[#This Row],[Quantity]]*Table1[[#This Row],[unit_price]]*Table1[[#This Row],[Discount]]</f>
        <v>0</v>
      </c>
      <c r="Q768" t="str">
        <f>VLOOKUP(E768,Products!$A$2:$E$23,2,0)</f>
        <v>Gel Pen Box</v>
      </c>
      <c r="R768" t="str">
        <f>VLOOKUP(Table1[[#This Row],[Product ID]],Products!$A$2:$E$23,3,0)</f>
        <v>Office Supplies</v>
      </c>
      <c r="S768" t="str">
        <f>VLOOKUP(C768,Customers!$A$2:$F$201,4,0)</f>
        <v>Gujarat</v>
      </c>
      <c r="T768" t="str">
        <f>VLOOKUP(Table1[[#This Row],[Customer ID]],Customers!$A$2:$F$201,5,0)</f>
        <v>West</v>
      </c>
      <c r="U768" t="str">
        <f>VLOOKUP(Table1[[#This Row],[Customer ID]],Customers!$A$2:$F$201,6,0)</f>
        <v>Consumer</v>
      </c>
      <c r="V768" t="str">
        <f>TEXT(Table1[[#This Row],[Order Date]],"MMM")</f>
        <v>Apr</v>
      </c>
      <c r="W768" t="str">
        <f>TEXT(Table1[[#This Row],[Order Date]],"yyyy")</f>
        <v>2025</v>
      </c>
    </row>
    <row r="769" spans="1:23" x14ac:dyDescent="0.25">
      <c r="A769" s="2" t="s">
        <v>1014</v>
      </c>
      <c r="B769" s="4">
        <v>45762</v>
      </c>
      <c r="C769" s="2" t="s">
        <v>110</v>
      </c>
      <c r="D769" s="2" t="str">
        <f>TEXT(Table1[[#This Row],[Order Date]],"mmmm")</f>
        <v>April</v>
      </c>
      <c r="E769" s="2" t="s">
        <v>41</v>
      </c>
      <c r="F769" s="2">
        <v>6</v>
      </c>
      <c r="G769" s="5">
        <v>0.15</v>
      </c>
      <c r="H769" s="2" t="s">
        <v>25</v>
      </c>
      <c r="I769" s="2" t="s">
        <v>20</v>
      </c>
      <c r="J769" s="2" t="s">
        <v>21</v>
      </c>
      <c r="K769">
        <f>VLOOKUP(E769,Products!$A$2:$E$23,5,0)</f>
        <v>320</v>
      </c>
      <c r="L769">
        <f>VLOOKUP(E769,Products!$A$2:$E$23,4,0)</f>
        <v>220</v>
      </c>
      <c r="M769" s="2">
        <f>K769*F769-Table1[[#This Row],[discount_amount]]</f>
        <v>1632</v>
      </c>
      <c r="N769">
        <f t="shared" si="23"/>
        <v>1320</v>
      </c>
      <c r="O769">
        <f t="shared" si="22"/>
        <v>312</v>
      </c>
      <c r="P769">
        <f>Table1[[#This Row],[Quantity]]*Table1[[#This Row],[unit_price]]*Table1[[#This Row],[Discount]]</f>
        <v>288</v>
      </c>
      <c r="Q769" t="str">
        <f>VLOOKUP(E769,Products!$A$2:$E$23,2,0)</f>
        <v>A4 Paper Ream</v>
      </c>
      <c r="R769" t="str">
        <f>VLOOKUP(Table1[[#This Row],[Product ID]],Products!$A$2:$E$23,3,0)</f>
        <v>Office Supplies</v>
      </c>
      <c r="S769" t="str">
        <f>VLOOKUP(C769,Customers!$A$2:$F$201,4,0)</f>
        <v>Gujarat</v>
      </c>
      <c r="T769" t="str">
        <f>VLOOKUP(Table1[[#This Row],[Customer ID]],Customers!$A$2:$F$201,5,0)</f>
        <v>West</v>
      </c>
      <c r="U769" t="str">
        <f>VLOOKUP(Table1[[#This Row],[Customer ID]],Customers!$A$2:$F$201,6,0)</f>
        <v>Corporate</v>
      </c>
      <c r="V769" t="str">
        <f>TEXT(Table1[[#This Row],[Order Date]],"MMM")</f>
        <v>Apr</v>
      </c>
      <c r="W769" t="str">
        <f>TEXT(Table1[[#This Row],[Order Date]],"yyyy")</f>
        <v>2025</v>
      </c>
    </row>
    <row r="770" spans="1:23" x14ac:dyDescent="0.25">
      <c r="A770" s="2" t="s">
        <v>1015</v>
      </c>
      <c r="B770" s="4">
        <v>45762</v>
      </c>
      <c r="C770" s="2" t="s">
        <v>366</v>
      </c>
      <c r="D770" s="2" t="str">
        <f>TEXT(Table1[[#This Row],[Order Date]],"mmmm")</f>
        <v>April</v>
      </c>
      <c r="E770" s="2" t="s">
        <v>135</v>
      </c>
      <c r="F770" s="2">
        <v>3</v>
      </c>
      <c r="G770" s="5">
        <v>0</v>
      </c>
      <c r="H770" s="2" t="s">
        <v>19</v>
      </c>
      <c r="I770" s="2" t="s">
        <v>20</v>
      </c>
      <c r="J770" s="2" t="s">
        <v>21</v>
      </c>
      <c r="K770">
        <f>VLOOKUP(E770,Products!$A$2:$E$23,5,0)</f>
        <v>220</v>
      </c>
      <c r="L770">
        <f>VLOOKUP(E770,Products!$A$2:$E$23,4,0)</f>
        <v>120</v>
      </c>
      <c r="M770" s="2">
        <f>K770*F770-Table1[[#This Row],[discount_amount]]</f>
        <v>660</v>
      </c>
      <c r="N770">
        <f t="shared" si="23"/>
        <v>360</v>
      </c>
      <c r="O770">
        <f t="shared" ref="O770:O833" si="24">M770-N770</f>
        <v>300</v>
      </c>
      <c r="P770">
        <f>Table1[[#This Row],[Quantity]]*Table1[[#This Row],[unit_price]]*Table1[[#This Row],[Discount]]</f>
        <v>0</v>
      </c>
      <c r="Q770" t="str">
        <f>VLOOKUP(E770,Products!$A$2:$E$23,2,0)</f>
        <v>Stapler</v>
      </c>
      <c r="R770" t="str">
        <f>VLOOKUP(Table1[[#This Row],[Product ID]],Products!$A$2:$E$23,3,0)</f>
        <v>Office Supplies</v>
      </c>
      <c r="S770" t="str">
        <f>VLOOKUP(C770,Customers!$A$2:$F$201,4,0)</f>
        <v>Bihar</v>
      </c>
      <c r="T770" t="str">
        <f>VLOOKUP(Table1[[#This Row],[Customer ID]],Customers!$A$2:$F$201,5,0)</f>
        <v>East</v>
      </c>
      <c r="U770" t="str">
        <f>VLOOKUP(Table1[[#This Row],[Customer ID]],Customers!$A$2:$F$201,6,0)</f>
        <v>Home Office</v>
      </c>
      <c r="V770" t="str">
        <f>TEXT(Table1[[#This Row],[Order Date]],"MMM")</f>
        <v>Apr</v>
      </c>
      <c r="W770" t="str">
        <f>TEXT(Table1[[#This Row],[Order Date]],"yyyy")</f>
        <v>2025</v>
      </c>
    </row>
    <row r="771" spans="1:23" x14ac:dyDescent="0.25">
      <c r="A771" s="2" t="s">
        <v>1016</v>
      </c>
      <c r="B771" s="4">
        <v>45763</v>
      </c>
      <c r="C771" s="2" t="s">
        <v>428</v>
      </c>
      <c r="D771" s="2" t="str">
        <f>TEXT(Table1[[#This Row],[Order Date]],"mmmm")</f>
        <v>April</v>
      </c>
      <c r="E771" s="2" t="s">
        <v>66</v>
      </c>
      <c r="F771" s="2">
        <v>1</v>
      </c>
      <c r="G771" s="5">
        <v>0</v>
      </c>
      <c r="H771" s="2" t="s">
        <v>25</v>
      </c>
      <c r="I771" s="2" t="s">
        <v>26</v>
      </c>
      <c r="J771" s="2" t="s">
        <v>21</v>
      </c>
      <c r="K771">
        <f>VLOOKUP(E771,Products!$A$2:$E$23,5,0)</f>
        <v>1299</v>
      </c>
      <c r="L771">
        <f>VLOOKUP(E771,Products!$A$2:$E$23,4,0)</f>
        <v>800</v>
      </c>
      <c r="M771" s="2">
        <f>K771*F771-Table1[[#This Row],[discount_amount]]</f>
        <v>1299</v>
      </c>
      <c r="N771">
        <f t="shared" ref="N771:N834" si="25">F771*L771</f>
        <v>800</v>
      </c>
      <c r="O771">
        <f t="shared" si="24"/>
        <v>499</v>
      </c>
      <c r="P771">
        <f>Table1[[#This Row],[Quantity]]*Table1[[#This Row],[unit_price]]*Table1[[#This Row],[Discount]]</f>
        <v>0</v>
      </c>
      <c r="Q771" t="str">
        <f>VLOOKUP(E771,Products!$A$2:$E$23,2,0)</f>
        <v>Power Bank 10000mAh</v>
      </c>
      <c r="R771" t="str">
        <f>VLOOKUP(Table1[[#This Row],[Product ID]],Products!$A$2:$E$23,3,0)</f>
        <v>Electronics</v>
      </c>
      <c r="S771" t="str">
        <f>VLOOKUP(C771,Customers!$A$2:$F$201,4,0)</f>
        <v>Madhya Pradesh</v>
      </c>
      <c r="T771" t="str">
        <f>VLOOKUP(Table1[[#This Row],[Customer ID]],Customers!$A$2:$F$201,5,0)</f>
        <v>Central</v>
      </c>
      <c r="U771" t="str">
        <f>VLOOKUP(Table1[[#This Row],[Customer ID]],Customers!$A$2:$F$201,6,0)</f>
        <v>Consumer</v>
      </c>
      <c r="V771" t="str">
        <f>TEXT(Table1[[#This Row],[Order Date]],"MMM")</f>
        <v>Apr</v>
      </c>
      <c r="W771" t="str">
        <f>TEXT(Table1[[#This Row],[Order Date]],"yyyy")</f>
        <v>2025</v>
      </c>
    </row>
    <row r="772" spans="1:23" x14ac:dyDescent="0.25">
      <c r="A772" s="2" t="s">
        <v>1017</v>
      </c>
      <c r="B772" s="4">
        <v>45764</v>
      </c>
      <c r="C772" s="2" t="s">
        <v>415</v>
      </c>
      <c r="D772" s="2" t="str">
        <f>TEXT(Table1[[#This Row],[Order Date]],"mmmm")</f>
        <v>April</v>
      </c>
      <c r="E772" s="2" t="s">
        <v>29</v>
      </c>
      <c r="F772" s="2">
        <v>5</v>
      </c>
      <c r="G772" s="5">
        <v>0</v>
      </c>
      <c r="H772" s="2" t="s">
        <v>19</v>
      </c>
      <c r="I772" s="2" t="s">
        <v>20</v>
      </c>
      <c r="J772" s="2" t="s">
        <v>21</v>
      </c>
      <c r="K772">
        <f>VLOOKUP(E772,Products!$A$2:$E$23,5,0)</f>
        <v>599</v>
      </c>
      <c r="L772">
        <f>VLOOKUP(E772,Products!$A$2:$E$23,4,0)</f>
        <v>350</v>
      </c>
      <c r="M772" s="2">
        <f>K772*F772-Table1[[#This Row],[discount_amount]]</f>
        <v>2995</v>
      </c>
      <c r="N772">
        <f t="shared" si="25"/>
        <v>1750</v>
      </c>
      <c r="O772">
        <f t="shared" si="24"/>
        <v>1245</v>
      </c>
      <c r="P772">
        <f>Table1[[#This Row],[Quantity]]*Table1[[#This Row],[unit_price]]*Table1[[#This Row],[Discount]]</f>
        <v>0</v>
      </c>
      <c r="Q772" t="str">
        <f>VLOOKUP(E772,Products!$A$2:$E$23,2,0)</f>
        <v>USB Flash Drive 64GB</v>
      </c>
      <c r="R772" t="str">
        <f>VLOOKUP(Table1[[#This Row],[Product ID]],Products!$A$2:$E$23,3,0)</f>
        <v>Electronics</v>
      </c>
      <c r="S772" t="str">
        <f>VLOOKUP(C772,Customers!$A$2:$F$201,4,0)</f>
        <v>Tamil Nadu</v>
      </c>
      <c r="T772" t="str">
        <f>VLOOKUP(Table1[[#This Row],[Customer ID]],Customers!$A$2:$F$201,5,0)</f>
        <v>South</v>
      </c>
      <c r="U772" t="str">
        <f>VLOOKUP(Table1[[#This Row],[Customer ID]],Customers!$A$2:$F$201,6,0)</f>
        <v>Consumer</v>
      </c>
      <c r="V772" t="str">
        <f>TEXT(Table1[[#This Row],[Order Date]],"MMM")</f>
        <v>Apr</v>
      </c>
      <c r="W772" t="str">
        <f>TEXT(Table1[[#This Row],[Order Date]],"yyyy")</f>
        <v>2025</v>
      </c>
    </row>
    <row r="773" spans="1:23" x14ac:dyDescent="0.25">
      <c r="A773" s="2" t="s">
        <v>1018</v>
      </c>
      <c r="B773" s="4">
        <v>45764</v>
      </c>
      <c r="C773" s="2" t="s">
        <v>425</v>
      </c>
      <c r="D773" s="2" t="str">
        <f>TEXT(Table1[[#This Row],[Order Date]],"mmmm")</f>
        <v>April</v>
      </c>
      <c r="E773" s="2" t="s">
        <v>82</v>
      </c>
      <c r="F773" s="2">
        <v>6</v>
      </c>
      <c r="G773" s="5">
        <v>0.1</v>
      </c>
      <c r="H773" s="2" t="s">
        <v>30</v>
      </c>
      <c r="I773" s="2" t="s">
        <v>46</v>
      </c>
      <c r="J773" s="2" t="s">
        <v>21</v>
      </c>
      <c r="K773">
        <f>VLOOKUP(E773,Products!$A$2:$E$23,5,0)</f>
        <v>1799</v>
      </c>
      <c r="L773">
        <f>VLOOKUP(E773,Products!$A$2:$E$23,4,0)</f>
        <v>1100</v>
      </c>
      <c r="M773" s="2">
        <f>K773*F773-Table1[[#This Row],[discount_amount]]</f>
        <v>9714.6</v>
      </c>
      <c r="N773">
        <f t="shared" si="25"/>
        <v>6600</v>
      </c>
      <c r="O773">
        <f t="shared" si="24"/>
        <v>3114.6000000000004</v>
      </c>
      <c r="P773">
        <f>Table1[[#This Row],[Quantity]]*Table1[[#This Row],[unit_price]]*Table1[[#This Row],[Discount]]</f>
        <v>1079.4000000000001</v>
      </c>
      <c r="Q773" t="str">
        <f>VLOOKUP(E773,Products!$A$2:$E$23,2,0)</f>
        <v>Webcam HD</v>
      </c>
      <c r="R773" t="str">
        <f>VLOOKUP(Table1[[#This Row],[Product ID]],Products!$A$2:$E$23,3,0)</f>
        <v>Electronics</v>
      </c>
      <c r="S773" t="str">
        <f>VLOOKUP(C773,Customers!$A$2:$F$201,4,0)</f>
        <v>Chandigarh</v>
      </c>
      <c r="T773" t="str">
        <f>VLOOKUP(Table1[[#This Row],[Customer ID]],Customers!$A$2:$F$201,5,0)</f>
        <v>North</v>
      </c>
      <c r="U773" t="str">
        <f>VLOOKUP(Table1[[#This Row],[Customer ID]],Customers!$A$2:$F$201,6,0)</f>
        <v>Corporate</v>
      </c>
      <c r="V773" t="str">
        <f>TEXT(Table1[[#This Row],[Order Date]],"MMM")</f>
        <v>Apr</v>
      </c>
      <c r="W773" t="str">
        <f>TEXT(Table1[[#This Row],[Order Date]],"yyyy")</f>
        <v>2025</v>
      </c>
    </row>
    <row r="774" spans="1:23" x14ac:dyDescent="0.25">
      <c r="A774" s="2" t="s">
        <v>1019</v>
      </c>
      <c r="B774" s="4">
        <v>45764</v>
      </c>
      <c r="C774" s="2" t="s">
        <v>199</v>
      </c>
      <c r="D774" s="2" t="str">
        <f>TEXT(Table1[[#This Row],[Order Date]],"mmmm")</f>
        <v>April</v>
      </c>
      <c r="E774" s="2" t="s">
        <v>82</v>
      </c>
      <c r="F774" s="2">
        <v>3</v>
      </c>
      <c r="G774" s="5">
        <v>0.05</v>
      </c>
      <c r="H774" s="2" t="s">
        <v>19</v>
      </c>
      <c r="I774" s="2" t="s">
        <v>31</v>
      </c>
      <c r="J774" s="2" t="s">
        <v>21</v>
      </c>
      <c r="K774">
        <f>VLOOKUP(E774,Products!$A$2:$E$23,5,0)</f>
        <v>1799</v>
      </c>
      <c r="L774">
        <f>VLOOKUP(E774,Products!$A$2:$E$23,4,0)</f>
        <v>1100</v>
      </c>
      <c r="M774" s="2">
        <f>K774*F774-Table1[[#This Row],[discount_amount]]</f>
        <v>5127.1499999999996</v>
      </c>
      <c r="N774">
        <f t="shared" si="25"/>
        <v>3300</v>
      </c>
      <c r="O774">
        <f t="shared" si="24"/>
        <v>1827.1499999999996</v>
      </c>
      <c r="P774">
        <f>Table1[[#This Row],[Quantity]]*Table1[[#This Row],[unit_price]]*Table1[[#This Row],[Discount]]</f>
        <v>269.85000000000002</v>
      </c>
      <c r="Q774" t="str">
        <f>VLOOKUP(E774,Products!$A$2:$E$23,2,0)</f>
        <v>Webcam HD</v>
      </c>
      <c r="R774" t="str">
        <f>VLOOKUP(Table1[[#This Row],[Product ID]],Products!$A$2:$E$23,3,0)</f>
        <v>Electronics</v>
      </c>
      <c r="S774" t="str">
        <f>VLOOKUP(C774,Customers!$A$2:$F$201,4,0)</f>
        <v>Gujarat</v>
      </c>
      <c r="T774" t="str">
        <f>VLOOKUP(Table1[[#This Row],[Customer ID]],Customers!$A$2:$F$201,5,0)</f>
        <v>West</v>
      </c>
      <c r="U774" t="str">
        <f>VLOOKUP(Table1[[#This Row],[Customer ID]],Customers!$A$2:$F$201,6,0)</f>
        <v>Corporate</v>
      </c>
      <c r="V774" t="str">
        <f>TEXT(Table1[[#This Row],[Order Date]],"MMM")</f>
        <v>Apr</v>
      </c>
      <c r="W774" t="str">
        <f>TEXT(Table1[[#This Row],[Order Date]],"yyyy")</f>
        <v>2025</v>
      </c>
    </row>
    <row r="775" spans="1:23" x14ac:dyDescent="0.25">
      <c r="A775" s="2" t="s">
        <v>1020</v>
      </c>
      <c r="B775" s="4">
        <v>45764</v>
      </c>
      <c r="C775" s="2" t="s">
        <v>72</v>
      </c>
      <c r="D775" s="2" t="str">
        <f>TEXT(Table1[[#This Row],[Order Date]],"mmmm")</f>
        <v>April</v>
      </c>
      <c r="E775" s="2" t="s">
        <v>34</v>
      </c>
      <c r="F775" s="2">
        <v>10</v>
      </c>
      <c r="G775" s="5">
        <v>0.1</v>
      </c>
      <c r="H775" s="2" t="s">
        <v>30</v>
      </c>
      <c r="I775" s="2" t="s">
        <v>46</v>
      </c>
      <c r="J775" s="2" t="s">
        <v>21</v>
      </c>
      <c r="K775">
        <f>VLOOKUP(E775,Products!$A$2:$E$23,5,0)</f>
        <v>4599</v>
      </c>
      <c r="L775">
        <f>VLOOKUP(E775,Products!$A$2:$E$23,4,0)</f>
        <v>3000</v>
      </c>
      <c r="M775" s="2">
        <f>K775*F775-Table1[[#This Row],[discount_amount]]</f>
        <v>41391</v>
      </c>
      <c r="N775">
        <f t="shared" si="25"/>
        <v>30000</v>
      </c>
      <c r="O775">
        <f t="shared" si="24"/>
        <v>11391</v>
      </c>
      <c r="P775">
        <f>Table1[[#This Row],[Quantity]]*Table1[[#This Row],[unit_price]]*Table1[[#This Row],[Discount]]</f>
        <v>4599</v>
      </c>
      <c r="Q775" t="str">
        <f>VLOOKUP(E775,Products!$A$2:$E$23,2,0)</f>
        <v>Filing Cabinet</v>
      </c>
      <c r="R775" t="str">
        <f>VLOOKUP(Table1[[#This Row],[Product ID]],Products!$A$2:$E$23,3,0)</f>
        <v>Furniture</v>
      </c>
      <c r="S775" t="str">
        <f>VLOOKUP(C775,Customers!$A$2:$F$201,4,0)</f>
        <v>Maharashtra</v>
      </c>
      <c r="T775" t="str">
        <f>VLOOKUP(Table1[[#This Row],[Customer ID]],Customers!$A$2:$F$201,5,0)</f>
        <v>West</v>
      </c>
      <c r="U775" t="str">
        <f>VLOOKUP(Table1[[#This Row],[Customer ID]],Customers!$A$2:$F$201,6,0)</f>
        <v>Consumer</v>
      </c>
      <c r="V775" t="str">
        <f>TEXT(Table1[[#This Row],[Order Date]],"MMM")</f>
        <v>Apr</v>
      </c>
      <c r="W775" t="str">
        <f>TEXT(Table1[[#This Row],[Order Date]],"yyyy")</f>
        <v>2025</v>
      </c>
    </row>
    <row r="776" spans="1:23" x14ac:dyDescent="0.25">
      <c r="A776" s="2" t="s">
        <v>1021</v>
      </c>
      <c r="B776" s="4">
        <v>45765</v>
      </c>
      <c r="C776" s="2" t="s">
        <v>171</v>
      </c>
      <c r="D776" s="2" t="str">
        <f>TEXT(Table1[[#This Row],[Order Date]],"mmmm")</f>
        <v>April</v>
      </c>
      <c r="E776" s="2" t="s">
        <v>18</v>
      </c>
      <c r="F776" s="2">
        <v>6</v>
      </c>
      <c r="G776" s="5">
        <v>0</v>
      </c>
      <c r="H776" s="2" t="s">
        <v>19</v>
      </c>
      <c r="I776" s="2" t="s">
        <v>20</v>
      </c>
      <c r="J776" s="2" t="s">
        <v>21</v>
      </c>
      <c r="K776">
        <f>VLOOKUP(E776,Products!$A$2:$E$23,5,0)</f>
        <v>4299</v>
      </c>
      <c r="L776">
        <f>VLOOKUP(E776,Products!$A$2:$E$23,4,0)</f>
        <v>2800</v>
      </c>
      <c r="M776" s="2">
        <f>K776*F776-Table1[[#This Row],[discount_amount]]</f>
        <v>25794</v>
      </c>
      <c r="N776">
        <f t="shared" si="25"/>
        <v>16800</v>
      </c>
      <c r="O776">
        <f t="shared" si="24"/>
        <v>8994</v>
      </c>
      <c r="P776">
        <f>Table1[[#This Row],[Quantity]]*Table1[[#This Row],[unit_price]]*Table1[[#This Row],[Discount]]</f>
        <v>0</v>
      </c>
      <c r="Q776" t="str">
        <f>VLOOKUP(E776,Products!$A$2:$E$23,2,0)</f>
        <v>Bookshelf</v>
      </c>
      <c r="R776" t="str">
        <f>VLOOKUP(Table1[[#This Row],[Product ID]],Products!$A$2:$E$23,3,0)</f>
        <v>Furniture</v>
      </c>
      <c r="S776" t="str">
        <f>VLOOKUP(C776,Customers!$A$2:$F$201,4,0)</f>
        <v>Delhi</v>
      </c>
      <c r="T776" t="str">
        <f>VLOOKUP(Table1[[#This Row],[Customer ID]],Customers!$A$2:$F$201,5,0)</f>
        <v>North</v>
      </c>
      <c r="U776" t="str">
        <f>VLOOKUP(Table1[[#This Row],[Customer ID]],Customers!$A$2:$F$201,6,0)</f>
        <v>Consumer</v>
      </c>
      <c r="V776" t="str">
        <f>TEXT(Table1[[#This Row],[Order Date]],"MMM")</f>
        <v>Apr</v>
      </c>
      <c r="W776" t="str">
        <f>TEXT(Table1[[#This Row],[Order Date]],"yyyy")</f>
        <v>2025</v>
      </c>
    </row>
    <row r="777" spans="1:23" x14ac:dyDescent="0.25">
      <c r="A777" s="2" t="s">
        <v>1022</v>
      </c>
      <c r="B777" s="4">
        <v>45765</v>
      </c>
      <c r="C777" s="2" t="s">
        <v>269</v>
      </c>
      <c r="D777" s="2" t="str">
        <f>TEXT(Table1[[#This Row],[Order Date]],"mmmm")</f>
        <v>April</v>
      </c>
      <c r="E777" s="2" t="s">
        <v>82</v>
      </c>
      <c r="F777" s="2">
        <v>2</v>
      </c>
      <c r="G777" s="5">
        <v>0</v>
      </c>
      <c r="H777" s="2" t="s">
        <v>19</v>
      </c>
      <c r="I777" s="2" t="s">
        <v>38</v>
      </c>
      <c r="J777" s="2" t="s">
        <v>21</v>
      </c>
      <c r="K777">
        <f>VLOOKUP(E777,Products!$A$2:$E$23,5,0)</f>
        <v>1799</v>
      </c>
      <c r="L777">
        <f>VLOOKUP(E777,Products!$A$2:$E$23,4,0)</f>
        <v>1100</v>
      </c>
      <c r="M777" s="2">
        <f>K777*F777-Table1[[#This Row],[discount_amount]]</f>
        <v>3598</v>
      </c>
      <c r="N777">
        <f t="shared" si="25"/>
        <v>2200</v>
      </c>
      <c r="O777">
        <f t="shared" si="24"/>
        <v>1398</v>
      </c>
      <c r="P777">
        <f>Table1[[#This Row],[Quantity]]*Table1[[#This Row],[unit_price]]*Table1[[#This Row],[Discount]]</f>
        <v>0</v>
      </c>
      <c r="Q777" t="str">
        <f>VLOOKUP(E777,Products!$A$2:$E$23,2,0)</f>
        <v>Webcam HD</v>
      </c>
      <c r="R777" t="str">
        <f>VLOOKUP(Table1[[#This Row],[Product ID]],Products!$A$2:$E$23,3,0)</f>
        <v>Electronics</v>
      </c>
      <c r="S777" t="str">
        <f>VLOOKUP(C777,Customers!$A$2:$F$201,4,0)</f>
        <v>Delhi</v>
      </c>
      <c r="T777" t="str">
        <f>VLOOKUP(Table1[[#This Row],[Customer ID]],Customers!$A$2:$F$201,5,0)</f>
        <v>North</v>
      </c>
      <c r="U777" t="str">
        <f>VLOOKUP(Table1[[#This Row],[Customer ID]],Customers!$A$2:$F$201,6,0)</f>
        <v>Corporate</v>
      </c>
      <c r="V777" t="str">
        <f>TEXT(Table1[[#This Row],[Order Date]],"MMM")</f>
        <v>Apr</v>
      </c>
      <c r="W777" t="str">
        <f>TEXT(Table1[[#This Row],[Order Date]],"yyyy")</f>
        <v>2025</v>
      </c>
    </row>
    <row r="778" spans="1:23" x14ac:dyDescent="0.25">
      <c r="A778" s="2" t="s">
        <v>1023</v>
      </c>
      <c r="B778" s="4">
        <v>45767</v>
      </c>
      <c r="C778" s="2" t="s">
        <v>266</v>
      </c>
      <c r="D778" s="2" t="str">
        <f>TEXT(Table1[[#This Row],[Order Date]],"mmmm")</f>
        <v>April</v>
      </c>
      <c r="E778" s="2" t="s">
        <v>37</v>
      </c>
      <c r="F778" s="2">
        <v>4</v>
      </c>
      <c r="G778" s="5">
        <v>0.05</v>
      </c>
      <c r="H778" s="2" t="s">
        <v>19</v>
      </c>
      <c r="I778" s="2" t="s">
        <v>20</v>
      </c>
      <c r="J778" s="2" t="s">
        <v>21</v>
      </c>
      <c r="K778">
        <f>VLOOKUP(E778,Products!$A$2:$E$23,5,0)</f>
        <v>1799</v>
      </c>
      <c r="L778">
        <f>VLOOKUP(E778,Products!$A$2:$E$23,4,0)</f>
        <v>900</v>
      </c>
      <c r="M778" s="2">
        <f>K778*F778-Table1[[#This Row],[discount_amount]]</f>
        <v>6836.2</v>
      </c>
      <c r="N778">
        <f t="shared" si="25"/>
        <v>3600</v>
      </c>
      <c r="O778">
        <f t="shared" si="24"/>
        <v>3236.2</v>
      </c>
      <c r="P778">
        <f>Table1[[#This Row],[Quantity]]*Table1[[#This Row],[unit_price]]*Table1[[#This Row],[Discount]]</f>
        <v>359.8</v>
      </c>
      <c r="Q778" t="str">
        <f>VLOOKUP(E778,Products!$A$2:$E$23,2,0)</f>
        <v>Denim Jeans</v>
      </c>
      <c r="R778" t="str">
        <f>VLOOKUP(Table1[[#This Row],[Product ID]],Products!$A$2:$E$23,3,0)</f>
        <v>Clothing</v>
      </c>
      <c r="S778" t="str">
        <f>VLOOKUP(C778,Customers!$A$2:$F$201,4,0)</f>
        <v>Odisha</v>
      </c>
      <c r="T778" t="str">
        <f>VLOOKUP(Table1[[#This Row],[Customer ID]],Customers!$A$2:$F$201,5,0)</f>
        <v>East</v>
      </c>
      <c r="U778" t="str">
        <f>VLOOKUP(Table1[[#This Row],[Customer ID]],Customers!$A$2:$F$201,6,0)</f>
        <v>Consumer</v>
      </c>
      <c r="V778" t="str">
        <f>TEXT(Table1[[#This Row],[Order Date]],"MMM")</f>
        <v>Apr</v>
      </c>
      <c r="W778" t="str">
        <f>TEXT(Table1[[#This Row],[Order Date]],"yyyy")</f>
        <v>2025</v>
      </c>
    </row>
    <row r="779" spans="1:23" x14ac:dyDescent="0.25">
      <c r="A779" s="2" t="s">
        <v>1024</v>
      </c>
      <c r="B779" s="4">
        <v>45767</v>
      </c>
      <c r="C779" s="2" t="s">
        <v>525</v>
      </c>
      <c r="D779" s="2" t="str">
        <f>TEXT(Table1[[#This Row],[Order Date]],"mmmm")</f>
        <v>April</v>
      </c>
      <c r="E779" s="2" t="s">
        <v>155</v>
      </c>
      <c r="F779" s="2">
        <v>10</v>
      </c>
      <c r="G779" s="5">
        <v>0.1</v>
      </c>
      <c r="H779" s="2" t="s">
        <v>19</v>
      </c>
      <c r="I779" s="2" t="s">
        <v>46</v>
      </c>
      <c r="J779" s="2" t="s">
        <v>21</v>
      </c>
      <c r="K779">
        <f>VLOOKUP(E779,Products!$A$2:$E$23,5,0)</f>
        <v>1599</v>
      </c>
      <c r="L779">
        <f>VLOOKUP(E779,Products!$A$2:$E$23,4,0)</f>
        <v>900</v>
      </c>
      <c r="M779" s="2">
        <f>K779*F779-Table1[[#This Row],[discount_amount]]</f>
        <v>14391</v>
      </c>
      <c r="N779">
        <f t="shared" si="25"/>
        <v>9000</v>
      </c>
      <c r="O779">
        <f t="shared" si="24"/>
        <v>5391</v>
      </c>
      <c r="P779">
        <f>Table1[[#This Row],[Quantity]]*Table1[[#This Row],[unit_price]]*Table1[[#This Row],[Discount]]</f>
        <v>1599</v>
      </c>
      <c r="Q779" t="str">
        <f>VLOOKUP(E779,Products!$A$2:$E$23,2,0)</f>
        <v>Headphones</v>
      </c>
      <c r="R779" t="str">
        <f>VLOOKUP(Table1[[#This Row],[Product ID]],Products!$A$2:$E$23,3,0)</f>
        <v>Electronics</v>
      </c>
      <c r="S779" t="str">
        <f>VLOOKUP(C779,Customers!$A$2:$F$201,4,0)</f>
        <v>Maharashtra</v>
      </c>
      <c r="T779" t="str">
        <f>VLOOKUP(Table1[[#This Row],[Customer ID]],Customers!$A$2:$F$201,5,0)</f>
        <v>West</v>
      </c>
      <c r="U779" t="str">
        <f>VLOOKUP(Table1[[#This Row],[Customer ID]],Customers!$A$2:$F$201,6,0)</f>
        <v>Consumer</v>
      </c>
      <c r="V779" t="str">
        <f>TEXT(Table1[[#This Row],[Order Date]],"MMM")</f>
        <v>Apr</v>
      </c>
      <c r="W779" t="str">
        <f>TEXT(Table1[[#This Row],[Order Date]],"yyyy")</f>
        <v>2025</v>
      </c>
    </row>
    <row r="780" spans="1:23" x14ac:dyDescent="0.25">
      <c r="A780" s="2" t="s">
        <v>1025</v>
      </c>
      <c r="B780" s="4">
        <v>45767</v>
      </c>
      <c r="C780" s="2" t="s">
        <v>939</v>
      </c>
      <c r="D780" s="2" t="str">
        <f>TEXT(Table1[[#This Row],[Order Date]],"mmmm")</f>
        <v>April</v>
      </c>
      <c r="E780" s="2" t="s">
        <v>91</v>
      </c>
      <c r="F780" s="2">
        <v>2</v>
      </c>
      <c r="G780" s="5">
        <v>0</v>
      </c>
      <c r="H780" s="2" t="s">
        <v>30</v>
      </c>
      <c r="I780" s="2" t="s">
        <v>26</v>
      </c>
      <c r="J780" s="2" t="s">
        <v>79</v>
      </c>
      <c r="K780">
        <f>VLOOKUP(E780,Products!$A$2:$E$23,5,0)</f>
        <v>1199</v>
      </c>
      <c r="L780">
        <f>VLOOKUP(E780,Products!$A$2:$E$23,4,0)</f>
        <v>600</v>
      </c>
      <c r="M780" s="2">
        <f>K780*F780-Table1[[#This Row],[discount_amount]]</f>
        <v>2398</v>
      </c>
      <c r="N780">
        <f t="shared" si="25"/>
        <v>1200</v>
      </c>
      <c r="O780">
        <f t="shared" si="24"/>
        <v>1198</v>
      </c>
      <c r="P780">
        <f>Table1[[#This Row],[Quantity]]*Table1[[#This Row],[unit_price]]*Table1[[#This Row],[Discount]]</f>
        <v>0</v>
      </c>
      <c r="Q780" t="str">
        <f>VLOOKUP(E780,Products!$A$2:$E$23,2,0)</f>
        <v>Formal Shirt</v>
      </c>
      <c r="R780" t="str">
        <f>VLOOKUP(Table1[[#This Row],[Product ID]],Products!$A$2:$E$23,3,0)</f>
        <v>Clothing</v>
      </c>
      <c r="S780" t="str">
        <f>VLOOKUP(C780,Customers!$A$2:$F$201,4,0)</f>
        <v>Uttar Pradesh</v>
      </c>
      <c r="T780" t="str">
        <f>VLOOKUP(Table1[[#This Row],[Customer ID]],Customers!$A$2:$F$201,5,0)</f>
        <v>North</v>
      </c>
      <c r="U780" t="str">
        <f>VLOOKUP(Table1[[#This Row],[Customer ID]],Customers!$A$2:$F$201,6,0)</f>
        <v>Consumer</v>
      </c>
      <c r="V780" t="str">
        <f>TEXT(Table1[[#This Row],[Order Date]],"MMM")</f>
        <v>Apr</v>
      </c>
      <c r="W780" t="str">
        <f>TEXT(Table1[[#This Row],[Order Date]],"yyyy")</f>
        <v>2025</v>
      </c>
    </row>
    <row r="781" spans="1:23" x14ac:dyDescent="0.25">
      <c r="A781" s="2" t="s">
        <v>1026</v>
      </c>
      <c r="B781" s="4">
        <v>45768</v>
      </c>
      <c r="C781" s="2" t="s">
        <v>226</v>
      </c>
      <c r="D781" s="2" t="str">
        <f>TEXT(Table1[[#This Row],[Order Date]],"mmmm")</f>
        <v>April</v>
      </c>
      <c r="E781" s="2" t="s">
        <v>82</v>
      </c>
      <c r="F781" s="2">
        <v>3</v>
      </c>
      <c r="G781" s="5">
        <v>0</v>
      </c>
      <c r="H781" s="2" t="s">
        <v>19</v>
      </c>
      <c r="I781" s="2" t="s">
        <v>38</v>
      </c>
      <c r="J781" s="2" t="s">
        <v>21</v>
      </c>
      <c r="K781">
        <f>VLOOKUP(E781,Products!$A$2:$E$23,5,0)</f>
        <v>1799</v>
      </c>
      <c r="L781">
        <f>VLOOKUP(E781,Products!$A$2:$E$23,4,0)</f>
        <v>1100</v>
      </c>
      <c r="M781" s="2">
        <f>K781*F781-Table1[[#This Row],[discount_amount]]</f>
        <v>5397</v>
      </c>
      <c r="N781">
        <f t="shared" si="25"/>
        <v>3300</v>
      </c>
      <c r="O781">
        <f t="shared" si="24"/>
        <v>2097</v>
      </c>
      <c r="P781">
        <f>Table1[[#This Row],[Quantity]]*Table1[[#This Row],[unit_price]]*Table1[[#This Row],[Discount]]</f>
        <v>0</v>
      </c>
      <c r="Q781" t="str">
        <f>VLOOKUP(E781,Products!$A$2:$E$23,2,0)</f>
        <v>Webcam HD</v>
      </c>
      <c r="R781" t="str">
        <f>VLOOKUP(Table1[[#This Row],[Product ID]],Products!$A$2:$E$23,3,0)</f>
        <v>Electronics</v>
      </c>
      <c r="S781" t="str">
        <f>VLOOKUP(C781,Customers!$A$2:$F$201,4,0)</f>
        <v>Gujarat</v>
      </c>
      <c r="T781" t="str">
        <f>VLOOKUP(Table1[[#This Row],[Customer ID]],Customers!$A$2:$F$201,5,0)</f>
        <v>West</v>
      </c>
      <c r="U781" t="str">
        <f>VLOOKUP(Table1[[#This Row],[Customer ID]],Customers!$A$2:$F$201,6,0)</f>
        <v>Consumer</v>
      </c>
      <c r="V781" t="str">
        <f>TEXT(Table1[[#This Row],[Order Date]],"MMM")</f>
        <v>Apr</v>
      </c>
      <c r="W781" t="str">
        <f>TEXT(Table1[[#This Row],[Order Date]],"yyyy")</f>
        <v>2025</v>
      </c>
    </row>
    <row r="782" spans="1:23" x14ac:dyDescent="0.25">
      <c r="A782" s="2" t="s">
        <v>1027</v>
      </c>
      <c r="B782" s="4">
        <v>45771</v>
      </c>
      <c r="C782" s="2" t="s">
        <v>820</v>
      </c>
      <c r="D782" s="2" t="str">
        <f>TEXT(Table1[[#This Row],[Order Date]],"mmmm")</f>
        <v>April</v>
      </c>
      <c r="E782" s="2" t="s">
        <v>34</v>
      </c>
      <c r="F782" s="2">
        <v>10</v>
      </c>
      <c r="G782" s="5">
        <v>0.05</v>
      </c>
      <c r="H782" s="2" t="s">
        <v>30</v>
      </c>
      <c r="I782" s="2" t="s">
        <v>46</v>
      </c>
      <c r="J782" s="2" t="s">
        <v>21</v>
      </c>
      <c r="K782">
        <f>VLOOKUP(E782,Products!$A$2:$E$23,5,0)</f>
        <v>4599</v>
      </c>
      <c r="L782">
        <f>VLOOKUP(E782,Products!$A$2:$E$23,4,0)</f>
        <v>3000</v>
      </c>
      <c r="M782" s="2">
        <f>K782*F782-Table1[[#This Row],[discount_amount]]</f>
        <v>43690.5</v>
      </c>
      <c r="N782">
        <f t="shared" si="25"/>
        <v>30000</v>
      </c>
      <c r="O782">
        <f t="shared" si="24"/>
        <v>13690.5</v>
      </c>
      <c r="P782">
        <f>Table1[[#This Row],[Quantity]]*Table1[[#This Row],[unit_price]]*Table1[[#This Row],[Discount]]</f>
        <v>2299.5</v>
      </c>
      <c r="Q782" t="str">
        <f>VLOOKUP(E782,Products!$A$2:$E$23,2,0)</f>
        <v>Filing Cabinet</v>
      </c>
      <c r="R782" t="str">
        <f>VLOOKUP(Table1[[#This Row],[Product ID]],Products!$A$2:$E$23,3,0)</f>
        <v>Furniture</v>
      </c>
      <c r="S782" t="str">
        <f>VLOOKUP(C782,Customers!$A$2:$F$201,4,0)</f>
        <v>Maharashtra</v>
      </c>
      <c r="T782" t="str">
        <f>VLOOKUP(Table1[[#This Row],[Customer ID]],Customers!$A$2:$F$201,5,0)</f>
        <v>Central</v>
      </c>
      <c r="U782" t="str">
        <f>VLOOKUP(Table1[[#This Row],[Customer ID]],Customers!$A$2:$F$201,6,0)</f>
        <v>Corporate</v>
      </c>
      <c r="V782" t="str">
        <f>TEXT(Table1[[#This Row],[Order Date]],"MMM")</f>
        <v>Apr</v>
      </c>
      <c r="W782" t="str">
        <f>TEXT(Table1[[#This Row],[Order Date]],"yyyy")</f>
        <v>2025</v>
      </c>
    </row>
    <row r="783" spans="1:23" x14ac:dyDescent="0.25">
      <c r="A783" s="2" t="s">
        <v>1028</v>
      </c>
      <c r="B783" s="4">
        <v>45771</v>
      </c>
      <c r="C783" s="2" t="s">
        <v>214</v>
      </c>
      <c r="D783" s="2" t="str">
        <f>TEXT(Table1[[#This Row],[Order Date]],"mmmm")</f>
        <v>April</v>
      </c>
      <c r="E783" s="2" t="s">
        <v>155</v>
      </c>
      <c r="F783" s="2">
        <v>2</v>
      </c>
      <c r="G783" s="5">
        <v>0.05</v>
      </c>
      <c r="H783" s="2" t="s">
        <v>25</v>
      </c>
      <c r="I783" s="2" t="s">
        <v>26</v>
      </c>
      <c r="J783" s="2" t="s">
        <v>79</v>
      </c>
      <c r="K783">
        <f>VLOOKUP(E783,Products!$A$2:$E$23,5,0)</f>
        <v>1599</v>
      </c>
      <c r="L783">
        <f>VLOOKUP(E783,Products!$A$2:$E$23,4,0)</f>
        <v>900</v>
      </c>
      <c r="M783" s="2">
        <f>K783*F783-Table1[[#This Row],[discount_amount]]</f>
        <v>3038.1</v>
      </c>
      <c r="N783">
        <f t="shared" si="25"/>
        <v>1800</v>
      </c>
      <c r="O783">
        <f t="shared" si="24"/>
        <v>1238.0999999999999</v>
      </c>
      <c r="P783">
        <f>Table1[[#This Row],[Quantity]]*Table1[[#This Row],[unit_price]]*Table1[[#This Row],[Discount]]</f>
        <v>159.9</v>
      </c>
      <c r="Q783" t="str">
        <f>VLOOKUP(E783,Products!$A$2:$E$23,2,0)</f>
        <v>Headphones</v>
      </c>
      <c r="R783" t="str">
        <f>VLOOKUP(Table1[[#This Row],[Product ID]],Products!$A$2:$E$23,3,0)</f>
        <v>Electronics</v>
      </c>
      <c r="S783" t="str">
        <f>VLOOKUP(C783,Customers!$A$2:$F$201,4,0)</f>
        <v>Maharashtra</v>
      </c>
      <c r="T783" t="str">
        <f>VLOOKUP(Table1[[#This Row],[Customer ID]],Customers!$A$2:$F$201,5,0)</f>
        <v>Central</v>
      </c>
      <c r="U783" t="str">
        <f>VLOOKUP(Table1[[#This Row],[Customer ID]],Customers!$A$2:$F$201,6,0)</f>
        <v>Consumer</v>
      </c>
      <c r="V783" t="str">
        <f>TEXT(Table1[[#This Row],[Order Date]],"MMM")</f>
        <v>Apr</v>
      </c>
      <c r="W783" t="str">
        <f>TEXT(Table1[[#This Row],[Order Date]],"yyyy")</f>
        <v>2025</v>
      </c>
    </row>
    <row r="784" spans="1:23" x14ac:dyDescent="0.25">
      <c r="A784" s="2" t="s">
        <v>1029</v>
      </c>
      <c r="B784" s="4">
        <v>45772</v>
      </c>
      <c r="C784" s="2" t="s">
        <v>421</v>
      </c>
      <c r="D784" s="2" t="str">
        <f>TEXT(Table1[[#This Row],[Order Date]],"mmmm")</f>
        <v>April</v>
      </c>
      <c r="E784" s="2" t="s">
        <v>18</v>
      </c>
      <c r="F784" s="2">
        <v>4</v>
      </c>
      <c r="G784" s="5">
        <v>0</v>
      </c>
      <c r="H784" s="2" t="s">
        <v>30</v>
      </c>
      <c r="I784" s="2" t="s">
        <v>38</v>
      </c>
      <c r="J784" s="2" t="s">
        <v>21</v>
      </c>
      <c r="K784">
        <f>VLOOKUP(E784,Products!$A$2:$E$23,5,0)</f>
        <v>4299</v>
      </c>
      <c r="L784">
        <f>VLOOKUP(E784,Products!$A$2:$E$23,4,0)</f>
        <v>2800</v>
      </c>
      <c r="M784" s="2">
        <f>K784*F784-Table1[[#This Row],[discount_amount]]</f>
        <v>17196</v>
      </c>
      <c r="N784">
        <f t="shared" si="25"/>
        <v>11200</v>
      </c>
      <c r="O784">
        <f t="shared" si="24"/>
        <v>5996</v>
      </c>
      <c r="P784">
        <f>Table1[[#This Row],[Quantity]]*Table1[[#This Row],[unit_price]]*Table1[[#This Row],[Discount]]</f>
        <v>0</v>
      </c>
      <c r="Q784" t="str">
        <f>VLOOKUP(E784,Products!$A$2:$E$23,2,0)</f>
        <v>Bookshelf</v>
      </c>
      <c r="R784" t="str">
        <f>VLOOKUP(Table1[[#This Row],[Product ID]],Products!$A$2:$E$23,3,0)</f>
        <v>Furniture</v>
      </c>
      <c r="S784" t="str">
        <f>VLOOKUP(C784,Customers!$A$2:$F$201,4,0)</f>
        <v>Madhya Pradesh</v>
      </c>
      <c r="T784" t="str">
        <f>VLOOKUP(Table1[[#This Row],[Customer ID]],Customers!$A$2:$F$201,5,0)</f>
        <v>Central</v>
      </c>
      <c r="U784" t="str">
        <f>VLOOKUP(Table1[[#This Row],[Customer ID]],Customers!$A$2:$F$201,6,0)</f>
        <v>Consumer</v>
      </c>
      <c r="V784" t="str">
        <f>TEXT(Table1[[#This Row],[Order Date]],"MMM")</f>
        <v>Apr</v>
      </c>
      <c r="W784" t="str">
        <f>TEXT(Table1[[#This Row],[Order Date]],"yyyy")</f>
        <v>2025</v>
      </c>
    </row>
    <row r="785" spans="1:23" x14ac:dyDescent="0.25">
      <c r="A785" s="2" t="s">
        <v>1030</v>
      </c>
      <c r="B785" s="4">
        <v>45772</v>
      </c>
      <c r="C785" s="2" t="s">
        <v>86</v>
      </c>
      <c r="D785" s="2" t="str">
        <f>TEXT(Table1[[#This Row],[Order Date]],"mmmm")</f>
        <v>April</v>
      </c>
      <c r="E785" s="2" t="s">
        <v>66</v>
      </c>
      <c r="F785" s="2">
        <v>3</v>
      </c>
      <c r="G785" s="5">
        <v>0</v>
      </c>
      <c r="H785" s="2" t="s">
        <v>19</v>
      </c>
      <c r="I785" s="2" t="s">
        <v>46</v>
      </c>
      <c r="J785" s="2" t="s">
        <v>21</v>
      </c>
      <c r="K785">
        <f>VLOOKUP(E785,Products!$A$2:$E$23,5,0)</f>
        <v>1299</v>
      </c>
      <c r="L785">
        <f>VLOOKUP(E785,Products!$A$2:$E$23,4,0)</f>
        <v>800</v>
      </c>
      <c r="M785" s="2">
        <f>K785*F785-Table1[[#This Row],[discount_amount]]</f>
        <v>3897</v>
      </c>
      <c r="N785">
        <f t="shared" si="25"/>
        <v>2400</v>
      </c>
      <c r="O785">
        <f t="shared" si="24"/>
        <v>1497</v>
      </c>
      <c r="P785">
        <f>Table1[[#This Row],[Quantity]]*Table1[[#This Row],[unit_price]]*Table1[[#This Row],[Discount]]</f>
        <v>0</v>
      </c>
      <c r="Q785" t="str">
        <f>VLOOKUP(E785,Products!$A$2:$E$23,2,0)</f>
        <v>Power Bank 10000mAh</v>
      </c>
      <c r="R785" t="str">
        <f>VLOOKUP(Table1[[#This Row],[Product ID]],Products!$A$2:$E$23,3,0)</f>
        <v>Electronics</v>
      </c>
      <c r="S785" t="str">
        <f>VLOOKUP(C785,Customers!$A$2:$F$201,4,0)</f>
        <v>Delhi</v>
      </c>
      <c r="T785" t="str">
        <f>VLOOKUP(Table1[[#This Row],[Customer ID]],Customers!$A$2:$F$201,5,0)</f>
        <v>North</v>
      </c>
      <c r="U785" t="str">
        <f>VLOOKUP(Table1[[#This Row],[Customer ID]],Customers!$A$2:$F$201,6,0)</f>
        <v>Consumer</v>
      </c>
      <c r="V785" t="str">
        <f>TEXT(Table1[[#This Row],[Order Date]],"MMM")</f>
        <v>Apr</v>
      </c>
      <c r="W785" t="str">
        <f>TEXT(Table1[[#This Row],[Order Date]],"yyyy")</f>
        <v>2025</v>
      </c>
    </row>
    <row r="786" spans="1:23" x14ac:dyDescent="0.25">
      <c r="A786" s="2" t="s">
        <v>1031</v>
      </c>
      <c r="B786" s="4">
        <v>45772</v>
      </c>
      <c r="C786" s="2" t="s">
        <v>113</v>
      </c>
      <c r="D786" s="2" t="str">
        <f>TEXT(Table1[[#This Row],[Order Date]],"mmmm")</f>
        <v>April</v>
      </c>
      <c r="E786" s="2" t="s">
        <v>155</v>
      </c>
      <c r="F786" s="2">
        <v>2</v>
      </c>
      <c r="G786" s="5">
        <v>0.05</v>
      </c>
      <c r="H786" s="2" t="s">
        <v>25</v>
      </c>
      <c r="I786" s="2" t="s">
        <v>31</v>
      </c>
      <c r="J786" s="2" t="s">
        <v>21</v>
      </c>
      <c r="K786">
        <f>VLOOKUP(E786,Products!$A$2:$E$23,5,0)</f>
        <v>1599</v>
      </c>
      <c r="L786">
        <f>VLOOKUP(E786,Products!$A$2:$E$23,4,0)</f>
        <v>900</v>
      </c>
      <c r="M786" s="2">
        <f>K786*F786-Table1[[#This Row],[discount_amount]]</f>
        <v>3038.1</v>
      </c>
      <c r="N786">
        <f t="shared" si="25"/>
        <v>1800</v>
      </c>
      <c r="O786">
        <f t="shared" si="24"/>
        <v>1238.0999999999999</v>
      </c>
      <c r="P786">
        <f>Table1[[#This Row],[Quantity]]*Table1[[#This Row],[unit_price]]*Table1[[#This Row],[Discount]]</f>
        <v>159.9</v>
      </c>
      <c r="Q786" t="str">
        <f>VLOOKUP(E786,Products!$A$2:$E$23,2,0)</f>
        <v>Headphones</v>
      </c>
      <c r="R786" t="str">
        <f>VLOOKUP(Table1[[#This Row],[Product ID]],Products!$A$2:$E$23,3,0)</f>
        <v>Electronics</v>
      </c>
      <c r="S786" t="str">
        <f>VLOOKUP(C786,Customers!$A$2:$F$201,4,0)</f>
        <v>Gujarat</v>
      </c>
      <c r="T786" t="str">
        <f>VLOOKUP(Table1[[#This Row],[Customer ID]],Customers!$A$2:$F$201,5,0)</f>
        <v>West</v>
      </c>
      <c r="U786" t="str">
        <f>VLOOKUP(Table1[[#This Row],[Customer ID]],Customers!$A$2:$F$201,6,0)</f>
        <v>Consumer</v>
      </c>
      <c r="V786" t="str">
        <f>TEXT(Table1[[#This Row],[Order Date]],"MMM")</f>
        <v>Apr</v>
      </c>
      <c r="W786" t="str">
        <f>TEXT(Table1[[#This Row],[Order Date]],"yyyy")</f>
        <v>2025</v>
      </c>
    </row>
    <row r="787" spans="1:23" x14ac:dyDescent="0.25">
      <c r="A787" s="2" t="s">
        <v>1032</v>
      </c>
      <c r="B787" s="4">
        <v>45772</v>
      </c>
      <c r="C787" s="2" t="s">
        <v>533</v>
      </c>
      <c r="D787" s="2" t="str">
        <f>TEXT(Table1[[#This Row],[Order Date]],"mmmm")</f>
        <v>April</v>
      </c>
      <c r="E787" s="2" t="s">
        <v>60</v>
      </c>
      <c r="F787" s="2">
        <v>10</v>
      </c>
      <c r="G787" s="5">
        <v>0.1</v>
      </c>
      <c r="H787" s="2" t="s">
        <v>19</v>
      </c>
      <c r="I787" s="2" t="s">
        <v>20</v>
      </c>
      <c r="J787" s="2" t="s">
        <v>21</v>
      </c>
      <c r="K787">
        <f>VLOOKUP(E787,Products!$A$2:$E$23,5,0)</f>
        <v>449</v>
      </c>
      <c r="L787">
        <f>VLOOKUP(E787,Products!$A$2:$E$23,4,0)</f>
        <v>260</v>
      </c>
      <c r="M787" s="2">
        <f>K787*F787-Table1[[#This Row],[discount_amount]]</f>
        <v>4041</v>
      </c>
      <c r="N787">
        <f t="shared" si="25"/>
        <v>2600</v>
      </c>
      <c r="O787">
        <f t="shared" si="24"/>
        <v>1441</v>
      </c>
      <c r="P787">
        <f>Table1[[#This Row],[Quantity]]*Table1[[#This Row],[unit_price]]*Table1[[#This Row],[Discount]]</f>
        <v>449</v>
      </c>
      <c r="Q787" t="str">
        <f>VLOOKUP(E787,Products!$A$2:$E$23,2,0)</f>
        <v>Desk Organizer</v>
      </c>
      <c r="R787" t="str">
        <f>VLOOKUP(Table1[[#This Row],[Product ID]],Products!$A$2:$E$23,3,0)</f>
        <v>Office Supplies</v>
      </c>
      <c r="S787" t="str">
        <f>VLOOKUP(C787,Customers!$A$2:$F$201,4,0)</f>
        <v>Gujarat</v>
      </c>
      <c r="T787" t="str">
        <f>VLOOKUP(Table1[[#This Row],[Customer ID]],Customers!$A$2:$F$201,5,0)</f>
        <v>West</v>
      </c>
      <c r="U787" t="str">
        <f>VLOOKUP(Table1[[#This Row],[Customer ID]],Customers!$A$2:$F$201,6,0)</f>
        <v>Corporate</v>
      </c>
      <c r="V787" t="str">
        <f>TEXT(Table1[[#This Row],[Order Date]],"MMM")</f>
        <v>Apr</v>
      </c>
      <c r="W787" t="str">
        <f>TEXT(Table1[[#This Row],[Order Date]],"yyyy")</f>
        <v>2025</v>
      </c>
    </row>
    <row r="788" spans="1:23" x14ac:dyDescent="0.25">
      <c r="A788" s="2" t="s">
        <v>1033</v>
      </c>
      <c r="B788" s="4">
        <v>45772</v>
      </c>
      <c r="C788" s="2" t="s">
        <v>306</v>
      </c>
      <c r="D788" s="2" t="str">
        <f>TEXT(Table1[[#This Row],[Order Date]],"mmmm")</f>
        <v>April</v>
      </c>
      <c r="E788" s="2" t="s">
        <v>29</v>
      </c>
      <c r="F788" s="2">
        <v>2</v>
      </c>
      <c r="G788" s="5">
        <v>0.15</v>
      </c>
      <c r="H788" s="2" t="s">
        <v>19</v>
      </c>
      <c r="I788" s="2" t="s">
        <v>26</v>
      </c>
      <c r="J788" s="2" t="s">
        <v>21</v>
      </c>
      <c r="K788">
        <f>VLOOKUP(E788,Products!$A$2:$E$23,5,0)</f>
        <v>599</v>
      </c>
      <c r="L788">
        <f>VLOOKUP(E788,Products!$A$2:$E$23,4,0)</f>
        <v>350</v>
      </c>
      <c r="M788" s="2">
        <f>K788*F788-Table1[[#This Row],[discount_amount]]</f>
        <v>1018.3</v>
      </c>
      <c r="N788">
        <f t="shared" si="25"/>
        <v>700</v>
      </c>
      <c r="O788">
        <f t="shared" si="24"/>
        <v>318.29999999999995</v>
      </c>
      <c r="P788">
        <f>Table1[[#This Row],[Quantity]]*Table1[[#This Row],[unit_price]]*Table1[[#This Row],[Discount]]</f>
        <v>179.7</v>
      </c>
      <c r="Q788" t="str">
        <f>VLOOKUP(E788,Products!$A$2:$E$23,2,0)</f>
        <v>USB Flash Drive 64GB</v>
      </c>
      <c r="R788" t="str">
        <f>VLOOKUP(Table1[[#This Row],[Product ID]],Products!$A$2:$E$23,3,0)</f>
        <v>Electronics</v>
      </c>
      <c r="S788" t="str">
        <f>VLOOKUP(C788,Customers!$A$2:$F$201,4,0)</f>
        <v>Telangana</v>
      </c>
      <c r="T788" t="str">
        <f>VLOOKUP(Table1[[#This Row],[Customer ID]],Customers!$A$2:$F$201,5,0)</f>
        <v>South</v>
      </c>
      <c r="U788" t="str">
        <f>VLOOKUP(Table1[[#This Row],[Customer ID]],Customers!$A$2:$F$201,6,0)</f>
        <v>Consumer</v>
      </c>
      <c r="V788" t="str">
        <f>TEXT(Table1[[#This Row],[Order Date]],"MMM")</f>
        <v>Apr</v>
      </c>
      <c r="W788" t="str">
        <f>TEXT(Table1[[#This Row],[Order Date]],"yyyy")</f>
        <v>2025</v>
      </c>
    </row>
    <row r="789" spans="1:23" x14ac:dyDescent="0.25">
      <c r="A789" s="2" t="s">
        <v>1034</v>
      </c>
      <c r="B789" s="4">
        <v>45773</v>
      </c>
      <c r="C789" s="2" t="s">
        <v>366</v>
      </c>
      <c r="D789" s="2" t="str">
        <f>TEXT(Table1[[#This Row],[Order Date]],"mmmm")</f>
        <v>April</v>
      </c>
      <c r="E789" s="2" t="s">
        <v>66</v>
      </c>
      <c r="F789" s="2">
        <v>10</v>
      </c>
      <c r="G789" s="5">
        <v>0.1</v>
      </c>
      <c r="H789" s="2" t="s">
        <v>25</v>
      </c>
      <c r="I789" s="2" t="s">
        <v>26</v>
      </c>
      <c r="J789" s="2" t="s">
        <v>21</v>
      </c>
      <c r="K789">
        <f>VLOOKUP(E789,Products!$A$2:$E$23,5,0)</f>
        <v>1299</v>
      </c>
      <c r="L789">
        <f>VLOOKUP(E789,Products!$A$2:$E$23,4,0)</f>
        <v>800</v>
      </c>
      <c r="M789" s="2">
        <f>K789*F789-Table1[[#This Row],[discount_amount]]</f>
        <v>11691</v>
      </c>
      <c r="N789">
        <f t="shared" si="25"/>
        <v>8000</v>
      </c>
      <c r="O789">
        <f t="shared" si="24"/>
        <v>3691</v>
      </c>
      <c r="P789">
        <f>Table1[[#This Row],[Quantity]]*Table1[[#This Row],[unit_price]]*Table1[[#This Row],[Discount]]</f>
        <v>1299</v>
      </c>
      <c r="Q789" t="str">
        <f>VLOOKUP(E789,Products!$A$2:$E$23,2,0)</f>
        <v>Power Bank 10000mAh</v>
      </c>
      <c r="R789" t="str">
        <f>VLOOKUP(Table1[[#This Row],[Product ID]],Products!$A$2:$E$23,3,0)</f>
        <v>Electronics</v>
      </c>
      <c r="S789" t="str">
        <f>VLOOKUP(C789,Customers!$A$2:$F$201,4,0)</f>
        <v>Bihar</v>
      </c>
      <c r="T789" t="str">
        <f>VLOOKUP(Table1[[#This Row],[Customer ID]],Customers!$A$2:$F$201,5,0)</f>
        <v>East</v>
      </c>
      <c r="U789" t="str">
        <f>VLOOKUP(Table1[[#This Row],[Customer ID]],Customers!$A$2:$F$201,6,0)</f>
        <v>Home Office</v>
      </c>
      <c r="V789" t="str">
        <f>TEXT(Table1[[#This Row],[Order Date]],"MMM")</f>
        <v>Apr</v>
      </c>
      <c r="W789" t="str">
        <f>TEXT(Table1[[#This Row],[Order Date]],"yyyy")</f>
        <v>2025</v>
      </c>
    </row>
    <row r="790" spans="1:23" x14ac:dyDescent="0.25">
      <c r="A790" s="2" t="s">
        <v>1035</v>
      </c>
      <c r="B790" s="4">
        <v>45773</v>
      </c>
      <c r="C790" s="2" t="s">
        <v>266</v>
      </c>
      <c r="D790" s="2" t="str">
        <f>TEXT(Table1[[#This Row],[Order Date]],"mmmm")</f>
        <v>April</v>
      </c>
      <c r="E790" s="2" t="s">
        <v>49</v>
      </c>
      <c r="F790" s="2">
        <v>1</v>
      </c>
      <c r="G790" s="5">
        <v>0</v>
      </c>
      <c r="H790" s="2" t="s">
        <v>30</v>
      </c>
      <c r="I790" s="2" t="s">
        <v>46</v>
      </c>
      <c r="J790" s="2" t="s">
        <v>21</v>
      </c>
      <c r="K790">
        <f>VLOOKUP(E790,Products!$A$2:$E$23,5,0)</f>
        <v>700</v>
      </c>
      <c r="L790">
        <f>VLOOKUP(E790,Products!$A$2:$E$23,4,0)</f>
        <v>450</v>
      </c>
      <c r="M790" s="2">
        <f>K790*F790-Table1[[#This Row],[discount_amount]]</f>
        <v>700</v>
      </c>
      <c r="N790">
        <f t="shared" si="25"/>
        <v>450</v>
      </c>
      <c r="O790">
        <f t="shared" si="24"/>
        <v>250</v>
      </c>
      <c r="P790">
        <f>Table1[[#This Row],[Quantity]]*Table1[[#This Row],[unit_price]]*Table1[[#This Row],[Discount]]</f>
        <v>0</v>
      </c>
      <c r="Q790" t="str">
        <f>VLOOKUP(E790,Products!$A$2:$E$23,2,0)</f>
        <v>Wireless Mouse</v>
      </c>
      <c r="R790" t="str">
        <f>VLOOKUP(Table1[[#This Row],[Product ID]],Products!$A$2:$E$23,3,0)</f>
        <v>Electronics</v>
      </c>
      <c r="S790" t="str">
        <f>VLOOKUP(C790,Customers!$A$2:$F$201,4,0)</f>
        <v>Odisha</v>
      </c>
      <c r="T790" t="str">
        <f>VLOOKUP(Table1[[#This Row],[Customer ID]],Customers!$A$2:$F$201,5,0)</f>
        <v>East</v>
      </c>
      <c r="U790" t="str">
        <f>VLOOKUP(Table1[[#This Row],[Customer ID]],Customers!$A$2:$F$201,6,0)</f>
        <v>Consumer</v>
      </c>
      <c r="V790" t="str">
        <f>TEXT(Table1[[#This Row],[Order Date]],"MMM")</f>
        <v>Apr</v>
      </c>
      <c r="W790" t="str">
        <f>TEXT(Table1[[#This Row],[Order Date]],"yyyy")</f>
        <v>2025</v>
      </c>
    </row>
    <row r="791" spans="1:23" x14ac:dyDescent="0.25">
      <c r="A791" s="2" t="s">
        <v>1036</v>
      </c>
      <c r="B791" s="4">
        <v>45773</v>
      </c>
      <c r="C791" s="2" t="s">
        <v>88</v>
      </c>
      <c r="D791" s="2" t="str">
        <f>TEXT(Table1[[#This Row],[Order Date]],"mmmm")</f>
        <v>April</v>
      </c>
      <c r="E791" s="2" t="s">
        <v>34</v>
      </c>
      <c r="F791" s="2">
        <v>2</v>
      </c>
      <c r="G791" s="5">
        <v>0</v>
      </c>
      <c r="H791" s="2" t="s">
        <v>25</v>
      </c>
      <c r="I791" s="2" t="s">
        <v>38</v>
      </c>
      <c r="J791" s="2" t="s">
        <v>21</v>
      </c>
      <c r="K791">
        <f>VLOOKUP(E791,Products!$A$2:$E$23,5,0)</f>
        <v>4599</v>
      </c>
      <c r="L791">
        <f>VLOOKUP(E791,Products!$A$2:$E$23,4,0)</f>
        <v>3000</v>
      </c>
      <c r="M791" s="2">
        <f>K791*F791-Table1[[#This Row],[discount_amount]]</f>
        <v>9198</v>
      </c>
      <c r="N791">
        <f t="shared" si="25"/>
        <v>6000</v>
      </c>
      <c r="O791">
        <f t="shared" si="24"/>
        <v>3198</v>
      </c>
      <c r="P791">
        <f>Table1[[#This Row],[Quantity]]*Table1[[#This Row],[unit_price]]*Table1[[#This Row],[Discount]]</f>
        <v>0</v>
      </c>
      <c r="Q791" t="str">
        <f>VLOOKUP(E791,Products!$A$2:$E$23,2,0)</f>
        <v>Filing Cabinet</v>
      </c>
      <c r="R791" t="str">
        <f>VLOOKUP(Table1[[#This Row],[Product ID]],Products!$A$2:$E$23,3,0)</f>
        <v>Furniture</v>
      </c>
      <c r="S791" t="str">
        <f>VLOOKUP(C791,Customers!$A$2:$F$201,4,0)</f>
        <v>Gujarat</v>
      </c>
      <c r="T791" t="str">
        <f>VLOOKUP(Table1[[#This Row],[Customer ID]],Customers!$A$2:$F$201,5,0)</f>
        <v>West</v>
      </c>
      <c r="U791" t="str">
        <f>VLOOKUP(Table1[[#This Row],[Customer ID]],Customers!$A$2:$F$201,6,0)</f>
        <v>Consumer</v>
      </c>
      <c r="V791" t="str">
        <f>TEXT(Table1[[#This Row],[Order Date]],"MMM")</f>
        <v>Apr</v>
      </c>
      <c r="W791" t="str">
        <f>TEXT(Table1[[#This Row],[Order Date]],"yyyy")</f>
        <v>2025</v>
      </c>
    </row>
    <row r="792" spans="1:23" x14ac:dyDescent="0.25">
      <c r="A792" s="2" t="s">
        <v>1037</v>
      </c>
      <c r="B792" s="4">
        <v>45773</v>
      </c>
      <c r="C792" s="2" t="s">
        <v>535</v>
      </c>
      <c r="D792" s="2" t="str">
        <f>TEXT(Table1[[#This Row],[Order Date]],"mmmm")</f>
        <v>April</v>
      </c>
      <c r="E792" s="2" t="s">
        <v>29</v>
      </c>
      <c r="F792" s="2">
        <v>6</v>
      </c>
      <c r="G792" s="5">
        <v>0.1</v>
      </c>
      <c r="H792" s="2" t="s">
        <v>30</v>
      </c>
      <c r="I792" s="2" t="s">
        <v>38</v>
      </c>
      <c r="J792" s="2" t="s">
        <v>21</v>
      </c>
      <c r="K792">
        <f>VLOOKUP(E792,Products!$A$2:$E$23,5,0)</f>
        <v>599</v>
      </c>
      <c r="L792">
        <f>VLOOKUP(E792,Products!$A$2:$E$23,4,0)</f>
        <v>350</v>
      </c>
      <c r="M792" s="2">
        <f>K792*F792-Table1[[#This Row],[discount_amount]]</f>
        <v>3234.6</v>
      </c>
      <c r="N792">
        <f t="shared" si="25"/>
        <v>2100</v>
      </c>
      <c r="O792">
        <f t="shared" si="24"/>
        <v>1134.5999999999999</v>
      </c>
      <c r="P792">
        <f>Table1[[#This Row],[Quantity]]*Table1[[#This Row],[unit_price]]*Table1[[#This Row],[Discount]]</f>
        <v>359.40000000000003</v>
      </c>
      <c r="Q792" t="str">
        <f>VLOOKUP(E792,Products!$A$2:$E$23,2,0)</f>
        <v>USB Flash Drive 64GB</v>
      </c>
      <c r="R792" t="str">
        <f>VLOOKUP(Table1[[#This Row],[Product ID]],Products!$A$2:$E$23,3,0)</f>
        <v>Electronics</v>
      </c>
      <c r="S792" t="str">
        <f>VLOOKUP(C792,Customers!$A$2:$F$201,4,0)</f>
        <v>Maharashtra</v>
      </c>
      <c r="T792" t="str">
        <f>VLOOKUP(Table1[[#This Row],[Customer ID]],Customers!$A$2:$F$201,5,0)</f>
        <v>Central</v>
      </c>
      <c r="U792" t="str">
        <f>VLOOKUP(Table1[[#This Row],[Customer ID]],Customers!$A$2:$F$201,6,0)</f>
        <v>Consumer</v>
      </c>
      <c r="V792" t="str">
        <f>TEXT(Table1[[#This Row],[Order Date]],"MMM")</f>
        <v>Apr</v>
      </c>
      <c r="W792" t="str">
        <f>TEXT(Table1[[#This Row],[Order Date]],"yyyy")</f>
        <v>2025</v>
      </c>
    </row>
    <row r="793" spans="1:23" x14ac:dyDescent="0.25">
      <c r="A793" s="2" t="s">
        <v>1038</v>
      </c>
      <c r="B793" s="4">
        <v>45774</v>
      </c>
      <c r="C793" s="2" t="s">
        <v>350</v>
      </c>
      <c r="D793" s="2" t="str">
        <f>TEXT(Table1[[#This Row],[Order Date]],"mmmm")</f>
        <v>April</v>
      </c>
      <c r="E793" s="2" t="s">
        <v>45</v>
      </c>
      <c r="F793" s="2">
        <v>1</v>
      </c>
      <c r="G793" s="5">
        <v>0.05</v>
      </c>
      <c r="H793" s="2" t="s">
        <v>30</v>
      </c>
      <c r="I793" s="2" t="s">
        <v>38</v>
      </c>
      <c r="J793" s="2" t="s">
        <v>79</v>
      </c>
      <c r="K793">
        <f>VLOOKUP(E793,Products!$A$2:$E$23,5,0)</f>
        <v>899</v>
      </c>
      <c r="L793">
        <f>VLOOKUP(E793,Products!$A$2:$E$23,4,0)</f>
        <v>450</v>
      </c>
      <c r="M793" s="2">
        <f>K793*F793-Table1[[#This Row],[discount_amount]]</f>
        <v>854.05</v>
      </c>
      <c r="N793">
        <f t="shared" si="25"/>
        <v>450</v>
      </c>
      <c r="O793">
        <f t="shared" si="24"/>
        <v>404.04999999999995</v>
      </c>
      <c r="P793">
        <f>Table1[[#This Row],[Quantity]]*Table1[[#This Row],[unit_price]]*Table1[[#This Row],[Discount]]</f>
        <v>44.95</v>
      </c>
      <c r="Q793" t="str">
        <f>VLOOKUP(E793,Products!$A$2:$E$23,2,0)</f>
        <v>Track Pants</v>
      </c>
      <c r="R793" t="str">
        <f>VLOOKUP(Table1[[#This Row],[Product ID]],Products!$A$2:$E$23,3,0)</f>
        <v>Clothing</v>
      </c>
      <c r="S793" t="str">
        <f>VLOOKUP(C793,Customers!$A$2:$F$201,4,0)</f>
        <v>West Bengal</v>
      </c>
      <c r="T793" t="str">
        <f>VLOOKUP(Table1[[#This Row],[Customer ID]],Customers!$A$2:$F$201,5,0)</f>
        <v>East</v>
      </c>
      <c r="U793" t="str">
        <f>VLOOKUP(Table1[[#This Row],[Customer ID]],Customers!$A$2:$F$201,6,0)</f>
        <v>Corporate</v>
      </c>
      <c r="V793" t="str">
        <f>TEXT(Table1[[#This Row],[Order Date]],"MMM")</f>
        <v>Apr</v>
      </c>
      <c r="W793" t="str">
        <f>TEXT(Table1[[#This Row],[Order Date]],"yyyy")</f>
        <v>2025</v>
      </c>
    </row>
    <row r="794" spans="1:23" x14ac:dyDescent="0.25">
      <c r="A794" s="2" t="s">
        <v>1039</v>
      </c>
      <c r="B794" s="4">
        <v>45775</v>
      </c>
      <c r="C794" s="2" t="s">
        <v>353</v>
      </c>
      <c r="D794" s="2" t="str">
        <f>TEXT(Table1[[#This Row],[Order Date]],"mmmm")</f>
        <v>April</v>
      </c>
      <c r="E794" s="2" t="s">
        <v>34</v>
      </c>
      <c r="F794" s="2">
        <v>1</v>
      </c>
      <c r="G794" s="5">
        <v>0.1</v>
      </c>
      <c r="H794" s="2" t="s">
        <v>25</v>
      </c>
      <c r="I794" s="2" t="s">
        <v>46</v>
      </c>
      <c r="J794" s="2" t="s">
        <v>21</v>
      </c>
      <c r="K794">
        <f>VLOOKUP(E794,Products!$A$2:$E$23,5,0)</f>
        <v>4599</v>
      </c>
      <c r="L794">
        <f>VLOOKUP(E794,Products!$A$2:$E$23,4,0)</f>
        <v>3000</v>
      </c>
      <c r="M794" s="2">
        <f>K794*F794-Table1[[#This Row],[discount_amount]]</f>
        <v>4139.1000000000004</v>
      </c>
      <c r="N794">
        <f t="shared" si="25"/>
        <v>3000</v>
      </c>
      <c r="O794">
        <f t="shared" si="24"/>
        <v>1139.1000000000004</v>
      </c>
      <c r="P794">
        <f>Table1[[#This Row],[Quantity]]*Table1[[#This Row],[unit_price]]*Table1[[#This Row],[Discount]]</f>
        <v>459.90000000000003</v>
      </c>
      <c r="Q794" t="str">
        <f>VLOOKUP(E794,Products!$A$2:$E$23,2,0)</f>
        <v>Filing Cabinet</v>
      </c>
      <c r="R794" t="str">
        <f>VLOOKUP(Table1[[#This Row],[Product ID]],Products!$A$2:$E$23,3,0)</f>
        <v>Furniture</v>
      </c>
      <c r="S794" t="str">
        <f>VLOOKUP(C794,Customers!$A$2:$F$201,4,0)</f>
        <v>Maharashtra</v>
      </c>
      <c r="T794" t="str">
        <f>VLOOKUP(Table1[[#This Row],[Customer ID]],Customers!$A$2:$F$201,5,0)</f>
        <v>West</v>
      </c>
      <c r="U794" t="str">
        <f>VLOOKUP(Table1[[#This Row],[Customer ID]],Customers!$A$2:$F$201,6,0)</f>
        <v>Corporate</v>
      </c>
      <c r="V794" t="str">
        <f>TEXT(Table1[[#This Row],[Order Date]],"MMM")</f>
        <v>Apr</v>
      </c>
      <c r="W794" t="str">
        <f>TEXT(Table1[[#This Row],[Order Date]],"yyyy")</f>
        <v>2025</v>
      </c>
    </row>
    <row r="795" spans="1:23" x14ac:dyDescent="0.25">
      <c r="A795" s="2" t="s">
        <v>1040</v>
      </c>
      <c r="B795" s="4">
        <v>45775</v>
      </c>
      <c r="C795" s="2" t="s">
        <v>190</v>
      </c>
      <c r="D795" s="2" t="str">
        <f>TEXT(Table1[[#This Row],[Order Date]],"mmmm")</f>
        <v>April</v>
      </c>
      <c r="E795" s="2" t="s">
        <v>91</v>
      </c>
      <c r="F795" s="2">
        <v>2</v>
      </c>
      <c r="G795" s="5">
        <v>0.1</v>
      </c>
      <c r="H795" s="2" t="s">
        <v>30</v>
      </c>
      <c r="I795" s="2" t="s">
        <v>26</v>
      </c>
      <c r="J795" s="2" t="s">
        <v>21</v>
      </c>
      <c r="K795">
        <f>VLOOKUP(E795,Products!$A$2:$E$23,5,0)</f>
        <v>1199</v>
      </c>
      <c r="L795">
        <f>VLOOKUP(E795,Products!$A$2:$E$23,4,0)</f>
        <v>600</v>
      </c>
      <c r="M795" s="2">
        <f>K795*F795-Table1[[#This Row],[discount_amount]]</f>
        <v>2158.1999999999998</v>
      </c>
      <c r="N795">
        <f t="shared" si="25"/>
        <v>1200</v>
      </c>
      <c r="O795">
        <f t="shared" si="24"/>
        <v>958.19999999999982</v>
      </c>
      <c r="P795">
        <f>Table1[[#This Row],[Quantity]]*Table1[[#This Row],[unit_price]]*Table1[[#This Row],[Discount]]</f>
        <v>239.8</v>
      </c>
      <c r="Q795" t="str">
        <f>VLOOKUP(E795,Products!$A$2:$E$23,2,0)</f>
        <v>Formal Shirt</v>
      </c>
      <c r="R795" t="str">
        <f>VLOOKUP(Table1[[#This Row],[Product ID]],Products!$A$2:$E$23,3,0)</f>
        <v>Clothing</v>
      </c>
      <c r="S795" t="str">
        <f>VLOOKUP(C795,Customers!$A$2:$F$201,4,0)</f>
        <v>Odisha</v>
      </c>
      <c r="T795" t="str">
        <f>VLOOKUP(Table1[[#This Row],[Customer ID]],Customers!$A$2:$F$201,5,0)</f>
        <v>East</v>
      </c>
      <c r="U795" t="str">
        <f>VLOOKUP(Table1[[#This Row],[Customer ID]],Customers!$A$2:$F$201,6,0)</f>
        <v>Consumer</v>
      </c>
      <c r="V795" t="str">
        <f>TEXT(Table1[[#This Row],[Order Date]],"MMM")</f>
        <v>Apr</v>
      </c>
      <c r="W795" t="str">
        <f>TEXT(Table1[[#This Row],[Order Date]],"yyyy")</f>
        <v>2025</v>
      </c>
    </row>
    <row r="796" spans="1:23" x14ac:dyDescent="0.25">
      <c r="A796" s="2" t="s">
        <v>1041</v>
      </c>
      <c r="B796" s="4">
        <v>45776</v>
      </c>
      <c r="C796" s="2" t="s">
        <v>152</v>
      </c>
      <c r="D796" s="2" t="str">
        <f>TEXT(Table1[[#This Row],[Order Date]],"mmmm")</f>
        <v>April</v>
      </c>
      <c r="E796" s="2" t="s">
        <v>91</v>
      </c>
      <c r="F796" s="2">
        <v>4</v>
      </c>
      <c r="G796" s="5">
        <v>0</v>
      </c>
      <c r="H796" s="2" t="s">
        <v>25</v>
      </c>
      <c r="I796" s="2" t="s">
        <v>31</v>
      </c>
      <c r="J796" s="2" t="s">
        <v>21</v>
      </c>
      <c r="K796">
        <f>VLOOKUP(E796,Products!$A$2:$E$23,5,0)</f>
        <v>1199</v>
      </c>
      <c r="L796">
        <f>VLOOKUP(E796,Products!$A$2:$E$23,4,0)</f>
        <v>600</v>
      </c>
      <c r="M796" s="2">
        <f>K796*F796-Table1[[#This Row],[discount_amount]]</f>
        <v>4796</v>
      </c>
      <c r="N796">
        <f t="shared" si="25"/>
        <v>2400</v>
      </c>
      <c r="O796">
        <f t="shared" si="24"/>
        <v>2396</v>
      </c>
      <c r="P796">
        <f>Table1[[#This Row],[Quantity]]*Table1[[#This Row],[unit_price]]*Table1[[#This Row],[Discount]]</f>
        <v>0</v>
      </c>
      <c r="Q796" t="str">
        <f>VLOOKUP(E796,Products!$A$2:$E$23,2,0)</f>
        <v>Formal Shirt</v>
      </c>
      <c r="R796" t="str">
        <f>VLOOKUP(Table1[[#This Row],[Product ID]],Products!$A$2:$E$23,3,0)</f>
        <v>Clothing</v>
      </c>
      <c r="S796" t="str">
        <f>VLOOKUP(C796,Customers!$A$2:$F$201,4,0)</f>
        <v>Gujarat</v>
      </c>
      <c r="T796" t="str">
        <f>VLOOKUP(Table1[[#This Row],[Customer ID]],Customers!$A$2:$F$201,5,0)</f>
        <v>West</v>
      </c>
      <c r="U796" t="str">
        <f>VLOOKUP(Table1[[#This Row],[Customer ID]],Customers!$A$2:$F$201,6,0)</f>
        <v>Consumer</v>
      </c>
      <c r="V796" t="str">
        <f>TEXT(Table1[[#This Row],[Order Date]],"MMM")</f>
        <v>Apr</v>
      </c>
      <c r="W796" t="str">
        <f>TEXT(Table1[[#This Row],[Order Date]],"yyyy")</f>
        <v>2025</v>
      </c>
    </row>
    <row r="797" spans="1:23" x14ac:dyDescent="0.25">
      <c r="A797" s="2" t="s">
        <v>1042</v>
      </c>
      <c r="B797" s="4">
        <v>45776</v>
      </c>
      <c r="C797" s="2" t="s">
        <v>297</v>
      </c>
      <c r="D797" s="2" t="str">
        <f>TEXT(Table1[[#This Row],[Order Date]],"mmmm")</f>
        <v>April</v>
      </c>
      <c r="E797" s="2" t="s">
        <v>73</v>
      </c>
      <c r="F797" s="2">
        <v>1</v>
      </c>
      <c r="G797" s="5">
        <v>0</v>
      </c>
      <c r="H797" s="2" t="s">
        <v>30</v>
      </c>
      <c r="I797" s="2" t="s">
        <v>31</v>
      </c>
      <c r="J797" s="2" t="s">
        <v>21</v>
      </c>
      <c r="K797">
        <f>VLOOKUP(E797,Products!$A$2:$E$23,5,0)</f>
        <v>6499</v>
      </c>
      <c r="L797">
        <f>VLOOKUP(E797,Products!$A$2:$E$23,4,0)</f>
        <v>4200</v>
      </c>
      <c r="M797" s="2">
        <f>K797*F797-Table1[[#This Row],[discount_amount]]</f>
        <v>6499</v>
      </c>
      <c r="N797">
        <f t="shared" si="25"/>
        <v>4200</v>
      </c>
      <c r="O797">
        <f t="shared" si="24"/>
        <v>2299</v>
      </c>
      <c r="P797">
        <f>Table1[[#This Row],[Quantity]]*Table1[[#This Row],[unit_price]]*Table1[[#This Row],[Discount]]</f>
        <v>0</v>
      </c>
      <c r="Q797" t="str">
        <f>VLOOKUP(E797,Products!$A$2:$E$23,2,0)</f>
        <v>Study Table</v>
      </c>
      <c r="R797" t="str">
        <f>VLOOKUP(Table1[[#This Row],[Product ID]],Products!$A$2:$E$23,3,0)</f>
        <v>Furniture</v>
      </c>
      <c r="S797" t="str">
        <f>VLOOKUP(C797,Customers!$A$2:$F$201,4,0)</f>
        <v>Maharashtra</v>
      </c>
      <c r="T797" t="str">
        <f>VLOOKUP(Table1[[#This Row],[Customer ID]],Customers!$A$2:$F$201,5,0)</f>
        <v>West</v>
      </c>
      <c r="U797" t="str">
        <f>VLOOKUP(Table1[[#This Row],[Customer ID]],Customers!$A$2:$F$201,6,0)</f>
        <v>Consumer</v>
      </c>
      <c r="V797" t="str">
        <f>TEXT(Table1[[#This Row],[Order Date]],"MMM")</f>
        <v>Apr</v>
      </c>
      <c r="W797" t="str">
        <f>TEXT(Table1[[#This Row],[Order Date]],"yyyy")</f>
        <v>2025</v>
      </c>
    </row>
    <row r="798" spans="1:23" x14ac:dyDescent="0.25">
      <c r="A798" s="2" t="s">
        <v>1043</v>
      </c>
      <c r="B798" s="4">
        <v>45777</v>
      </c>
      <c r="C798" s="2" t="s">
        <v>36</v>
      </c>
      <c r="D798" s="2" t="str">
        <f>TEXT(Table1[[#This Row],[Order Date]],"mmmm")</f>
        <v>April</v>
      </c>
      <c r="E798" s="2" t="s">
        <v>63</v>
      </c>
      <c r="F798" s="2">
        <v>2</v>
      </c>
      <c r="G798" s="5">
        <v>0.2</v>
      </c>
      <c r="H798" s="2" t="s">
        <v>25</v>
      </c>
      <c r="I798" s="2" t="s">
        <v>38</v>
      </c>
      <c r="J798" s="2" t="s">
        <v>21</v>
      </c>
      <c r="K798">
        <f>VLOOKUP(E798,Products!$A$2:$E$23,5,0)</f>
        <v>5499</v>
      </c>
      <c r="L798">
        <f>VLOOKUP(E798,Products!$A$2:$E$23,4,0)</f>
        <v>3500</v>
      </c>
      <c r="M798" s="2">
        <f>K798*F798-Table1[[#This Row],[discount_amount]]</f>
        <v>8798.4</v>
      </c>
      <c r="N798">
        <f t="shared" si="25"/>
        <v>7000</v>
      </c>
      <c r="O798">
        <f t="shared" si="24"/>
        <v>1798.3999999999996</v>
      </c>
      <c r="P798">
        <f>Table1[[#This Row],[Quantity]]*Table1[[#This Row],[unit_price]]*Table1[[#This Row],[Discount]]</f>
        <v>2199.6</v>
      </c>
      <c r="Q798" t="str">
        <f>VLOOKUP(E798,Products!$A$2:$E$23,2,0)</f>
        <v>Office Chair</v>
      </c>
      <c r="R798" t="str">
        <f>VLOOKUP(Table1[[#This Row],[Product ID]],Products!$A$2:$E$23,3,0)</f>
        <v>Furniture</v>
      </c>
      <c r="S798" t="str">
        <f>VLOOKUP(C798,Customers!$A$2:$F$201,4,0)</f>
        <v>Gujarat</v>
      </c>
      <c r="T798" t="str">
        <f>VLOOKUP(Table1[[#This Row],[Customer ID]],Customers!$A$2:$F$201,5,0)</f>
        <v>West</v>
      </c>
      <c r="U798" t="str">
        <f>VLOOKUP(Table1[[#This Row],[Customer ID]],Customers!$A$2:$F$201,6,0)</f>
        <v>Consumer</v>
      </c>
      <c r="V798" t="str">
        <f>TEXT(Table1[[#This Row],[Order Date]],"MMM")</f>
        <v>Apr</v>
      </c>
      <c r="W798" t="str">
        <f>TEXT(Table1[[#This Row],[Order Date]],"yyyy")</f>
        <v>2025</v>
      </c>
    </row>
    <row r="799" spans="1:23" x14ac:dyDescent="0.25">
      <c r="A799" s="2" t="s">
        <v>1044</v>
      </c>
      <c r="B799" s="4">
        <v>45779</v>
      </c>
      <c r="C799" s="2" t="s">
        <v>158</v>
      </c>
      <c r="D799" s="2" t="str">
        <f>TEXT(Table1[[#This Row],[Order Date]],"mmmm")</f>
        <v>May</v>
      </c>
      <c r="E799" s="2" t="s">
        <v>155</v>
      </c>
      <c r="F799" s="2">
        <v>10</v>
      </c>
      <c r="G799" s="5">
        <v>0.15</v>
      </c>
      <c r="H799" s="2" t="s">
        <v>25</v>
      </c>
      <c r="I799" s="2" t="s">
        <v>31</v>
      </c>
      <c r="J799" s="2" t="s">
        <v>21</v>
      </c>
      <c r="K799">
        <f>VLOOKUP(E799,Products!$A$2:$E$23,5,0)</f>
        <v>1599</v>
      </c>
      <c r="L799">
        <f>VLOOKUP(E799,Products!$A$2:$E$23,4,0)</f>
        <v>900</v>
      </c>
      <c r="M799" s="2">
        <f>K799*F799-Table1[[#This Row],[discount_amount]]</f>
        <v>13591.5</v>
      </c>
      <c r="N799">
        <f t="shared" si="25"/>
        <v>9000</v>
      </c>
      <c r="O799">
        <f t="shared" si="24"/>
        <v>4591.5</v>
      </c>
      <c r="P799">
        <f>Table1[[#This Row],[Quantity]]*Table1[[#This Row],[unit_price]]*Table1[[#This Row],[Discount]]</f>
        <v>2398.5</v>
      </c>
      <c r="Q799" t="str">
        <f>VLOOKUP(E799,Products!$A$2:$E$23,2,0)</f>
        <v>Headphones</v>
      </c>
      <c r="R799" t="str">
        <f>VLOOKUP(Table1[[#This Row],[Product ID]],Products!$A$2:$E$23,3,0)</f>
        <v>Electronics</v>
      </c>
      <c r="S799" t="str">
        <f>VLOOKUP(C799,Customers!$A$2:$F$201,4,0)</f>
        <v>Kerala</v>
      </c>
      <c r="T799" t="str">
        <f>VLOOKUP(Table1[[#This Row],[Customer ID]],Customers!$A$2:$F$201,5,0)</f>
        <v>South</v>
      </c>
      <c r="U799" t="str">
        <f>VLOOKUP(Table1[[#This Row],[Customer ID]],Customers!$A$2:$F$201,6,0)</f>
        <v>Consumer</v>
      </c>
      <c r="V799" t="str">
        <f>TEXT(Table1[[#This Row],[Order Date]],"MMM")</f>
        <v>May</v>
      </c>
      <c r="W799" t="str">
        <f>TEXT(Table1[[#This Row],[Order Date]],"yyyy")</f>
        <v>2025</v>
      </c>
    </row>
    <row r="800" spans="1:23" x14ac:dyDescent="0.25">
      <c r="A800" s="2" t="s">
        <v>1045</v>
      </c>
      <c r="B800" s="4">
        <v>45779</v>
      </c>
      <c r="C800" s="2" t="s">
        <v>142</v>
      </c>
      <c r="D800" s="2" t="str">
        <f>TEXT(Table1[[#This Row],[Order Date]],"mmmm")</f>
        <v>May</v>
      </c>
      <c r="E800" s="2" t="s">
        <v>82</v>
      </c>
      <c r="F800" s="2">
        <v>1</v>
      </c>
      <c r="G800" s="5">
        <v>0</v>
      </c>
      <c r="H800" s="2" t="s">
        <v>19</v>
      </c>
      <c r="I800" s="2" t="s">
        <v>20</v>
      </c>
      <c r="J800" s="2" t="s">
        <v>21</v>
      </c>
      <c r="K800">
        <f>VLOOKUP(E800,Products!$A$2:$E$23,5,0)</f>
        <v>1799</v>
      </c>
      <c r="L800">
        <f>VLOOKUP(E800,Products!$A$2:$E$23,4,0)</f>
        <v>1100</v>
      </c>
      <c r="M800" s="2">
        <f>K800*F800-Table1[[#This Row],[discount_amount]]</f>
        <v>1799</v>
      </c>
      <c r="N800">
        <f t="shared" si="25"/>
        <v>1100</v>
      </c>
      <c r="O800">
        <f t="shared" si="24"/>
        <v>699</v>
      </c>
      <c r="P800">
        <f>Table1[[#This Row],[Quantity]]*Table1[[#This Row],[unit_price]]*Table1[[#This Row],[Discount]]</f>
        <v>0</v>
      </c>
      <c r="Q800" t="str">
        <f>VLOOKUP(E800,Products!$A$2:$E$23,2,0)</f>
        <v>Webcam HD</v>
      </c>
      <c r="R800" t="str">
        <f>VLOOKUP(Table1[[#This Row],[Product ID]],Products!$A$2:$E$23,3,0)</f>
        <v>Electronics</v>
      </c>
      <c r="S800" t="str">
        <f>VLOOKUP(C800,Customers!$A$2:$F$201,4,0)</f>
        <v>Tamil Nadu</v>
      </c>
      <c r="T800" t="str">
        <f>VLOOKUP(Table1[[#This Row],[Customer ID]],Customers!$A$2:$F$201,5,0)</f>
        <v>South</v>
      </c>
      <c r="U800" t="str">
        <f>VLOOKUP(Table1[[#This Row],[Customer ID]],Customers!$A$2:$F$201,6,0)</f>
        <v>Corporate</v>
      </c>
      <c r="V800" t="str">
        <f>TEXT(Table1[[#This Row],[Order Date]],"MMM")</f>
        <v>May</v>
      </c>
      <c r="W800" t="str">
        <f>TEXT(Table1[[#This Row],[Order Date]],"yyyy")</f>
        <v>2025</v>
      </c>
    </row>
    <row r="801" spans="1:23" x14ac:dyDescent="0.25">
      <c r="A801" s="2" t="s">
        <v>1046</v>
      </c>
      <c r="B801" s="4">
        <v>45781</v>
      </c>
      <c r="C801" s="2" t="s">
        <v>350</v>
      </c>
      <c r="D801" s="2" t="str">
        <f>TEXT(Table1[[#This Row],[Order Date]],"mmmm")</f>
        <v>May</v>
      </c>
      <c r="E801" s="2" t="s">
        <v>63</v>
      </c>
      <c r="F801" s="2">
        <v>2</v>
      </c>
      <c r="G801" s="5">
        <v>0.05</v>
      </c>
      <c r="H801" s="2" t="s">
        <v>19</v>
      </c>
      <c r="I801" s="2" t="s">
        <v>38</v>
      </c>
      <c r="J801" s="2" t="s">
        <v>21</v>
      </c>
      <c r="K801">
        <f>VLOOKUP(E801,Products!$A$2:$E$23,5,0)</f>
        <v>5499</v>
      </c>
      <c r="L801">
        <f>VLOOKUP(E801,Products!$A$2:$E$23,4,0)</f>
        <v>3500</v>
      </c>
      <c r="M801" s="2">
        <f>K801*F801-Table1[[#This Row],[discount_amount]]</f>
        <v>10448.1</v>
      </c>
      <c r="N801">
        <f t="shared" si="25"/>
        <v>7000</v>
      </c>
      <c r="O801">
        <f t="shared" si="24"/>
        <v>3448.1000000000004</v>
      </c>
      <c r="P801">
        <f>Table1[[#This Row],[Quantity]]*Table1[[#This Row],[unit_price]]*Table1[[#This Row],[Discount]]</f>
        <v>549.9</v>
      </c>
      <c r="Q801" t="str">
        <f>VLOOKUP(E801,Products!$A$2:$E$23,2,0)</f>
        <v>Office Chair</v>
      </c>
      <c r="R801" t="str">
        <f>VLOOKUP(Table1[[#This Row],[Product ID]],Products!$A$2:$E$23,3,0)</f>
        <v>Furniture</v>
      </c>
      <c r="S801" t="str">
        <f>VLOOKUP(C801,Customers!$A$2:$F$201,4,0)</f>
        <v>West Bengal</v>
      </c>
      <c r="T801" t="str">
        <f>VLOOKUP(Table1[[#This Row],[Customer ID]],Customers!$A$2:$F$201,5,0)</f>
        <v>East</v>
      </c>
      <c r="U801" t="str">
        <f>VLOOKUP(Table1[[#This Row],[Customer ID]],Customers!$A$2:$F$201,6,0)</f>
        <v>Corporate</v>
      </c>
      <c r="V801" t="str">
        <f>TEXT(Table1[[#This Row],[Order Date]],"MMM")</f>
        <v>May</v>
      </c>
      <c r="W801" t="str">
        <f>TEXT(Table1[[#This Row],[Order Date]],"yyyy")</f>
        <v>2025</v>
      </c>
    </row>
    <row r="802" spans="1:23" x14ac:dyDescent="0.25">
      <c r="A802" s="2" t="s">
        <v>1047</v>
      </c>
      <c r="B802" s="4">
        <v>45782</v>
      </c>
      <c r="C802" s="2" t="s">
        <v>735</v>
      </c>
      <c r="D802" s="2" t="str">
        <f>TEXT(Table1[[#This Row],[Order Date]],"mmmm")</f>
        <v>May</v>
      </c>
      <c r="E802" s="2" t="s">
        <v>54</v>
      </c>
      <c r="F802" s="2">
        <v>10</v>
      </c>
      <c r="G802" s="5">
        <v>0</v>
      </c>
      <c r="H802" s="2" t="s">
        <v>25</v>
      </c>
      <c r="I802" s="2" t="s">
        <v>26</v>
      </c>
      <c r="J802" s="2" t="s">
        <v>21</v>
      </c>
      <c r="K802">
        <f>VLOOKUP(E802,Products!$A$2:$E$23,5,0)</f>
        <v>299</v>
      </c>
      <c r="L802">
        <f>VLOOKUP(E802,Products!$A$2:$E$23,4,0)</f>
        <v>180</v>
      </c>
      <c r="M802" s="2">
        <f>K802*F802-Table1[[#This Row],[discount_amount]]</f>
        <v>2990</v>
      </c>
      <c r="N802">
        <f t="shared" si="25"/>
        <v>1800</v>
      </c>
      <c r="O802">
        <f t="shared" si="24"/>
        <v>1190</v>
      </c>
      <c r="P802">
        <f>Table1[[#This Row],[Quantity]]*Table1[[#This Row],[unit_price]]*Table1[[#This Row],[Discount]]</f>
        <v>0</v>
      </c>
      <c r="Q802" t="str">
        <f>VLOOKUP(E802,Products!$A$2:$E$23,2,0)</f>
        <v>Notebook Pack of 5</v>
      </c>
      <c r="R802" t="str">
        <f>VLOOKUP(Table1[[#This Row],[Product ID]],Products!$A$2:$E$23,3,0)</f>
        <v>Office Supplies</v>
      </c>
      <c r="S802" t="str">
        <f>VLOOKUP(C802,Customers!$A$2:$F$201,4,0)</f>
        <v>Maharashtra</v>
      </c>
      <c r="T802" t="str">
        <f>VLOOKUP(Table1[[#This Row],[Customer ID]],Customers!$A$2:$F$201,5,0)</f>
        <v>West</v>
      </c>
      <c r="U802" t="str">
        <f>VLOOKUP(Table1[[#This Row],[Customer ID]],Customers!$A$2:$F$201,6,0)</f>
        <v>Consumer</v>
      </c>
      <c r="V802" t="str">
        <f>TEXT(Table1[[#This Row],[Order Date]],"MMM")</f>
        <v>May</v>
      </c>
      <c r="W802" t="str">
        <f>TEXT(Table1[[#This Row],[Order Date]],"yyyy")</f>
        <v>2025</v>
      </c>
    </row>
    <row r="803" spans="1:23" x14ac:dyDescent="0.25">
      <c r="A803" s="2" t="s">
        <v>1048</v>
      </c>
      <c r="B803" s="4">
        <v>45782</v>
      </c>
      <c r="C803" s="2" t="s">
        <v>108</v>
      </c>
      <c r="D803" s="2" t="str">
        <f>TEXT(Table1[[#This Row],[Order Date]],"mmmm")</f>
        <v>May</v>
      </c>
      <c r="E803" s="2" t="s">
        <v>121</v>
      </c>
      <c r="F803" s="2">
        <v>1</v>
      </c>
      <c r="G803" s="5">
        <v>0</v>
      </c>
      <c r="H803" s="2" t="s">
        <v>19</v>
      </c>
      <c r="I803" s="2" t="s">
        <v>26</v>
      </c>
      <c r="J803" s="2" t="s">
        <v>21</v>
      </c>
      <c r="K803">
        <f>VLOOKUP(E803,Products!$A$2:$E$23,5,0)</f>
        <v>499</v>
      </c>
      <c r="L803">
        <f>VLOOKUP(E803,Products!$A$2:$E$23,4,0)</f>
        <v>250</v>
      </c>
      <c r="M803" s="2">
        <f>K803*F803-Table1[[#This Row],[discount_amount]]</f>
        <v>499</v>
      </c>
      <c r="N803">
        <f t="shared" si="25"/>
        <v>250</v>
      </c>
      <c r="O803">
        <f t="shared" si="24"/>
        <v>249</v>
      </c>
      <c r="P803">
        <f>Table1[[#This Row],[Quantity]]*Table1[[#This Row],[unit_price]]*Table1[[#This Row],[Discount]]</f>
        <v>0</v>
      </c>
      <c r="Q803" t="str">
        <f>VLOOKUP(E803,Products!$A$2:$E$23,2,0)</f>
        <v>Cotton T-Shirt</v>
      </c>
      <c r="R803" t="str">
        <f>VLOOKUP(Table1[[#This Row],[Product ID]],Products!$A$2:$E$23,3,0)</f>
        <v>Clothing</v>
      </c>
      <c r="S803" t="str">
        <f>VLOOKUP(C803,Customers!$A$2:$F$201,4,0)</f>
        <v>West Bengal</v>
      </c>
      <c r="T803" t="str">
        <f>VLOOKUP(Table1[[#This Row],[Customer ID]],Customers!$A$2:$F$201,5,0)</f>
        <v>East</v>
      </c>
      <c r="U803" t="str">
        <f>VLOOKUP(Table1[[#This Row],[Customer ID]],Customers!$A$2:$F$201,6,0)</f>
        <v>Corporate</v>
      </c>
      <c r="V803" t="str">
        <f>TEXT(Table1[[#This Row],[Order Date]],"MMM")</f>
        <v>May</v>
      </c>
      <c r="W803" t="str">
        <f>TEXT(Table1[[#This Row],[Order Date]],"yyyy")</f>
        <v>2025</v>
      </c>
    </row>
    <row r="804" spans="1:23" x14ac:dyDescent="0.25">
      <c r="A804" s="2" t="s">
        <v>1049</v>
      </c>
      <c r="B804" s="4">
        <v>45782</v>
      </c>
      <c r="C804" s="2" t="s">
        <v>214</v>
      </c>
      <c r="D804" s="2" t="str">
        <f>TEXT(Table1[[#This Row],[Order Date]],"mmmm")</f>
        <v>May</v>
      </c>
      <c r="E804" s="2" t="s">
        <v>54</v>
      </c>
      <c r="F804" s="2">
        <v>3</v>
      </c>
      <c r="G804" s="5">
        <v>0.1</v>
      </c>
      <c r="H804" s="2" t="s">
        <v>30</v>
      </c>
      <c r="I804" s="2" t="s">
        <v>31</v>
      </c>
      <c r="J804" s="2" t="s">
        <v>21</v>
      </c>
      <c r="K804">
        <f>VLOOKUP(E804,Products!$A$2:$E$23,5,0)</f>
        <v>299</v>
      </c>
      <c r="L804">
        <f>VLOOKUP(E804,Products!$A$2:$E$23,4,0)</f>
        <v>180</v>
      </c>
      <c r="M804" s="2">
        <f>K804*F804-Table1[[#This Row],[discount_amount]]</f>
        <v>807.3</v>
      </c>
      <c r="N804">
        <f t="shared" si="25"/>
        <v>540</v>
      </c>
      <c r="O804">
        <f t="shared" si="24"/>
        <v>267.29999999999995</v>
      </c>
      <c r="P804">
        <f>Table1[[#This Row],[Quantity]]*Table1[[#This Row],[unit_price]]*Table1[[#This Row],[Discount]]</f>
        <v>89.7</v>
      </c>
      <c r="Q804" t="str">
        <f>VLOOKUP(E804,Products!$A$2:$E$23,2,0)</f>
        <v>Notebook Pack of 5</v>
      </c>
      <c r="R804" t="str">
        <f>VLOOKUP(Table1[[#This Row],[Product ID]],Products!$A$2:$E$23,3,0)</f>
        <v>Office Supplies</v>
      </c>
      <c r="S804" t="str">
        <f>VLOOKUP(C804,Customers!$A$2:$F$201,4,0)</f>
        <v>Maharashtra</v>
      </c>
      <c r="T804" t="str">
        <f>VLOOKUP(Table1[[#This Row],[Customer ID]],Customers!$A$2:$F$201,5,0)</f>
        <v>Central</v>
      </c>
      <c r="U804" t="str">
        <f>VLOOKUP(Table1[[#This Row],[Customer ID]],Customers!$A$2:$F$201,6,0)</f>
        <v>Consumer</v>
      </c>
      <c r="V804" t="str">
        <f>TEXT(Table1[[#This Row],[Order Date]],"MMM")</f>
        <v>May</v>
      </c>
      <c r="W804" t="str">
        <f>TEXT(Table1[[#This Row],[Order Date]],"yyyy")</f>
        <v>2025</v>
      </c>
    </row>
    <row r="805" spans="1:23" x14ac:dyDescent="0.25">
      <c r="A805" s="2" t="s">
        <v>1050</v>
      </c>
      <c r="B805" s="4">
        <v>45784</v>
      </c>
      <c r="C805" s="2" t="s">
        <v>820</v>
      </c>
      <c r="D805" s="2" t="str">
        <f>TEXT(Table1[[#This Row],[Order Date]],"mmmm")</f>
        <v>May</v>
      </c>
      <c r="E805" s="2" t="s">
        <v>135</v>
      </c>
      <c r="F805" s="2">
        <v>5</v>
      </c>
      <c r="G805" s="5">
        <v>0</v>
      </c>
      <c r="H805" s="2" t="s">
        <v>19</v>
      </c>
      <c r="I805" s="2" t="s">
        <v>26</v>
      </c>
      <c r="J805" s="2" t="s">
        <v>21</v>
      </c>
      <c r="K805">
        <f>VLOOKUP(E805,Products!$A$2:$E$23,5,0)</f>
        <v>220</v>
      </c>
      <c r="L805">
        <f>VLOOKUP(E805,Products!$A$2:$E$23,4,0)</f>
        <v>120</v>
      </c>
      <c r="M805" s="2">
        <f>K805*F805-Table1[[#This Row],[discount_amount]]</f>
        <v>1100</v>
      </c>
      <c r="N805">
        <f t="shared" si="25"/>
        <v>600</v>
      </c>
      <c r="O805">
        <f t="shared" si="24"/>
        <v>500</v>
      </c>
      <c r="P805">
        <f>Table1[[#This Row],[Quantity]]*Table1[[#This Row],[unit_price]]*Table1[[#This Row],[Discount]]</f>
        <v>0</v>
      </c>
      <c r="Q805" t="str">
        <f>VLOOKUP(E805,Products!$A$2:$E$23,2,0)</f>
        <v>Stapler</v>
      </c>
      <c r="R805" t="str">
        <f>VLOOKUP(Table1[[#This Row],[Product ID]],Products!$A$2:$E$23,3,0)</f>
        <v>Office Supplies</v>
      </c>
      <c r="S805" t="str">
        <f>VLOOKUP(C805,Customers!$A$2:$F$201,4,0)</f>
        <v>Maharashtra</v>
      </c>
      <c r="T805" t="str">
        <f>VLOOKUP(Table1[[#This Row],[Customer ID]],Customers!$A$2:$F$201,5,0)</f>
        <v>Central</v>
      </c>
      <c r="U805" t="str">
        <f>VLOOKUP(Table1[[#This Row],[Customer ID]],Customers!$A$2:$F$201,6,0)</f>
        <v>Corporate</v>
      </c>
      <c r="V805" t="str">
        <f>TEXT(Table1[[#This Row],[Order Date]],"MMM")</f>
        <v>May</v>
      </c>
      <c r="W805" t="str">
        <f>TEXT(Table1[[#This Row],[Order Date]],"yyyy")</f>
        <v>2025</v>
      </c>
    </row>
    <row r="806" spans="1:23" x14ac:dyDescent="0.25">
      <c r="A806" s="2" t="s">
        <v>1051</v>
      </c>
      <c r="B806" s="4">
        <v>45785</v>
      </c>
      <c r="C806" s="2" t="s">
        <v>381</v>
      </c>
      <c r="D806" s="2" t="str">
        <f>TEXT(Table1[[#This Row],[Order Date]],"mmmm")</f>
        <v>May</v>
      </c>
      <c r="E806" s="2" t="s">
        <v>82</v>
      </c>
      <c r="F806" s="2">
        <v>6</v>
      </c>
      <c r="G806" s="5">
        <v>0.1</v>
      </c>
      <c r="H806" s="2" t="s">
        <v>25</v>
      </c>
      <c r="I806" s="2" t="s">
        <v>38</v>
      </c>
      <c r="J806" s="2" t="s">
        <v>21</v>
      </c>
      <c r="K806">
        <f>VLOOKUP(E806,Products!$A$2:$E$23,5,0)</f>
        <v>1799</v>
      </c>
      <c r="L806">
        <f>VLOOKUP(E806,Products!$A$2:$E$23,4,0)</f>
        <v>1100</v>
      </c>
      <c r="M806" s="2">
        <f>K806*F806-Table1[[#This Row],[discount_amount]]</f>
        <v>9714.6</v>
      </c>
      <c r="N806">
        <f t="shared" si="25"/>
        <v>6600</v>
      </c>
      <c r="O806">
        <f t="shared" si="24"/>
        <v>3114.6000000000004</v>
      </c>
      <c r="P806">
        <f>Table1[[#This Row],[Quantity]]*Table1[[#This Row],[unit_price]]*Table1[[#This Row],[Discount]]</f>
        <v>1079.4000000000001</v>
      </c>
      <c r="Q806" t="str">
        <f>VLOOKUP(E806,Products!$A$2:$E$23,2,0)</f>
        <v>Webcam HD</v>
      </c>
      <c r="R806" t="str">
        <f>VLOOKUP(Table1[[#This Row],[Product ID]],Products!$A$2:$E$23,3,0)</f>
        <v>Electronics</v>
      </c>
      <c r="S806" t="str">
        <f>VLOOKUP(C806,Customers!$A$2:$F$201,4,0)</f>
        <v>Gujarat</v>
      </c>
      <c r="T806" t="str">
        <f>VLOOKUP(Table1[[#This Row],[Customer ID]],Customers!$A$2:$F$201,5,0)</f>
        <v>West</v>
      </c>
      <c r="U806" t="str">
        <f>VLOOKUP(Table1[[#This Row],[Customer ID]],Customers!$A$2:$F$201,6,0)</f>
        <v>Consumer</v>
      </c>
      <c r="V806" t="str">
        <f>TEXT(Table1[[#This Row],[Order Date]],"MMM")</f>
        <v>May</v>
      </c>
      <c r="W806" t="str">
        <f>TEXT(Table1[[#This Row],[Order Date]],"yyyy")</f>
        <v>2025</v>
      </c>
    </row>
    <row r="807" spans="1:23" x14ac:dyDescent="0.25">
      <c r="A807" s="2" t="s">
        <v>1052</v>
      </c>
      <c r="B807" s="4">
        <v>45785</v>
      </c>
      <c r="C807" s="2" t="s">
        <v>48</v>
      </c>
      <c r="D807" s="2" t="str">
        <f>TEXT(Table1[[#This Row],[Order Date]],"mmmm")</f>
        <v>May</v>
      </c>
      <c r="E807" s="2" t="s">
        <v>155</v>
      </c>
      <c r="F807" s="2">
        <v>5</v>
      </c>
      <c r="G807" s="5">
        <v>0.05</v>
      </c>
      <c r="H807" s="2" t="s">
        <v>30</v>
      </c>
      <c r="I807" s="2" t="s">
        <v>46</v>
      </c>
      <c r="J807" s="2" t="s">
        <v>21</v>
      </c>
      <c r="K807">
        <f>VLOOKUP(E807,Products!$A$2:$E$23,5,0)</f>
        <v>1599</v>
      </c>
      <c r="L807">
        <f>VLOOKUP(E807,Products!$A$2:$E$23,4,0)</f>
        <v>900</v>
      </c>
      <c r="M807" s="2">
        <f>K807*F807-Table1[[#This Row],[discount_amount]]</f>
        <v>7595.25</v>
      </c>
      <c r="N807">
        <f t="shared" si="25"/>
        <v>4500</v>
      </c>
      <c r="O807">
        <f t="shared" si="24"/>
        <v>3095.25</v>
      </c>
      <c r="P807">
        <f>Table1[[#This Row],[Quantity]]*Table1[[#This Row],[unit_price]]*Table1[[#This Row],[Discount]]</f>
        <v>399.75</v>
      </c>
      <c r="Q807" t="str">
        <f>VLOOKUP(E807,Products!$A$2:$E$23,2,0)</f>
        <v>Headphones</v>
      </c>
      <c r="R807" t="str">
        <f>VLOOKUP(Table1[[#This Row],[Product ID]],Products!$A$2:$E$23,3,0)</f>
        <v>Electronics</v>
      </c>
      <c r="S807" t="str">
        <f>VLOOKUP(C807,Customers!$A$2:$F$201,4,0)</f>
        <v>Maharashtra</v>
      </c>
      <c r="T807" t="str">
        <f>VLOOKUP(Table1[[#This Row],[Customer ID]],Customers!$A$2:$F$201,5,0)</f>
        <v>West</v>
      </c>
      <c r="U807" t="str">
        <f>VLOOKUP(Table1[[#This Row],[Customer ID]],Customers!$A$2:$F$201,6,0)</f>
        <v>Home Office</v>
      </c>
      <c r="V807" t="str">
        <f>TEXT(Table1[[#This Row],[Order Date]],"MMM")</f>
        <v>May</v>
      </c>
      <c r="W807" t="str">
        <f>TEXT(Table1[[#This Row],[Order Date]],"yyyy")</f>
        <v>2025</v>
      </c>
    </row>
    <row r="808" spans="1:23" x14ac:dyDescent="0.25">
      <c r="A808" s="2" t="s">
        <v>1053</v>
      </c>
      <c r="B808" s="4">
        <v>45786</v>
      </c>
      <c r="C808" s="2" t="s">
        <v>117</v>
      </c>
      <c r="D808" s="2" t="str">
        <f>TEXT(Table1[[#This Row],[Order Date]],"mmmm")</f>
        <v>May</v>
      </c>
      <c r="E808" s="2" t="s">
        <v>29</v>
      </c>
      <c r="F808" s="2">
        <v>2</v>
      </c>
      <c r="G808" s="5">
        <v>0</v>
      </c>
      <c r="H808" s="2" t="s">
        <v>19</v>
      </c>
      <c r="I808" s="2" t="s">
        <v>38</v>
      </c>
      <c r="J808" s="2" t="s">
        <v>21</v>
      </c>
      <c r="K808">
        <f>VLOOKUP(E808,Products!$A$2:$E$23,5,0)</f>
        <v>599</v>
      </c>
      <c r="L808">
        <f>VLOOKUP(E808,Products!$A$2:$E$23,4,0)</f>
        <v>350</v>
      </c>
      <c r="M808" s="2">
        <f>K808*F808-Table1[[#This Row],[discount_amount]]</f>
        <v>1198</v>
      </c>
      <c r="N808">
        <f t="shared" si="25"/>
        <v>700</v>
      </c>
      <c r="O808">
        <f t="shared" si="24"/>
        <v>498</v>
      </c>
      <c r="P808">
        <f>Table1[[#This Row],[Quantity]]*Table1[[#This Row],[unit_price]]*Table1[[#This Row],[Discount]]</f>
        <v>0</v>
      </c>
      <c r="Q808" t="str">
        <f>VLOOKUP(E808,Products!$A$2:$E$23,2,0)</f>
        <v>USB Flash Drive 64GB</v>
      </c>
      <c r="R808" t="str">
        <f>VLOOKUP(Table1[[#This Row],[Product ID]],Products!$A$2:$E$23,3,0)</f>
        <v>Electronics</v>
      </c>
      <c r="S808" t="str">
        <f>VLOOKUP(C808,Customers!$A$2:$F$201,4,0)</f>
        <v>Gujarat</v>
      </c>
      <c r="T808" t="str">
        <f>VLOOKUP(Table1[[#This Row],[Customer ID]],Customers!$A$2:$F$201,5,0)</f>
        <v>West</v>
      </c>
      <c r="U808" t="str">
        <f>VLOOKUP(Table1[[#This Row],[Customer ID]],Customers!$A$2:$F$201,6,0)</f>
        <v>Consumer</v>
      </c>
      <c r="V808" t="str">
        <f>TEXT(Table1[[#This Row],[Order Date]],"MMM")</f>
        <v>May</v>
      </c>
      <c r="W808" t="str">
        <f>TEXT(Table1[[#This Row],[Order Date]],"yyyy")</f>
        <v>2025</v>
      </c>
    </row>
    <row r="809" spans="1:23" x14ac:dyDescent="0.25">
      <c r="A809" s="2" t="s">
        <v>1054</v>
      </c>
      <c r="B809" s="4">
        <v>45786</v>
      </c>
      <c r="C809" s="2" t="s">
        <v>322</v>
      </c>
      <c r="D809" s="2" t="str">
        <f>TEXT(Table1[[#This Row],[Order Date]],"mmmm")</f>
        <v>May</v>
      </c>
      <c r="E809" s="2" t="s">
        <v>73</v>
      </c>
      <c r="F809" s="2">
        <v>6</v>
      </c>
      <c r="G809" s="5">
        <v>0</v>
      </c>
      <c r="H809" s="2" t="s">
        <v>25</v>
      </c>
      <c r="I809" s="2" t="s">
        <v>31</v>
      </c>
      <c r="J809" s="2" t="s">
        <v>21</v>
      </c>
      <c r="K809">
        <f>VLOOKUP(E809,Products!$A$2:$E$23,5,0)</f>
        <v>6499</v>
      </c>
      <c r="L809">
        <f>VLOOKUP(E809,Products!$A$2:$E$23,4,0)</f>
        <v>4200</v>
      </c>
      <c r="M809" s="2">
        <f>K809*F809-Table1[[#This Row],[discount_amount]]</f>
        <v>38994</v>
      </c>
      <c r="N809">
        <f t="shared" si="25"/>
        <v>25200</v>
      </c>
      <c r="O809">
        <f t="shared" si="24"/>
        <v>13794</v>
      </c>
      <c r="P809">
        <f>Table1[[#This Row],[Quantity]]*Table1[[#This Row],[unit_price]]*Table1[[#This Row],[Discount]]</f>
        <v>0</v>
      </c>
      <c r="Q809" t="str">
        <f>VLOOKUP(E809,Products!$A$2:$E$23,2,0)</f>
        <v>Study Table</v>
      </c>
      <c r="R809" t="str">
        <f>VLOOKUP(Table1[[#This Row],[Product ID]],Products!$A$2:$E$23,3,0)</f>
        <v>Furniture</v>
      </c>
      <c r="S809" t="str">
        <f>VLOOKUP(C809,Customers!$A$2:$F$201,4,0)</f>
        <v>Chandigarh</v>
      </c>
      <c r="T809" t="str">
        <f>VLOOKUP(Table1[[#This Row],[Customer ID]],Customers!$A$2:$F$201,5,0)</f>
        <v>North</v>
      </c>
      <c r="U809" t="str">
        <f>VLOOKUP(Table1[[#This Row],[Customer ID]],Customers!$A$2:$F$201,6,0)</f>
        <v>Consumer</v>
      </c>
      <c r="V809" t="str">
        <f>TEXT(Table1[[#This Row],[Order Date]],"MMM")</f>
        <v>May</v>
      </c>
      <c r="W809" t="str">
        <f>TEXT(Table1[[#This Row],[Order Date]],"yyyy")</f>
        <v>2025</v>
      </c>
    </row>
    <row r="810" spans="1:23" x14ac:dyDescent="0.25">
      <c r="A810" s="2" t="s">
        <v>1055</v>
      </c>
      <c r="B810" s="4">
        <v>45787</v>
      </c>
      <c r="C810" s="2" t="s">
        <v>333</v>
      </c>
      <c r="D810" s="2" t="str">
        <f>TEXT(Table1[[#This Row],[Order Date]],"mmmm")</f>
        <v>May</v>
      </c>
      <c r="E810" s="2" t="s">
        <v>18</v>
      </c>
      <c r="F810" s="2">
        <v>5</v>
      </c>
      <c r="G810" s="5">
        <v>0</v>
      </c>
      <c r="H810" s="2" t="s">
        <v>19</v>
      </c>
      <c r="I810" s="2" t="s">
        <v>20</v>
      </c>
      <c r="J810" s="2" t="s">
        <v>21</v>
      </c>
      <c r="K810">
        <f>VLOOKUP(E810,Products!$A$2:$E$23,5,0)</f>
        <v>4299</v>
      </c>
      <c r="L810">
        <f>VLOOKUP(E810,Products!$A$2:$E$23,4,0)</f>
        <v>2800</v>
      </c>
      <c r="M810" s="2">
        <f>K810*F810-Table1[[#This Row],[discount_amount]]</f>
        <v>21495</v>
      </c>
      <c r="N810">
        <f t="shared" si="25"/>
        <v>14000</v>
      </c>
      <c r="O810">
        <f t="shared" si="24"/>
        <v>7495</v>
      </c>
      <c r="P810">
        <f>Table1[[#This Row],[Quantity]]*Table1[[#This Row],[unit_price]]*Table1[[#This Row],[Discount]]</f>
        <v>0</v>
      </c>
      <c r="Q810" t="str">
        <f>VLOOKUP(E810,Products!$A$2:$E$23,2,0)</f>
        <v>Bookshelf</v>
      </c>
      <c r="R810" t="str">
        <f>VLOOKUP(Table1[[#This Row],[Product ID]],Products!$A$2:$E$23,3,0)</f>
        <v>Furniture</v>
      </c>
      <c r="S810" t="str">
        <f>VLOOKUP(C810,Customers!$A$2:$F$201,4,0)</f>
        <v>Rajasthan</v>
      </c>
      <c r="T810" t="str">
        <f>VLOOKUP(Table1[[#This Row],[Customer ID]],Customers!$A$2:$F$201,5,0)</f>
        <v>North</v>
      </c>
      <c r="U810" t="str">
        <f>VLOOKUP(Table1[[#This Row],[Customer ID]],Customers!$A$2:$F$201,6,0)</f>
        <v>Corporate</v>
      </c>
      <c r="V810" t="str">
        <f>TEXT(Table1[[#This Row],[Order Date]],"MMM")</f>
        <v>May</v>
      </c>
      <c r="W810" t="str">
        <f>TEXT(Table1[[#This Row],[Order Date]],"yyyy")</f>
        <v>2025</v>
      </c>
    </row>
    <row r="811" spans="1:23" x14ac:dyDescent="0.25">
      <c r="A811" s="2" t="s">
        <v>1056</v>
      </c>
      <c r="B811" s="4">
        <v>45788</v>
      </c>
      <c r="C811" s="2" t="s">
        <v>56</v>
      </c>
      <c r="D811" s="2" t="str">
        <f>TEXT(Table1[[#This Row],[Order Date]],"mmmm")</f>
        <v>May</v>
      </c>
      <c r="E811" s="2" t="s">
        <v>60</v>
      </c>
      <c r="F811" s="2">
        <v>2</v>
      </c>
      <c r="G811" s="5">
        <v>0.1</v>
      </c>
      <c r="H811" s="2" t="s">
        <v>19</v>
      </c>
      <c r="I811" s="2" t="s">
        <v>20</v>
      </c>
      <c r="J811" s="2" t="s">
        <v>21</v>
      </c>
      <c r="K811">
        <f>VLOOKUP(E811,Products!$A$2:$E$23,5,0)</f>
        <v>449</v>
      </c>
      <c r="L811">
        <f>VLOOKUP(E811,Products!$A$2:$E$23,4,0)</f>
        <v>260</v>
      </c>
      <c r="M811" s="2">
        <f>K811*F811-Table1[[#This Row],[discount_amount]]</f>
        <v>808.2</v>
      </c>
      <c r="N811">
        <f t="shared" si="25"/>
        <v>520</v>
      </c>
      <c r="O811">
        <f t="shared" si="24"/>
        <v>288.20000000000005</v>
      </c>
      <c r="P811">
        <f>Table1[[#This Row],[Quantity]]*Table1[[#This Row],[unit_price]]*Table1[[#This Row],[Discount]]</f>
        <v>89.800000000000011</v>
      </c>
      <c r="Q811" t="str">
        <f>VLOOKUP(E811,Products!$A$2:$E$23,2,0)</f>
        <v>Desk Organizer</v>
      </c>
      <c r="R811" t="str">
        <f>VLOOKUP(Table1[[#This Row],[Product ID]],Products!$A$2:$E$23,3,0)</f>
        <v>Office Supplies</v>
      </c>
      <c r="S811" t="str">
        <f>VLOOKUP(C811,Customers!$A$2:$F$201,4,0)</f>
        <v>Maharashtra</v>
      </c>
      <c r="T811" t="str">
        <f>VLOOKUP(Table1[[#This Row],[Customer ID]],Customers!$A$2:$F$201,5,0)</f>
        <v>West</v>
      </c>
      <c r="U811" t="str">
        <f>VLOOKUP(Table1[[#This Row],[Customer ID]],Customers!$A$2:$F$201,6,0)</f>
        <v>Consumer</v>
      </c>
      <c r="V811" t="str">
        <f>TEXT(Table1[[#This Row],[Order Date]],"MMM")</f>
        <v>May</v>
      </c>
      <c r="W811" t="str">
        <f>TEXT(Table1[[#This Row],[Order Date]],"yyyy")</f>
        <v>2025</v>
      </c>
    </row>
    <row r="812" spans="1:23" x14ac:dyDescent="0.25">
      <c r="A812" s="2" t="s">
        <v>1057</v>
      </c>
      <c r="B812" s="4">
        <v>45789</v>
      </c>
      <c r="C812" s="2" t="s">
        <v>162</v>
      </c>
      <c r="D812" s="2" t="str">
        <f>TEXT(Table1[[#This Row],[Order Date]],"mmmm")</f>
        <v>May</v>
      </c>
      <c r="E812" s="2" t="s">
        <v>111</v>
      </c>
      <c r="F812" s="2">
        <v>2</v>
      </c>
      <c r="G812" s="5">
        <v>0</v>
      </c>
      <c r="H812" s="2" t="s">
        <v>30</v>
      </c>
      <c r="I812" s="2" t="s">
        <v>20</v>
      </c>
      <c r="J812" s="2" t="s">
        <v>21</v>
      </c>
      <c r="K812">
        <f>VLOOKUP(E812,Products!$A$2:$E$23,5,0)</f>
        <v>240</v>
      </c>
      <c r="L812">
        <f>VLOOKUP(E812,Products!$A$2:$E$23,4,0)</f>
        <v>140</v>
      </c>
      <c r="M812" s="2">
        <f>K812*F812-Table1[[#This Row],[discount_amount]]</f>
        <v>480</v>
      </c>
      <c r="N812">
        <f t="shared" si="25"/>
        <v>280</v>
      </c>
      <c r="O812">
        <f t="shared" si="24"/>
        <v>200</v>
      </c>
      <c r="P812">
        <f>Table1[[#This Row],[Quantity]]*Table1[[#This Row],[unit_price]]*Table1[[#This Row],[Discount]]</f>
        <v>0</v>
      </c>
      <c r="Q812" t="str">
        <f>VLOOKUP(E812,Products!$A$2:$E$23,2,0)</f>
        <v>Whiteboard Marker Set</v>
      </c>
      <c r="R812" t="str">
        <f>VLOOKUP(Table1[[#This Row],[Product ID]],Products!$A$2:$E$23,3,0)</f>
        <v>Office Supplies</v>
      </c>
      <c r="S812" t="str">
        <f>VLOOKUP(C812,Customers!$A$2:$F$201,4,0)</f>
        <v>Gujarat</v>
      </c>
      <c r="T812" t="str">
        <f>VLOOKUP(Table1[[#This Row],[Customer ID]],Customers!$A$2:$F$201,5,0)</f>
        <v>West</v>
      </c>
      <c r="U812" t="str">
        <f>VLOOKUP(Table1[[#This Row],[Customer ID]],Customers!$A$2:$F$201,6,0)</f>
        <v>Home Office</v>
      </c>
      <c r="V812" t="str">
        <f>TEXT(Table1[[#This Row],[Order Date]],"MMM")</f>
        <v>May</v>
      </c>
      <c r="W812" t="str">
        <f>TEXT(Table1[[#This Row],[Order Date]],"yyyy")</f>
        <v>2025</v>
      </c>
    </row>
    <row r="813" spans="1:23" x14ac:dyDescent="0.25">
      <c r="A813" s="2" t="s">
        <v>1058</v>
      </c>
      <c r="B813" s="4">
        <v>45789</v>
      </c>
      <c r="C813" s="2" t="s">
        <v>439</v>
      </c>
      <c r="D813" s="2" t="str">
        <f>TEXT(Table1[[#This Row],[Order Date]],"mmmm")</f>
        <v>May</v>
      </c>
      <c r="E813" s="2" t="s">
        <v>45</v>
      </c>
      <c r="F813" s="2">
        <v>2</v>
      </c>
      <c r="G813" s="5">
        <v>0</v>
      </c>
      <c r="H813" s="2" t="s">
        <v>30</v>
      </c>
      <c r="I813" s="2" t="s">
        <v>26</v>
      </c>
      <c r="J813" s="2" t="s">
        <v>21</v>
      </c>
      <c r="K813">
        <f>VLOOKUP(E813,Products!$A$2:$E$23,5,0)</f>
        <v>899</v>
      </c>
      <c r="L813">
        <f>VLOOKUP(E813,Products!$A$2:$E$23,4,0)</f>
        <v>450</v>
      </c>
      <c r="M813" s="2">
        <f>K813*F813-Table1[[#This Row],[discount_amount]]</f>
        <v>1798</v>
      </c>
      <c r="N813">
        <f t="shared" si="25"/>
        <v>900</v>
      </c>
      <c r="O813">
        <f t="shared" si="24"/>
        <v>898</v>
      </c>
      <c r="P813">
        <f>Table1[[#This Row],[Quantity]]*Table1[[#This Row],[unit_price]]*Table1[[#This Row],[Discount]]</f>
        <v>0</v>
      </c>
      <c r="Q813" t="str">
        <f>VLOOKUP(E813,Products!$A$2:$E$23,2,0)</f>
        <v>Track Pants</v>
      </c>
      <c r="R813" t="str">
        <f>VLOOKUP(Table1[[#This Row],[Product ID]],Products!$A$2:$E$23,3,0)</f>
        <v>Clothing</v>
      </c>
      <c r="S813" t="str">
        <f>VLOOKUP(C813,Customers!$A$2:$F$201,4,0)</f>
        <v>Chandigarh</v>
      </c>
      <c r="T813" t="str">
        <f>VLOOKUP(Table1[[#This Row],[Customer ID]],Customers!$A$2:$F$201,5,0)</f>
        <v>North</v>
      </c>
      <c r="U813" t="str">
        <f>VLOOKUP(Table1[[#This Row],[Customer ID]],Customers!$A$2:$F$201,6,0)</f>
        <v>Corporate</v>
      </c>
      <c r="V813" t="str">
        <f>TEXT(Table1[[#This Row],[Order Date]],"MMM")</f>
        <v>May</v>
      </c>
      <c r="W813" t="str">
        <f>TEXT(Table1[[#This Row],[Order Date]],"yyyy")</f>
        <v>2025</v>
      </c>
    </row>
    <row r="814" spans="1:23" x14ac:dyDescent="0.25">
      <c r="A814" s="2" t="s">
        <v>1059</v>
      </c>
      <c r="B814" s="4">
        <v>45790</v>
      </c>
      <c r="C814" s="2" t="s">
        <v>896</v>
      </c>
      <c r="D814" s="2" t="str">
        <f>TEXT(Table1[[#This Row],[Order Date]],"mmmm")</f>
        <v>May</v>
      </c>
      <c r="E814" s="2" t="s">
        <v>37</v>
      </c>
      <c r="F814" s="2">
        <v>1</v>
      </c>
      <c r="G814" s="5">
        <v>0.1</v>
      </c>
      <c r="H814" s="2" t="s">
        <v>25</v>
      </c>
      <c r="I814" s="2" t="s">
        <v>20</v>
      </c>
      <c r="J814" s="2" t="s">
        <v>21</v>
      </c>
      <c r="K814">
        <f>VLOOKUP(E814,Products!$A$2:$E$23,5,0)</f>
        <v>1799</v>
      </c>
      <c r="L814">
        <f>VLOOKUP(E814,Products!$A$2:$E$23,4,0)</f>
        <v>900</v>
      </c>
      <c r="M814" s="2">
        <f>K814*F814-Table1[[#This Row],[discount_amount]]</f>
        <v>1619.1</v>
      </c>
      <c r="N814">
        <f t="shared" si="25"/>
        <v>900</v>
      </c>
      <c r="O814">
        <f t="shared" si="24"/>
        <v>719.09999999999991</v>
      </c>
      <c r="P814">
        <f>Table1[[#This Row],[Quantity]]*Table1[[#This Row],[unit_price]]*Table1[[#This Row],[Discount]]</f>
        <v>179.9</v>
      </c>
      <c r="Q814" t="str">
        <f>VLOOKUP(E814,Products!$A$2:$E$23,2,0)</f>
        <v>Denim Jeans</v>
      </c>
      <c r="R814" t="str">
        <f>VLOOKUP(Table1[[#This Row],[Product ID]],Products!$A$2:$E$23,3,0)</f>
        <v>Clothing</v>
      </c>
      <c r="S814" t="str">
        <f>VLOOKUP(C814,Customers!$A$2:$F$201,4,0)</f>
        <v>Maharashtra</v>
      </c>
      <c r="T814" t="str">
        <f>VLOOKUP(Table1[[#This Row],[Customer ID]],Customers!$A$2:$F$201,5,0)</f>
        <v>West</v>
      </c>
      <c r="U814" t="str">
        <f>VLOOKUP(Table1[[#This Row],[Customer ID]],Customers!$A$2:$F$201,6,0)</f>
        <v>Consumer</v>
      </c>
      <c r="V814" t="str">
        <f>TEXT(Table1[[#This Row],[Order Date]],"MMM")</f>
        <v>May</v>
      </c>
      <c r="W814" t="str">
        <f>TEXT(Table1[[#This Row],[Order Date]],"yyyy")</f>
        <v>2025</v>
      </c>
    </row>
    <row r="815" spans="1:23" x14ac:dyDescent="0.25">
      <c r="A815" s="2" t="s">
        <v>1060</v>
      </c>
      <c r="B815" s="4">
        <v>45791</v>
      </c>
      <c r="C815" s="2" t="s">
        <v>190</v>
      </c>
      <c r="D815" s="2" t="str">
        <f>TEXT(Table1[[#This Row],[Order Date]],"mmmm")</f>
        <v>May</v>
      </c>
      <c r="E815" s="2" t="s">
        <v>54</v>
      </c>
      <c r="F815" s="2">
        <v>3</v>
      </c>
      <c r="G815" s="5">
        <v>0.1</v>
      </c>
      <c r="H815" s="2" t="s">
        <v>19</v>
      </c>
      <c r="I815" s="2" t="s">
        <v>31</v>
      </c>
      <c r="J815" s="2" t="s">
        <v>21</v>
      </c>
      <c r="K815">
        <f>VLOOKUP(E815,Products!$A$2:$E$23,5,0)</f>
        <v>299</v>
      </c>
      <c r="L815">
        <f>VLOOKUP(E815,Products!$A$2:$E$23,4,0)</f>
        <v>180</v>
      </c>
      <c r="M815" s="2">
        <f>K815*F815-Table1[[#This Row],[discount_amount]]</f>
        <v>807.3</v>
      </c>
      <c r="N815">
        <f t="shared" si="25"/>
        <v>540</v>
      </c>
      <c r="O815">
        <f t="shared" si="24"/>
        <v>267.29999999999995</v>
      </c>
      <c r="P815">
        <f>Table1[[#This Row],[Quantity]]*Table1[[#This Row],[unit_price]]*Table1[[#This Row],[Discount]]</f>
        <v>89.7</v>
      </c>
      <c r="Q815" t="str">
        <f>VLOOKUP(E815,Products!$A$2:$E$23,2,0)</f>
        <v>Notebook Pack of 5</v>
      </c>
      <c r="R815" t="str">
        <f>VLOOKUP(Table1[[#This Row],[Product ID]],Products!$A$2:$E$23,3,0)</f>
        <v>Office Supplies</v>
      </c>
      <c r="S815" t="str">
        <f>VLOOKUP(C815,Customers!$A$2:$F$201,4,0)</f>
        <v>Odisha</v>
      </c>
      <c r="T815" t="str">
        <f>VLOOKUP(Table1[[#This Row],[Customer ID]],Customers!$A$2:$F$201,5,0)</f>
        <v>East</v>
      </c>
      <c r="U815" t="str">
        <f>VLOOKUP(Table1[[#This Row],[Customer ID]],Customers!$A$2:$F$201,6,0)</f>
        <v>Consumer</v>
      </c>
      <c r="V815" t="str">
        <f>TEXT(Table1[[#This Row],[Order Date]],"MMM")</f>
        <v>May</v>
      </c>
      <c r="W815" t="str">
        <f>TEXT(Table1[[#This Row],[Order Date]],"yyyy")</f>
        <v>2025</v>
      </c>
    </row>
    <row r="816" spans="1:23" x14ac:dyDescent="0.25">
      <c r="A816" s="2" t="s">
        <v>1061</v>
      </c>
      <c r="B816" s="4">
        <v>45793</v>
      </c>
      <c r="C816" s="2" t="s">
        <v>591</v>
      </c>
      <c r="D816" s="2" t="str">
        <f>TEXT(Table1[[#This Row],[Order Date]],"mmmm")</f>
        <v>May</v>
      </c>
      <c r="E816" s="2" t="s">
        <v>24</v>
      </c>
      <c r="F816" s="2">
        <v>10</v>
      </c>
      <c r="G816" s="5">
        <v>0</v>
      </c>
      <c r="H816" s="2" t="s">
        <v>19</v>
      </c>
      <c r="I816" s="2" t="s">
        <v>38</v>
      </c>
      <c r="J816" s="2" t="s">
        <v>21</v>
      </c>
      <c r="K816">
        <f>VLOOKUP(E816,Products!$A$2:$E$23,5,0)</f>
        <v>899</v>
      </c>
      <c r="L816">
        <f>VLOOKUP(E816,Products!$A$2:$E$23,4,0)</f>
        <v>500</v>
      </c>
      <c r="M816" s="2">
        <f>K816*F816-Table1[[#This Row],[discount_amount]]</f>
        <v>8990</v>
      </c>
      <c r="N816">
        <f t="shared" si="25"/>
        <v>5000</v>
      </c>
      <c r="O816">
        <f t="shared" si="24"/>
        <v>3990</v>
      </c>
      <c r="P816">
        <f>Table1[[#This Row],[Quantity]]*Table1[[#This Row],[unit_price]]*Table1[[#This Row],[Discount]]</f>
        <v>0</v>
      </c>
      <c r="Q816" t="str">
        <f>VLOOKUP(E816,Products!$A$2:$E$23,2,0)</f>
        <v>Monitor Stand</v>
      </c>
      <c r="R816" t="str">
        <f>VLOOKUP(Table1[[#This Row],[Product ID]],Products!$A$2:$E$23,3,0)</f>
        <v>Furniture</v>
      </c>
      <c r="S816" t="str">
        <f>VLOOKUP(C816,Customers!$A$2:$F$201,4,0)</f>
        <v>West Bengal</v>
      </c>
      <c r="T816" t="str">
        <f>VLOOKUP(Table1[[#This Row],[Customer ID]],Customers!$A$2:$F$201,5,0)</f>
        <v>East</v>
      </c>
      <c r="U816" t="str">
        <f>VLOOKUP(Table1[[#This Row],[Customer ID]],Customers!$A$2:$F$201,6,0)</f>
        <v>Corporate</v>
      </c>
      <c r="V816" t="str">
        <f>TEXT(Table1[[#This Row],[Order Date]],"MMM")</f>
        <v>May</v>
      </c>
      <c r="W816" t="str">
        <f>TEXT(Table1[[#This Row],[Order Date]],"yyyy")</f>
        <v>2025</v>
      </c>
    </row>
    <row r="817" spans="1:23" x14ac:dyDescent="0.25">
      <c r="A817" s="2" t="s">
        <v>1062</v>
      </c>
      <c r="B817" s="4">
        <v>45793</v>
      </c>
      <c r="C817" s="2" t="s">
        <v>719</v>
      </c>
      <c r="D817" s="2" t="str">
        <f>TEXT(Table1[[#This Row],[Order Date]],"mmmm")</f>
        <v>May</v>
      </c>
      <c r="E817" s="2" t="s">
        <v>118</v>
      </c>
      <c r="F817" s="2">
        <v>4</v>
      </c>
      <c r="G817" s="5">
        <v>0.15</v>
      </c>
      <c r="H817" s="2" t="s">
        <v>30</v>
      </c>
      <c r="I817" s="2" t="s">
        <v>38</v>
      </c>
      <c r="J817" s="2" t="s">
        <v>21</v>
      </c>
      <c r="K817">
        <f>VLOOKUP(E817,Products!$A$2:$E$23,5,0)</f>
        <v>150</v>
      </c>
      <c r="L817">
        <f>VLOOKUP(E817,Products!$A$2:$E$23,4,0)</f>
        <v>90</v>
      </c>
      <c r="M817" s="2">
        <f>K817*F817-Table1[[#This Row],[discount_amount]]</f>
        <v>510</v>
      </c>
      <c r="N817">
        <f t="shared" si="25"/>
        <v>360</v>
      </c>
      <c r="O817">
        <f t="shared" si="24"/>
        <v>150</v>
      </c>
      <c r="P817">
        <f>Table1[[#This Row],[Quantity]]*Table1[[#This Row],[unit_price]]*Table1[[#This Row],[Discount]]</f>
        <v>90</v>
      </c>
      <c r="Q817" t="str">
        <f>VLOOKUP(E817,Products!$A$2:$E$23,2,0)</f>
        <v>Gel Pen Box</v>
      </c>
      <c r="R817" t="str">
        <f>VLOOKUP(Table1[[#This Row],[Product ID]],Products!$A$2:$E$23,3,0)</f>
        <v>Office Supplies</v>
      </c>
      <c r="S817" t="str">
        <f>VLOOKUP(C817,Customers!$A$2:$F$201,4,0)</f>
        <v>Gujarat</v>
      </c>
      <c r="T817" t="str">
        <f>VLOOKUP(Table1[[#This Row],[Customer ID]],Customers!$A$2:$F$201,5,0)</f>
        <v>West</v>
      </c>
      <c r="U817" t="str">
        <f>VLOOKUP(Table1[[#This Row],[Customer ID]],Customers!$A$2:$F$201,6,0)</f>
        <v>Corporate</v>
      </c>
      <c r="V817" t="str">
        <f>TEXT(Table1[[#This Row],[Order Date]],"MMM")</f>
        <v>May</v>
      </c>
      <c r="W817" t="str">
        <f>TEXT(Table1[[#This Row],[Order Date]],"yyyy")</f>
        <v>2025</v>
      </c>
    </row>
    <row r="818" spans="1:23" x14ac:dyDescent="0.25">
      <c r="A818" s="2" t="s">
        <v>1063</v>
      </c>
      <c r="B818" s="4">
        <v>45794</v>
      </c>
      <c r="C818" s="2" t="s">
        <v>425</v>
      </c>
      <c r="D818" s="2" t="str">
        <f>TEXT(Table1[[#This Row],[Order Date]],"mmmm")</f>
        <v>May</v>
      </c>
      <c r="E818" s="2" t="s">
        <v>82</v>
      </c>
      <c r="F818" s="2">
        <v>3</v>
      </c>
      <c r="G818" s="5">
        <v>0.15</v>
      </c>
      <c r="H818" s="2" t="s">
        <v>19</v>
      </c>
      <c r="I818" s="2" t="s">
        <v>46</v>
      </c>
      <c r="J818" s="2" t="s">
        <v>21</v>
      </c>
      <c r="K818">
        <f>VLOOKUP(E818,Products!$A$2:$E$23,5,0)</f>
        <v>1799</v>
      </c>
      <c r="L818">
        <f>VLOOKUP(E818,Products!$A$2:$E$23,4,0)</f>
        <v>1100</v>
      </c>
      <c r="M818" s="2">
        <f>K818*F818-Table1[[#This Row],[discount_amount]]</f>
        <v>4587.45</v>
      </c>
      <c r="N818">
        <f t="shared" si="25"/>
        <v>3300</v>
      </c>
      <c r="O818">
        <f t="shared" si="24"/>
        <v>1287.4499999999998</v>
      </c>
      <c r="P818">
        <f>Table1[[#This Row],[Quantity]]*Table1[[#This Row],[unit_price]]*Table1[[#This Row],[Discount]]</f>
        <v>809.55</v>
      </c>
      <c r="Q818" t="str">
        <f>VLOOKUP(E818,Products!$A$2:$E$23,2,0)</f>
        <v>Webcam HD</v>
      </c>
      <c r="R818" t="str">
        <f>VLOOKUP(Table1[[#This Row],[Product ID]],Products!$A$2:$E$23,3,0)</f>
        <v>Electronics</v>
      </c>
      <c r="S818" t="str">
        <f>VLOOKUP(C818,Customers!$A$2:$F$201,4,0)</f>
        <v>Chandigarh</v>
      </c>
      <c r="T818" t="str">
        <f>VLOOKUP(Table1[[#This Row],[Customer ID]],Customers!$A$2:$F$201,5,0)</f>
        <v>North</v>
      </c>
      <c r="U818" t="str">
        <f>VLOOKUP(Table1[[#This Row],[Customer ID]],Customers!$A$2:$F$201,6,0)</f>
        <v>Corporate</v>
      </c>
      <c r="V818" t="str">
        <f>TEXT(Table1[[#This Row],[Order Date]],"MMM")</f>
        <v>May</v>
      </c>
      <c r="W818" t="str">
        <f>TEXT(Table1[[#This Row],[Order Date]],"yyyy")</f>
        <v>2025</v>
      </c>
    </row>
    <row r="819" spans="1:23" x14ac:dyDescent="0.25">
      <c r="A819" s="2" t="s">
        <v>1064</v>
      </c>
      <c r="B819" s="4">
        <v>45794</v>
      </c>
      <c r="C819" s="2" t="s">
        <v>36</v>
      </c>
      <c r="D819" s="2" t="str">
        <f>TEXT(Table1[[#This Row],[Order Date]],"mmmm")</f>
        <v>May</v>
      </c>
      <c r="E819" s="2" t="s">
        <v>34</v>
      </c>
      <c r="F819" s="2">
        <v>5</v>
      </c>
      <c r="G819" s="5">
        <v>0.05</v>
      </c>
      <c r="H819" s="2" t="s">
        <v>25</v>
      </c>
      <c r="I819" s="2" t="s">
        <v>20</v>
      </c>
      <c r="J819" s="2" t="s">
        <v>21</v>
      </c>
      <c r="K819">
        <f>VLOOKUP(E819,Products!$A$2:$E$23,5,0)</f>
        <v>4599</v>
      </c>
      <c r="L819">
        <f>VLOOKUP(E819,Products!$A$2:$E$23,4,0)</f>
        <v>3000</v>
      </c>
      <c r="M819" s="2">
        <f>K819*F819-Table1[[#This Row],[discount_amount]]</f>
        <v>21845.25</v>
      </c>
      <c r="N819">
        <f t="shared" si="25"/>
        <v>15000</v>
      </c>
      <c r="O819">
        <f t="shared" si="24"/>
        <v>6845.25</v>
      </c>
      <c r="P819">
        <f>Table1[[#This Row],[Quantity]]*Table1[[#This Row],[unit_price]]*Table1[[#This Row],[Discount]]</f>
        <v>1149.75</v>
      </c>
      <c r="Q819" t="str">
        <f>VLOOKUP(E819,Products!$A$2:$E$23,2,0)</f>
        <v>Filing Cabinet</v>
      </c>
      <c r="R819" t="str">
        <f>VLOOKUP(Table1[[#This Row],[Product ID]],Products!$A$2:$E$23,3,0)</f>
        <v>Furniture</v>
      </c>
      <c r="S819" t="str">
        <f>VLOOKUP(C819,Customers!$A$2:$F$201,4,0)</f>
        <v>Gujarat</v>
      </c>
      <c r="T819" t="str">
        <f>VLOOKUP(Table1[[#This Row],[Customer ID]],Customers!$A$2:$F$201,5,0)</f>
        <v>West</v>
      </c>
      <c r="U819" t="str">
        <f>VLOOKUP(Table1[[#This Row],[Customer ID]],Customers!$A$2:$F$201,6,0)</f>
        <v>Consumer</v>
      </c>
      <c r="V819" t="str">
        <f>TEXT(Table1[[#This Row],[Order Date]],"MMM")</f>
        <v>May</v>
      </c>
      <c r="W819" t="str">
        <f>TEXT(Table1[[#This Row],[Order Date]],"yyyy")</f>
        <v>2025</v>
      </c>
    </row>
    <row r="820" spans="1:23" x14ac:dyDescent="0.25">
      <c r="A820" s="2" t="s">
        <v>1065</v>
      </c>
      <c r="B820" s="4">
        <v>45795</v>
      </c>
      <c r="C820" s="2" t="s">
        <v>629</v>
      </c>
      <c r="D820" s="2" t="str">
        <f>TEXT(Table1[[#This Row],[Order Date]],"mmmm")</f>
        <v>May</v>
      </c>
      <c r="E820" s="2" t="s">
        <v>45</v>
      </c>
      <c r="F820" s="2">
        <v>10</v>
      </c>
      <c r="G820" s="5">
        <v>0.05</v>
      </c>
      <c r="H820" s="2" t="s">
        <v>30</v>
      </c>
      <c r="I820" s="2" t="s">
        <v>31</v>
      </c>
      <c r="J820" s="2" t="s">
        <v>21</v>
      </c>
      <c r="K820">
        <f>VLOOKUP(E820,Products!$A$2:$E$23,5,0)</f>
        <v>899</v>
      </c>
      <c r="L820">
        <f>VLOOKUP(E820,Products!$A$2:$E$23,4,0)</f>
        <v>450</v>
      </c>
      <c r="M820" s="2">
        <f>K820*F820-Table1[[#This Row],[discount_amount]]</f>
        <v>8540.5</v>
      </c>
      <c r="N820">
        <f t="shared" si="25"/>
        <v>4500</v>
      </c>
      <c r="O820">
        <f t="shared" si="24"/>
        <v>4040.5</v>
      </c>
      <c r="P820">
        <f>Table1[[#This Row],[Quantity]]*Table1[[#This Row],[unit_price]]*Table1[[#This Row],[Discount]]</f>
        <v>449.5</v>
      </c>
      <c r="Q820" t="str">
        <f>VLOOKUP(E820,Products!$A$2:$E$23,2,0)</f>
        <v>Track Pants</v>
      </c>
      <c r="R820" t="str">
        <f>VLOOKUP(Table1[[#This Row],[Product ID]],Products!$A$2:$E$23,3,0)</f>
        <v>Clothing</v>
      </c>
      <c r="S820" t="str">
        <f>VLOOKUP(C820,Customers!$A$2:$F$201,4,0)</f>
        <v>West Bengal</v>
      </c>
      <c r="T820" t="str">
        <f>VLOOKUP(Table1[[#This Row],[Customer ID]],Customers!$A$2:$F$201,5,0)</f>
        <v>East</v>
      </c>
      <c r="U820" t="str">
        <f>VLOOKUP(Table1[[#This Row],[Customer ID]],Customers!$A$2:$F$201,6,0)</f>
        <v>Consumer</v>
      </c>
      <c r="V820" t="str">
        <f>TEXT(Table1[[#This Row],[Order Date]],"MMM")</f>
        <v>May</v>
      </c>
      <c r="W820" t="str">
        <f>TEXT(Table1[[#This Row],[Order Date]],"yyyy")</f>
        <v>2025</v>
      </c>
    </row>
    <row r="821" spans="1:23" x14ac:dyDescent="0.25">
      <c r="A821" s="2" t="s">
        <v>1066</v>
      </c>
      <c r="B821" s="4">
        <v>45795</v>
      </c>
      <c r="C821" s="2" t="s">
        <v>203</v>
      </c>
      <c r="D821" s="2" t="str">
        <f>TEXT(Table1[[#This Row],[Order Date]],"mmmm")</f>
        <v>May</v>
      </c>
      <c r="E821" s="2" t="s">
        <v>127</v>
      </c>
      <c r="F821" s="2">
        <v>3</v>
      </c>
      <c r="G821" s="5">
        <v>0.05</v>
      </c>
      <c r="H821" s="2" t="s">
        <v>25</v>
      </c>
      <c r="I821" s="2" t="s">
        <v>26</v>
      </c>
      <c r="J821" s="2" t="s">
        <v>42</v>
      </c>
      <c r="K821">
        <f>VLOOKUP(E821,Products!$A$2:$E$23,5,0)</f>
        <v>1999</v>
      </c>
      <c r="L821">
        <f>VLOOKUP(E821,Products!$A$2:$E$23,4,0)</f>
        <v>1200</v>
      </c>
      <c r="M821" s="2">
        <f>K821*F821-Table1[[#This Row],[discount_amount]]</f>
        <v>5697.15</v>
      </c>
      <c r="N821">
        <f t="shared" si="25"/>
        <v>3600</v>
      </c>
      <c r="O821">
        <f t="shared" si="24"/>
        <v>2097.1499999999996</v>
      </c>
      <c r="P821">
        <f>Table1[[#This Row],[Quantity]]*Table1[[#This Row],[unit_price]]*Table1[[#This Row],[Discount]]</f>
        <v>299.85000000000002</v>
      </c>
      <c r="Q821" t="str">
        <f>VLOOKUP(E821,Products!$A$2:$E$23,2,0)</f>
        <v>Bluetooth Speaker</v>
      </c>
      <c r="R821" t="str">
        <f>VLOOKUP(Table1[[#This Row],[Product ID]],Products!$A$2:$E$23,3,0)</f>
        <v>Electronics</v>
      </c>
      <c r="S821" t="str">
        <f>VLOOKUP(C821,Customers!$A$2:$F$201,4,0)</f>
        <v>Kerala</v>
      </c>
      <c r="T821" t="str">
        <f>VLOOKUP(Table1[[#This Row],[Customer ID]],Customers!$A$2:$F$201,5,0)</f>
        <v>South</v>
      </c>
      <c r="U821" t="str">
        <f>VLOOKUP(Table1[[#This Row],[Customer ID]],Customers!$A$2:$F$201,6,0)</f>
        <v>Corporate</v>
      </c>
      <c r="V821" t="str">
        <f>TEXT(Table1[[#This Row],[Order Date]],"MMM")</f>
        <v>May</v>
      </c>
      <c r="W821" t="str">
        <f>TEXT(Table1[[#This Row],[Order Date]],"yyyy")</f>
        <v>2025</v>
      </c>
    </row>
    <row r="822" spans="1:23" x14ac:dyDescent="0.25">
      <c r="A822" s="2" t="s">
        <v>1067</v>
      </c>
      <c r="B822" s="4">
        <v>45796</v>
      </c>
      <c r="C822" s="2" t="s">
        <v>33</v>
      </c>
      <c r="D822" s="2" t="str">
        <f>TEXT(Table1[[#This Row],[Order Date]],"mmmm")</f>
        <v>May</v>
      </c>
      <c r="E822" s="2" t="s">
        <v>34</v>
      </c>
      <c r="F822" s="2">
        <v>1</v>
      </c>
      <c r="G822" s="5">
        <v>0</v>
      </c>
      <c r="H822" s="2" t="s">
        <v>19</v>
      </c>
      <c r="I822" s="2" t="s">
        <v>26</v>
      </c>
      <c r="J822" s="2" t="s">
        <v>21</v>
      </c>
      <c r="K822">
        <f>VLOOKUP(E822,Products!$A$2:$E$23,5,0)</f>
        <v>4599</v>
      </c>
      <c r="L822">
        <f>VLOOKUP(E822,Products!$A$2:$E$23,4,0)</f>
        <v>3000</v>
      </c>
      <c r="M822" s="2">
        <f>K822*F822-Table1[[#This Row],[discount_amount]]</f>
        <v>4599</v>
      </c>
      <c r="N822">
        <f t="shared" si="25"/>
        <v>3000</v>
      </c>
      <c r="O822">
        <f t="shared" si="24"/>
        <v>1599</v>
      </c>
      <c r="P822">
        <f>Table1[[#This Row],[Quantity]]*Table1[[#This Row],[unit_price]]*Table1[[#This Row],[Discount]]</f>
        <v>0</v>
      </c>
      <c r="Q822" t="str">
        <f>VLOOKUP(E822,Products!$A$2:$E$23,2,0)</f>
        <v>Filing Cabinet</v>
      </c>
      <c r="R822" t="str">
        <f>VLOOKUP(Table1[[#This Row],[Product ID]],Products!$A$2:$E$23,3,0)</f>
        <v>Furniture</v>
      </c>
      <c r="S822" t="str">
        <f>VLOOKUP(C822,Customers!$A$2:$F$201,4,0)</f>
        <v>West Bengal</v>
      </c>
      <c r="T822" t="str">
        <f>VLOOKUP(Table1[[#This Row],[Customer ID]],Customers!$A$2:$F$201,5,0)</f>
        <v>East</v>
      </c>
      <c r="U822" t="str">
        <f>VLOOKUP(Table1[[#This Row],[Customer ID]],Customers!$A$2:$F$201,6,0)</f>
        <v>Consumer</v>
      </c>
      <c r="V822" t="str">
        <f>TEXT(Table1[[#This Row],[Order Date]],"MMM")</f>
        <v>May</v>
      </c>
      <c r="W822" t="str">
        <f>TEXT(Table1[[#This Row],[Order Date]],"yyyy")</f>
        <v>2025</v>
      </c>
    </row>
    <row r="823" spans="1:23" x14ac:dyDescent="0.25">
      <c r="A823" s="2" t="s">
        <v>1068</v>
      </c>
      <c r="B823" s="4">
        <v>45797</v>
      </c>
      <c r="C823" s="2" t="s">
        <v>439</v>
      </c>
      <c r="D823" s="2" t="str">
        <f>TEXT(Table1[[#This Row],[Order Date]],"mmmm")</f>
        <v>May</v>
      </c>
      <c r="E823" s="2" t="s">
        <v>91</v>
      </c>
      <c r="F823" s="2">
        <v>4</v>
      </c>
      <c r="G823" s="5">
        <v>0</v>
      </c>
      <c r="H823" s="2" t="s">
        <v>19</v>
      </c>
      <c r="I823" s="2" t="s">
        <v>20</v>
      </c>
      <c r="J823" s="2" t="s">
        <v>21</v>
      </c>
      <c r="K823">
        <f>VLOOKUP(E823,Products!$A$2:$E$23,5,0)</f>
        <v>1199</v>
      </c>
      <c r="L823">
        <f>VLOOKUP(E823,Products!$A$2:$E$23,4,0)</f>
        <v>600</v>
      </c>
      <c r="M823" s="2">
        <f>K823*F823-Table1[[#This Row],[discount_amount]]</f>
        <v>4796</v>
      </c>
      <c r="N823">
        <f t="shared" si="25"/>
        <v>2400</v>
      </c>
      <c r="O823">
        <f t="shared" si="24"/>
        <v>2396</v>
      </c>
      <c r="P823">
        <f>Table1[[#This Row],[Quantity]]*Table1[[#This Row],[unit_price]]*Table1[[#This Row],[Discount]]</f>
        <v>0</v>
      </c>
      <c r="Q823" t="str">
        <f>VLOOKUP(E823,Products!$A$2:$E$23,2,0)</f>
        <v>Formal Shirt</v>
      </c>
      <c r="R823" t="str">
        <f>VLOOKUP(Table1[[#This Row],[Product ID]],Products!$A$2:$E$23,3,0)</f>
        <v>Clothing</v>
      </c>
      <c r="S823" t="str">
        <f>VLOOKUP(C823,Customers!$A$2:$F$201,4,0)</f>
        <v>Chandigarh</v>
      </c>
      <c r="T823" t="str">
        <f>VLOOKUP(Table1[[#This Row],[Customer ID]],Customers!$A$2:$F$201,5,0)</f>
        <v>North</v>
      </c>
      <c r="U823" t="str">
        <f>VLOOKUP(Table1[[#This Row],[Customer ID]],Customers!$A$2:$F$201,6,0)</f>
        <v>Corporate</v>
      </c>
      <c r="V823" t="str">
        <f>TEXT(Table1[[#This Row],[Order Date]],"MMM")</f>
        <v>May</v>
      </c>
      <c r="W823" t="str">
        <f>TEXT(Table1[[#This Row],[Order Date]],"yyyy")</f>
        <v>2025</v>
      </c>
    </row>
    <row r="824" spans="1:23" x14ac:dyDescent="0.25">
      <c r="A824" s="2" t="s">
        <v>1069</v>
      </c>
      <c r="B824" s="4">
        <v>45797</v>
      </c>
      <c r="C824" s="2" t="s">
        <v>939</v>
      </c>
      <c r="D824" s="2" t="str">
        <f>TEXT(Table1[[#This Row],[Order Date]],"mmmm")</f>
        <v>May</v>
      </c>
      <c r="E824" s="2" t="s">
        <v>41</v>
      </c>
      <c r="F824" s="2">
        <v>2</v>
      </c>
      <c r="G824" s="5">
        <v>0</v>
      </c>
      <c r="H824" s="2" t="s">
        <v>25</v>
      </c>
      <c r="I824" s="2" t="s">
        <v>38</v>
      </c>
      <c r="J824" s="2" t="s">
        <v>21</v>
      </c>
      <c r="K824">
        <f>VLOOKUP(E824,Products!$A$2:$E$23,5,0)</f>
        <v>320</v>
      </c>
      <c r="L824">
        <f>VLOOKUP(E824,Products!$A$2:$E$23,4,0)</f>
        <v>220</v>
      </c>
      <c r="M824" s="2">
        <f>K824*F824-Table1[[#This Row],[discount_amount]]</f>
        <v>640</v>
      </c>
      <c r="N824">
        <f t="shared" si="25"/>
        <v>440</v>
      </c>
      <c r="O824">
        <f t="shared" si="24"/>
        <v>200</v>
      </c>
      <c r="P824">
        <f>Table1[[#This Row],[Quantity]]*Table1[[#This Row],[unit_price]]*Table1[[#This Row],[Discount]]</f>
        <v>0</v>
      </c>
      <c r="Q824" t="str">
        <f>VLOOKUP(E824,Products!$A$2:$E$23,2,0)</f>
        <v>A4 Paper Ream</v>
      </c>
      <c r="R824" t="str">
        <f>VLOOKUP(Table1[[#This Row],[Product ID]],Products!$A$2:$E$23,3,0)</f>
        <v>Office Supplies</v>
      </c>
      <c r="S824" t="str">
        <f>VLOOKUP(C824,Customers!$A$2:$F$201,4,0)</f>
        <v>Uttar Pradesh</v>
      </c>
      <c r="T824" t="str">
        <f>VLOOKUP(Table1[[#This Row],[Customer ID]],Customers!$A$2:$F$201,5,0)</f>
        <v>North</v>
      </c>
      <c r="U824" t="str">
        <f>VLOOKUP(Table1[[#This Row],[Customer ID]],Customers!$A$2:$F$201,6,0)</f>
        <v>Consumer</v>
      </c>
      <c r="V824" t="str">
        <f>TEXT(Table1[[#This Row],[Order Date]],"MMM")</f>
        <v>May</v>
      </c>
      <c r="W824" t="str">
        <f>TEXT(Table1[[#This Row],[Order Date]],"yyyy")</f>
        <v>2025</v>
      </c>
    </row>
    <row r="825" spans="1:23" x14ac:dyDescent="0.25">
      <c r="A825" s="2" t="s">
        <v>1070</v>
      </c>
      <c r="B825" s="4">
        <v>45799</v>
      </c>
      <c r="C825" s="2" t="s">
        <v>110</v>
      </c>
      <c r="D825" s="2" t="str">
        <f>TEXT(Table1[[#This Row],[Order Date]],"mmmm")</f>
        <v>May</v>
      </c>
      <c r="E825" s="2" t="s">
        <v>29</v>
      </c>
      <c r="F825" s="2">
        <v>1</v>
      </c>
      <c r="G825" s="5">
        <v>0</v>
      </c>
      <c r="H825" s="2" t="s">
        <v>19</v>
      </c>
      <c r="I825" s="2" t="s">
        <v>38</v>
      </c>
      <c r="J825" s="2" t="s">
        <v>21</v>
      </c>
      <c r="K825">
        <f>VLOOKUP(E825,Products!$A$2:$E$23,5,0)</f>
        <v>599</v>
      </c>
      <c r="L825">
        <f>VLOOKUP(E825,Products!$A$2:$E$23,4,0)</f>
        <v>350</v>
      </c>
      <c r="M825" s="2">
        <f>K825*F825-Table1[[#This Row],[discount_amount]]</f>
        <v>599</v>
      </c>
      <c r="N825">
        <f t="shared" si="25"/>
        <v>350</v>
      </c>
      <c r="O825">
        <f t="shared" si="24"/>
        <v>249</v>
      </c>
      <c r="P825">
        <f>Table1[[#This Row],[Quantity]]*Table1[[#This Row],[unit_price]]*Table1[[#This Row],[Discount]]</f>
        <v>0</v>
      </c>
      <c r="Q825" t="str">
        <f>VLOOKUP(E825,Products!$A$2:$E$23,2,0)</f>
        <v>USB Flash Drive 64GB</v>
      </c>
      <c r="R825" t="str">
        <f>VLOOKUP(Table1[[#This Row],[Product ID]],Products!$A$2:$E$23,3,0)</f>
        <v>Electronics</v>
      </c>
      <c r="S825" t="str">
        <f>VLOOKUP(C825,Customers!$A$2:$F$201,4,0)</f>
        <v>Gujarat</v>
      </c>
      <c r="T825" t="str">
        <f>VLOOKUP(Table1[[#This Row],[Customer ID]],Customers!$A$2:$F$201,5,0)</f>
        <v>West</v>
      </c>
      <c r="U825" t="str">
        <f>VLOOKUP(Table1[[#This Row],[Customer ID]],Customers!$A$2:$F$201,6,0)</f>
        <v>Corporate</v>
      </c>
      <c r="V825" t="str">
        <f>TEXT(Table1[[#This Row],[Order Date]],"MMM")</f>
        <v>May</v>
      </c>
      <c r="W825" t="str">
        <f>TEXT(Table1[[#This Row],[Order Date]],"yyyy")</f>
        <v>2025</v>
      </c>
    </row>
    <row r="826" spans="1:23" x14ac:dyDescent="0.25">
      <c r="A826" s="2" t="s">
        <v>1071</v>
      </c>
      <c r="B826" s="4">
        <v>45799</v>
      </c>
      <c r="C826" s="2" t="s">
        <v>248</v>
      </c>
      <c r="D826" s="2" t="str">
        <f>TEXT(Table1[[#This Row],[Order Date]],"mmmm")</f>
        <v>May</v>
      </c>
      <c r="E826" s="2" t="s">
        <v>54</v>
      </c>
      <c r="F826" s="2">
        <v>5</v>
      </c>
      <c r="G826" s="5">
        <v>0.05</v>
      </c>
      <c r="H826" s="2" t="s">
        <v>19</v>
      </c>
      <c r="I826" s="2" t="s">
        <v>38</v>
      </c>
      <c r="J826" s="2" t="s">
        <v>79</v>
      </c>
      <c r="K826">
        <f>VLOOKUP(E826,Products!$A$2:$E$23,5,0)</f>
        <v>299</v>
      </c>
      <c r="L826">
        <f>VLOOKUP(E826,Products!$A$2:$E$23,4,0)</f>
        <v>180</v>
      </c>
      <c r="M826" s="2">
        <f>K826*F826-Table1[[#This Row],[discount_amount]]</f>
        <v>1420.25</v>
      </c>
      <c r="N826">
        <f t="shared" si="25"/>
        <v>900</v>
      </c>
      <c r="O826">
        <f t="shared" si="24"/>
        <v>520.25</v>
      </c>
      <c r="P826">
        <f>Table1[[#This Row],[Quantity]]*Table1[[#This Row],[unit_price]]*Table1[[#This Row],[Discount]]</f>
        <v>74.75</v>
      </c>
      <c r="Q826" t="str">
        <f>VLOOKUP(E826,Products!$A$2:$E$23,2,0)</f>
        <v>Notebook Pack of 5</v>
      </c>
      <c r="R826" t="str">
        <f>VLOOKUP(Table1[[#This Row],[Product ID]],Products!$A$2:$E$23,3,0)</f>
        <v>Office Supplies</v>
      </c>
      <c r="S826" t="str">
        <f>VLOOKUP(C826,Customers!$A$2:$F$201,4,0)</f>
        <v>West Bengal</v>
      </c>
      <c r="T826" t="str">
        <f>VLOOKUP(Table1[[#This Row],[Customer ID]],Customers!$A$2:$F$201,5,0)</f>
        <v>East</v>
      </c>
      <c r="U826" t="str">
        <f>VLOOKUP(Table1[[#This Row],[Customer ID]],Customers!$A$2:$F$201,6,0)</f>
        <v>Consumer</v>
      </c>
      <c r="V826" t="str">
        <f>TEXT(Table1[[#This Row],[Order Date]],"MMM")</f>
        <v>May</v>
      </c>
      <c r="W826" t="str">
        <f>TEXT(Table1[[#This Row],[Order Date]],"yyyy")</f>
        <v>2025</v>
      </c>
    </row>
    <row r="827" spans="1:23" x14ac:dyDescent="0.25">
      <c r="A827" s="2" t="s">
        <v>1072</v>
      </c>
      <c r="B827" s="4">
        <v>45800</v>
      </c>
      <c r="C827" s="2" t="s">
        <v>428</v>
      </c>
      <c r="D827" s="2" t="str">
        <f>TEXT(Table1[[#This Row],[Order Date]],"mmmm")</f>
        <v>May</v>
      </c>
      <c r="E827" s="2" t="s">
        <v>111</v>
      </c>
      <c r="F827" s="2">
        <v>1</v>
      </c>
      <c r="G827" s="5">
        <v>0.2</v>
      </c>
      <c r="H827" s="2" t="s">
        <v>19</v>
      </c>
      <c r="I827" s="2" t="s">
        <v>26</v>
      </c>
      <c r="J827" s="2" t="s">
        <v>21</v>
      </c>
      <c r="K827">
        <f>VLOOKUP(E827,Products!$A$2:$E$23,5,0)</f>
        <v>240</v>
      </c>
      <c r="L827">
        <f>VLOOKUP(E827,Products!$A$2:$E$23,4,0)</f>
        <v>140</v>
      </c>
      <c r="M827" s="2">
        <f>K827*F827-Table1[[#This Row],[discount_amount]]</f>
        <v>192</v>
      </c>
      <c r="N827">
        <f t="shared" si="25"/>
        <v>140</v>
      </c>
      <c r="O827">
        <f t="shared" si="24"/>
        <v>52</v>
      </c>
      <c r="P827">
        <f>Table1[[#This Row],[Quantity]]*Table1[[#This Row],[unit_price]]*Table1[[#This Row],[Discount]]</f>
        <v>48</v>
      </c>
      <c r="Q827" t="str">
        <f>VLOOKUP(E827,Products!$A$2:$E$23,2,0)</f>
        <v>Whiteboard Marker Set</v>
      </c>
      <c r="R827" t="str">
        <f>VLOOKUP(Table1[[#This Row],[Product ID]],Products!$A$2:$E$23,3,0)</f>
        <v>Office Supplies</v>
      </c>
      <c r="S827" t="str">
        <f>VLOOKUP(C827,Customers!$A$2:$F$201,4,0)</f>
        <v>Madhya Pradesh</v>
      </c>
      <c r="T827" t="str">
        <f>VLOOKUP(Table1[[#This Row],[Customer ID]],Customers!$A$2:$F$201,5,0)</f>
        <v>Central</v>
      </c>
      <c r="U827" t="str">
        <f>VLOOKUP(Table1[[#This Row],[Customer ID]],Customers!$A$2:$F$201,6,0)</f>
        <v>Consumer</v>
      </c>
      <c r="V827" t="str">
        <f>TEXT(Table1[[#This Row],[Order Date]],"MMM")</f>
        <v>May</v>
      </c>
      <c r="W827" t="str">
        <f>TEXT(Table1[[#This Row],[Order Date]],"yyyy")</f>
        <v>2025</v>
      </c>
    </row>
    <row r="828" spans="1:23" x14ac:dyDescent="0.25">
      <c r="A828" s="2" t="s">
        <v>1073</v>
      </c>
      <c r="B828" s="4">
        <v>45801</v>
      </c>
      <c r="C828" s="2" t="s">
        <v>375</v>
      </c>
      <c r="D828" s="2" t="str">
        <f>TEXT(Table1[[#This Row],[Order Date]],"mmmm")</f>
        <v>May</v>
      </c>
      <c r="E828" s="2" t="s">
        <v>91</v>
      </c>
      <c r="F828" s="2">
        <v>6</v>
      </c>
      <c r="G828" s="5">
        <v>0</v>
      </c>
      <c r="H828" s="2" t="s">
        <v>19</v>
      </c>
      <c r="I828" s="2" t="s">
        <v>20</v>
      </c>
      <c r="J828" s="2" t="s">
        <v>21</v>
      </c>
      <c r="K828">
        <f>VLOOKUP(E828,Products!$A$2:$E$23,5,0)</f>
        <v>1199</v>
      </c>
      <c r="L828">
        <f>VLOOKUP(E828,Products!$A$2:$E$23,4,0)</f>
        <v>600</v>
      </c>
      <c r="M828" s="2">
        <f>K828*F828-Table1[[#This Row],[discount_amount]]</f>
        <v>7194</v>
      </c>
      <c r="N828">
        <f t="shared" si="25"/>
        <v>3600</v>
      </c>
      <c r="O828">
        <f t="shared" si="24"/>
        <v>3594</v>
      </c>
      <c r="P828">
        <f>Table1[[#This Row],[Quantity]]*Table1[[#This Row],[unit_price]]*Table1[[#This Row],[Discount]]</f>
        <v>0</v>
      </c>
      <c r="Q828" t="str">
        <f>VLOOKUP(E828,Products!$A$2:$E$23,2,0)</f>
        <v>Formal Shirt</v>
      </c>
      <c r="R828" t="str">
        <f>VLOOKUP(Table1[[#This Row],[Product ID]],Products!$A$2:$E$23,3,0)</f>
        <v>Clothing</v>
      </c>
      <c r="S828" t="str">
        <f>VLOOKUP(C828,Customers!$A$2:$F$201,4,0)</f>
        <v>Madhya Pradesh</v>
      </c>
      <c r="T828" t="str">
        <f>VLOOKUP(Table1[[#This Row],[Customer ID]],Customers!$A$2:$F$201,5,0)</f>
        <v>Central</v>
      </c>
      <c r="U828" t="str">
        <f>VLOOKUP(Table1[[#This Row],[Customer ID]],Customers!$A$2:$F$201,6,0)</f>
        <v>Corporate</v>
      </c>
      <c r="V828" t="str">
        <f>TEXT(Table1[[#This Row],[Order Date]],"MMM")</f>
        <v>May</v>
      </c>
      <c r="W828" t="str">
        <f>TEXT(Table1[[#This Row],[Order Date]],"yyyy")</f>
        <v>2025</v>
      </c>
    </row>
    <row r="829" spans="1:23" x14ac:dyDescent="0.25">
      <c r="A829" s="2" t="s">
        <v>1074</v>
      </c>
      <c r="B829" s="4">
        <v>45801</v>
      </c>
      <c r="C829" s="2" t="s">
        <v>53</v>
      </c>
      <c r="D829" s="2" t="str">
        <f>TEXT(Table1[[#This Row],[Order Date]],"mmmm")</f>
        <v>May</v>
      </c>
      <c r="E829" s="2" t="s">
        <v>60</v>
      </c>
      <c r="F829" s="2">
        <v>4</v>
      </c>
      <c r="G829" s="5">
        <v>0</v>
      </c>
      <c r="H829" s="2" t="s">
        <v>19</v>
      </c>
      <c r="I829" s="2" t="s">
        <v>46</v>
      </c>
      <c r="J829" s="2" t="s">
        <v>21</v>
      </c>
      <c r="K829">
        <f>VLOOKUP(E829,Products!$A$2:$E$23,5,0)</f>
        <v>449</v>
      </c>
      <c r="L829">
        <f>VLOOKUP(E829,Products!$A$2:$E$23,4,0)</f>
        <v>260</v>
      </c>
      <c r="M829" s="2">
        <f>K829*F829-Table1[[#This Row],[discount_amount]]</f>
        <v>1796</v>
      </c>
      <c r="N829">
        <f t="shared" si="25"/>
        <v>1040</v>
      </c>
      <c r="O829">
        <f t="shared" si="24"/>
        <v>756</v>
      </c>
      <c r="P829">
        <f>Table1[[#This Row],[Quantity]]*Table1[[#This Row],[unit_price]]*Table1[[#This Row],[Discount]]</f>
        <v>0</v>
      </c>
      <c r="Q829" t="str">
        <f>VLOOKUP(E829,Products!$A$2:$E$23,2,0)</f>
        <v>Desk Organizer</v>
      </c>
      <c r="R829" t="str">
        <f>VLOOKUP(Table1[[#This Row],[Product ID]],Products!$A$2:$E$23,3,0)</f>
        <v>Office Supplies</v>
      </c>
      <c r="S829" t="str">
        <f>VLOOKUP(C829,Customers!$A$2:$F$201,4,0)</f>
        <v>Madhya Pradesh</v>
      </c>
      <c r="T829" t="str">
        <f>VLOOKUP(Table1[[#This Row],[Customer ID]],Customers!$A$2:$F$201,5,0)</f>
        <v>Central</v>
      </c>
      <c r="U829" t="str">
        <f>VLOOKUP(Table1[[#This Row],[Customer ID]],Customers!$A$2:$F$201,6,0)</f>
        <v>Corporate</v>
      </c>
      <c r="V829" t="str">
        <f>TEXT(Table1[[#This Row],[Order Date]],"MMM")</f>
        <v>May</v>
      </c>
      <c r="W829" t="str">
        <f>TEXT(Table1[[#This Row],[Order Date]],"yyyy")</f>
        <v>2025</v>
      </c>
    </row>
    <row r="830" spans="1:23" x14ac:dyDescent="0.25">
      <c r="A830" s="2" t="s">
        <v>1075</v>
      </c>
      <c r="B830" s="4">
        <v>45802</v>
      </c>
      <c r="C830" s="2" t="s">
        <v>462</v>
      </c>
      <c r="D830" s="2" t="str">
        <f>TEXT(Table1[[#This Row],[Order Date]],"mmmm")</f>
        <v>May</v>
      </c>
      <c r="E830" s="2" t="s">
        <v>111</v>
      </c>
      <c r="F830" s="2">
        <v>1</v>
      </c>
      <c r="G830" s="5">
        <v>0.1</v>
      </c>
      <c r="H830" s="2" t="s">
        <v>19</v>
      </c>
      <c r="I830" s="2" t="s">
        <v>26</v>
      </c>
      <c r="J830" s="2" t="s">
        <v>21</v>
      </c>
      <c r="K830">
        <f>VLOOKUP(E830,Products!$A$2:$E$23,5,0)</f>
        <v>240</v>
      </c>
      <c r="L830">
        <f>VLOOKUP(E830,Products!$A$2:$E$23,4,0)</f>
        <v>140</v>
      </c>
      <c r="M830" s="2">
        <f>K830*F830-Table1[[#This Row],[discount_amount]]</f>
        <v>216</v>
      </c>
      <c r="N830">
        <f t="shared" si="25"/>
        <v>140</v>
      </c>
      <c r="O830">
        <f t="shared" si="24"/>
        <v>76</v>
      </c>
      <c r="P830">
        <f>Table1[[#This Row],[Quantity]]*Table1[[#This Row],[unit_price]]*Table1[[#This Row],[Discount]]</f>
        <v>24</v>
      </c>
      <c r="Q830" t="str">
        <f>VLOOKUP(E830,Products!$A$2:$E$23,2,0)</f>
        <v>Whiteboard Marker Set</v>
      </c>
      <c r="R830" t="str">
        <f>VLOOKUP(Table1[[#This Row],[Product ID]],Products!$A$2:$E$23,3,0)</f>
        <v>Office Supplies</v>
      </c>
      <c r="S830" t="str">
        <f>VLOOKUP(C830,Customers!$A$2:$F$201,4,0)</f>
        <v>Kerala</v>
      </c>
      <c r="T830" t="str">
        <f>VLOOKUP(Table1[[#This Row],[Customer ID]],Customers!$A$2:$F$201,5,0)</f>
        <v>South</v>
      </c>
      <c r="U830" t="str">
        <f>VLOOKUP(Table1[[#This Row],[Customer ID]],Customers!$A$2:$F$201,6,0)</f>
        <v>Consumer</v>
      </c>
      <c r="V830" t="str">
        <f>TEXT(Table1[[#This Row],[Order Date]],"MMM")</f>
        <v>May</v>
      </c>
      <c r="W830" t="str">
        <f>TEXT(Table1[[#This Row],[Order Date]],"yyyy")</f>
        <v>2025</v>
      </c>
    </row>
    <row r="831" spans="1:23" x14ac:dyDescent="0.25">
      <c r="A831" s="2" t="s">
        <v>1076</v>
      </c>
      <c r="B831" s="4">
        <v>45802</v>
      </c>
      <c r="C831" s="2" t="s">
        <v>171</v>
      </c>
      <c r="D831" s="2" t="str">
        <f>TEXT(Table1[[#This Row],[Order Date]],"mmmm")</f>
        <v>May</v>
      </c>
      <c r="E831" s="2" t="s">
        <v>127</v>
      </c>
      <c r="F831" s="2">
        <v>5</v>
      </c>
      <c r="G831" s="5">
        <v>0.1</v>
      </c>
      <c r="H831" s="2" t="s">
        <v>30</v>
      </c>
      <c r="I831" s="2" t="s">
        <v>31</v>
      </c>
      <c r="J831" s="2" t="s">
        <v>21</v>
      </c>
      <c r="K831">
        <f>VLOOKUP(E831,Products!$A$2:$E$23,5,0)</f>
        <v>1999</v>
      </c>
      <c r="L831">
        <f>VLOOKUP(E831,Products!$A$2:$E$23,4,0)</f>
        <v>1200</v>
      </c>
      <c r="M831" s="2">
        <f>K831*F831-Table1[[#This Row],[discount_amount]]</f>
        <v>8995.5</v>
      </c>
      <c r="N831">
        <f t="shared" si="25"/>
        <v>6000</v>
      </c>
      <c r="O831">
        <f t="shared" si="24"/>
        <v>2995.5</v>
      </c>
      <c r="P831">
        <f>Table1[[#This Row],[Quantity]]*Table1[[#This Row],[unit_price]]*Table1[[#This Row],[Discount]]</f>
        <v>999.5</v>
      </c>
      <c r="Q831" t="str">
        <f>VLOOKUP(E831,Products!$A$2:$E$23,2,0)</f>
        <v>Bluetooth Speaker</v>
      </c>
      <c r="R831" t="str">
        <f>VLOOKUP(Table1[[#This Row],[Product ID]],Products!$A$2:$E$23,3,0)</f>
        <v>Electronics</v>
      </c>
      <c r="S831" t="str">
        <f>VLOOKUP(C831,Customers!$A$2:$F$201,4,0)</f>
        <v>Delhi</v>
      </c>
      <c r="T831" t="str">
        <f>VLOOKUP(Table1[[#This Row],[Customer ID]],Customers!$A$2:$F$201,5,0)</f>
        <v>North</v>
      </c>
      <c r="U831" t="str">
        <f>VLOOKUP(Table1[[#This Row],[Customer ID]],Customers!$A$2:$F$201,6,0)</f>
        <v>Consumer</v>
      </c>
      <c r="V831" t="str">
        <f>TEXT(Table1[[#This Row],[Order Date]],"MMM")</f>
        <v>May</v>
      </c>
      <c r="W831" t="str">
        <f>TEXT(Table1[[#This Row],[Order Date]],"yyyy")</f>
        <v>2025</v>
      </c>
    </row>
    <row r="832" spans="1:23" x14ac:dyDescent="0.25">
      <c r="A832" s="2" t="s">
        <v>1077</v>
      </c>
      <c r="B832" s="4">
        <v>45803</v>
      </c>
      <c r="C832" s="2" t="s">
        <v>415</v>
      </c>
      <c r="D832" s="2" t="str">
        <f>TEXT(Table1[[#This Row],[Order Date]],"mmmm")</f>
        <v>May</v>
      </c>
      <c r="E832" s="2" t="s">
        <v>155</v>
      </c>
      <c r="F832" s="2">
        <v>4</v>
      </c>
      <c r="G832" s="5">
        <v>0</v>
      </c>
      <c r="H832" s="2" t="s">
        <v>25</v>
      </c>
      <c r="I832" s="2" t="s">
        <v>20</v>
      </c>
      <c r="J832" s="2" t="s">
        <v>21</v>
      </c>
      <c r="K832">
        <f>VLOOKUP(E832,Products!$A$2:$E$23,5,0)</f>
        <v>1599</v>
      </c>
      <c r="L832">
        <f>VLOOKUP(E832,Products!$A$2:$E$23,4,0)</f>
        <v>900</v>
      </c>
      <c r="M832" s="2">
        <f>K832*F832-Table1[[#This Row],[discount_amount]]</f>
        <v>6396</v>
      </c>
      <c r="N832">
        <f t="shared" si="25"/>
        <v>3600</v>
      </c>
      <c r="O832">
        <f t="shared" si="24"/>
        <v>2796</v>
      </c>
      <c r="P832">
        <f>Table1[[#This Row],[Quantity]]*Table1[[#This Row],[unit_price]]*Table1[[#This Row],[Discount]]</f>
        <v>0</v>
      </c>
      <c r="Q832" t="str">
        <f>VLOOKUP(E832,Products!$A$2:$E$23,2,0)</f>
        <v>Headphones</v>
      </c>
      <c r="R832" t="str">
        <f>VLOOKUP(Table1[[#This Row],[Product ID]],Products!$A$2:$E$23,3,0)</f>
        <v>Electronics</v>
      </c>
      <c r="S832" t="str">
        <f>VLOOKUP(C832,Customers!$A$2:$F$201,4,0)</f>
        <v>Tamil Nadu</v>
      </c>
      <c r="T832" t="str">
        <f>VLOOKUP(Table1[[#This Row],[Customer ID]],Customers!$A$2:$F$201,5,0)</f>
        <v>South</v>
      </c>
      <c r="U832" t="str">
        <f>VLOOKUP(Table1[[#This Row],[Customer ID]],Customers!$A$2:$F$201,6,0)</f>
        <v>Consumer</v>
      </c>
      <c r="V832" t="str">
        <f>TEXT(Table1[[#This Row],[Order Date]],"MMM")</f>
        <v>May</v>
      </c>
      <c r="W832" t="str">
        <f>TEXT(Table1[[#This Row],[Order Date]],"yyyy")</f>
        <v>2025</v>
      </c>
    </row>
    <row r="833" spans="1:23" x14ac:dyDescent="0.25">
      <c r="A833" s="2" t="s">
        <v>1078</v>
      </c>
      <c r="B833" s="4">
        <v>45804</v>
      </c>
      <c r="C833" s="2" t="s">
        <v>96</v>
      </c>
      <c r="D833" s="2" t="str">
        <f>TEXT(Table1[[#This Row],[Order Date]],"mmmm")</f>
        <v>May</v>
      </c>
      <c r="E833" s="2" t="s">
        <v>135</v>
      </c>
      <c r="F833" s="2">
        <v>4</v>
      </c>
      <c r="G833" s="5">
        <v>0.1</v>
      </c>
      <c r="H833" s="2" t="s">
        <v>19</v>
      </c>
      <c r="I833" s="2" t="s">
        <v>31</v>
      </c>
      <c r="J833" s="2" t="s">
        <v>21</v>
      </c>
      <c r="K833">
        <f>VLOOKUP(E833,Products!$A$2:$E$23,5,0)</f>
        <v>220</v>
      </c>
      <c r="L833">
        <f>VLOOKUP(E833,Products!$A$2:$E$23,4,0)</f>
        <v>120</v>
      </c>
      <c r="M833" s="2">
        <f>K833*F833-Table1[[#This Row],[discount_amount]]</f>
        <v>792</v>
      </c>
      <c r="N833">
        <f t="shared" si="25"/>
        <v>480</v>
      </c>
      <c r="O833">
        <f t="shared" si="24"/>
        <v>312</v>
      </c>
      <c r="P833">
        <f>Table1[[#This Row],[Quantity]]*Table1[[#This Row],[unit_price]]*Table1[[#This Row],[Discount]]</f>
        <v>88</v>
      </c>
      <c r="Q833" t="str">
        <f>VLOOKUP(E833,Products!$A$2:$E$23,2,0)</f>
        <v>Stapler</v>
      </c>
      <c r="R833" t="str">
        <f>VLOOKUP(Table1[[#This Row],[Product ID]],Products!$A$2:$E$23,3,0)</f>
        <v>Office Supplies</v>
      </c>
      <c r="S833" t="str">
        <f>VLOOKUP(C833,Customers!$A$2:$F$201,4,0)</f>
        <v>Odisha</v>
      </c>
      <c r="T833" t="str">
        <f>VLOOKUP(Table1[[#This Row],[Customer ID]],Customers!$A$2:$F$201,5,0)</f>
        <v>East</v>
      </c>
      <c r="U833" t="str">
        <f>VLOOKUP(Table1[[#This Row],[Customer ID]],Customers!$A$2:$F$201,6,0)</f>
        <v>Consumer</v>
      </c>
      <c r="V833" t="str">
        <f>TEXT(Table1[[#This Row],[Order Date]],"MMM")</f>
        <v>May</v>
      </c>
      <c r="W833" t="str">
        <f>TEXT(Table1[[#This Row],[Order Date]],"yyyy")</f>
        <v>2025</v>
      </c>
    </row>
    <row r="834" spans="1:23" x14ac:dyDescent="0.25">
      <c r="A834" s="2" t="s">
        <v>1079</v>
      </c>
      <c r="B834" s="4">
        <v>45804</v>
      </c>
      <c r="C834" s="2" t="s">
        <v>301</v>
      </c>
      <c r="D834" s="2" t="str">
        <f>TEXT(Table1[[#This Row],[Order Date]],"mmmm")</f>
        <v>May</v>
      </c>
      <c r="E834" s="2" t="s">
        <v>34</v>
      </c>
      <c r="F834" s="2">
        <v>10</v>
      </c>
      <c r="G834" s="5">
        <v>0</v>
      </c>
      <c r="H834" s="2" t="s">
        <v>19</v>
      </c>
      <c r="I834" s="2" t="s">
        <v>31</v>
      </c>
      <c r="J834" s="2" t="s">
        <v>21</v>
      </c>
      <c r="K834">
        <f>VLOOKUP(E834,Products!$A$2:$E$23,5,0)</f>
        <v>4599</v>
      </c>
      <c r="L834">
        <f>VLOOKUP(E834,Products!$A$2:$E$23,4,0)</f>
        <v>3000</v>
      </c>
      <c r="M834" s="2">
        <f>K834*F834-Table1[[#This Row],[discount_amount]]</f>
        <v>45990</v>
      </c>
      <c r="N834">
        <f t="shared" si="25"/>
        <v>30000</v>
      </c>
      <c r="O834">
        <f t="shared" ref="O834:O897" si="26">M834-N834</f>
        <v>15990</v>
      </c>
      <c r="P834">
        <f>Table1[[#This Row],[Quantity]]*Table1[[#This Row],[unit_price]]*Table1[[#This Row],[Discount]]</f>
        <v>0</v>
      </c>
      <c r="Q834" t="str">
        <f>VLOOKUP(E834,Products!$A$2:$E$23,2,0)</f>
        <v>Filing Cabinet</v>
      </c>
      <c r="R834" t="str">
        <f>VLOOKUP(Table1[[#This Row],[Product ID]],Products!$A$2:$E$23,3,0)</f>
        <v>Furniture</v>
      </c>
      <c r="S834" t="str">
        <f>VLOOKUP(C834,Customers!$A$2:$F$201,4,0)</f>
        <v>Chandigarh</v>
      </c>
      <c r="T834" t="str">
        <f>VLOOKUP(Table1[[#This Row],[Customer ID]],Customers!$A$2:$F$201,5,0)</f>
        <v>North</v>
      </c>
      <c r="U834" t="str">
        <f>VLOOKUP(Table1[[#This Row],[Customer ID]],Customers!$A$2:$F$201,6,0)</f>
        <v>Home Office</v>
      </c>
      <c r="V834" t="str">
        <f>TEXT(Table1[[#This Row],[Order Date]],"MMM")</f>
        <v>May</v>
      </c>
      <c r="W834" t="str">
        <f>TEXT(Table1[[#This Row],[Order Date]],"yyyy")</f>
        <v>2025</v>
      </c>
    </row>
    <row r="835" spans="1:23" x14ac:dyDescent="0.25">
      <c r="A835" s="2" t="s">
        <v>1080</v>
      </c>
      <c r="B835" s="4">
        <v>45805</v>
      </c>
      <c r="C835" s="2" t="s">
        <v>100</v>
      </c>
      <c r="D835" s="2" t="str">
        <f>TEXT(Table1[[#This Row],[Order Date]],"mmmm")</f>
        <v>May</v>
      </c>
      <c r="E835" s="2" t="s">
        <v>60</v>
      </c>
      <c r="F835" s="2">
        <v>10</v>
      </c>
      <c r="G835" s="5">
        <v>0</v>
      </c>
      <c r="H835" s="2" t="s">
        <v>25</v>
      </c>
      <c r="I835" s="2" t="s">
        <v>31</v>
      </c>
      <c r="J835" s="2" t="s">
        <v>21</v>
      </c>
      <c r="K835">
        <f>VLOOKUP(E835,Products!$A$2:$E$23,5,0)</f>
        <v>449</v>
      </c>
      <c r="L835">
        <f>VLOOKUP(E835,Products!$A$2:$E$23,4,0)</f>
        <v>260</v>
      </c>
      <c r="M835" s="2">
        <f>K835*F835-Table1[[#This Row],[discount_amount]]</f>
        <v>4490</v>
      </c>
      <c r="N835">
        <f t="shared" ref="N835:N898" si="27">F835*L835</f>
        <v>2600</v>
      </c>
      <c r="O835">
        <f t="shared" si="26"/>
        <v>1890</v>
      </c>
      <c r="P835">
        <f>Table1[[#This Row],[Quantity]]*Table1[[#This Row],[unit_price]]*Table1[[#This Row],[Discount]]</f>
        <v>0</v>
      </c>
      <c r="Q835" t="str">
        <f>VLOOKUP(E835,Products!$A$2:$E$23,2,0)</f>
        <v>Desk Organizer</v>
      </c>
      <c r="R835" t="str">
        <f>VLOOKUP(Table1[[#This Row],[Product ID]],Products!$A$2:$E$23,3,0)</f>
        <v>Office Supplies</v>
      </c>
      <c r="S835" t="str">
        <f>VLOOKUP(C835,Customers!$A$2:$F$201,4,0)</f>
        <v>Delhi</v>
      </c>
      <c r="T835" t="str">
        <f>VLOOKUP(Table1[[#This Row],[Customer ID]],Customers!$A$2:$F$201,5,0)</f>
        <v>North</v>
      </c>
      <c r="U835" t="str">
        <f>VLOOKUP(Table1[[#This Row],[Customer ID]],Customers!$A$2:$F$201,6,0)</f>
        <v>Consumer</v>
      </c>
      <c r="V835" t="str">
        <f>TEXT(Table1[[#This Row],[Order Date]],"MMM")</f>
        <v>May</v>
      </c>
      <c r="W835" t="str">
        <f>TEXT(Table1[[#This Row],[Order Date]],"yyyy")</f>
        <v>2025</v>
      </c>
    </row>
    <row r="836" spans="1:23" x14ac:dyDescent="0.25">
      <c r="A836" s="2" t="s">
        <v>1081</v>
      </c>
      <c r="B836" s="4">
        <v>45805</v>
      </c>
      <c r="C836" s="2" t="s">
        <v>443</v>
      </c>
      <c r="D836" s="2" t="str">
        <f>TEXT(Table1[[#This Row],[Order Date]],"mmmm")</f>
        <v>May</v>
      </c>
      <c r="E836" s="2" t="s">
        <v>82</v>
      </c>
      <c r="F836" s="2">
        <v>6</v>
      </c>
      <c r="G836" s="5">
        <v>0</v>
      </c>
      <c r="H836" s="2" t="s">
        <v>25</v>
      </c>
      <c r="I836" s="2" t="s">
        <v>20</v>
      </c>
      <c r="J836" s="2" t="s">
        <v>94</v>
      </c>
      <c r="K836">
        <f>VLOOKUP(E836,Products!$A$2:$E$23,5,0)</f>
        <v>1799</v>
      </c>
      <c r="L836">
        <f>VLOOKUP(E836,Products!$A$2:$E$23,4,0)</f>
        <v>1100</v>
      </c>
      <c r="M836" s="2">
        <f>K836*F836-Table1[[#This Row],[discount_amount]]</f>
        <v>10794</v>
      </c>
      <c r="N836">
        <f t="shared" si="27"/>
        <v>6600</v>
      </c>
      <c r="O836">
        <f t="shared" si="26"/>
        <v>4194</v>
      </c>
      <c r="P836">
        <f>Table1[[#This Row],[Quantity]]*Table1[[#This Row],[unit_price]]*Table1[[#This Row],[Discount]]</f>
        <v>0</v>
      </c>
      <c r="Q836" t="str">
        <f>VLOOKUP(E836,Products!$A$2:$E$23,2,0)</f>
        <v>Webcam HD</v>
      </c>
      <c r="R836" t="str">
        <f>VLOOKUP(Table1[[#This Row],[Product ID]],Products!$A$2:$E$23,3,0)</f>
        <v>Electronics</v>
      </c>
      <c r="S836" t="str">
        <f>VLOOKUP(C836,Customers!$A$2:$F$201,4,0)</f>
        <v>Kerala</v>
      </c>
      <c r="T836" t="str">
        <f>VLOOKUP(Table1[[#This Row],[Customer ID]],Customers!$A$2:$F$201,5,0)</f>
        <v>South</v>
      </c>
      <c r="U836" t="str">
        <f>VLOOKUP(Table1[[#This Row],[Customer ID]],Customers!$A$2:$F$201,6,0)</f>
        <v>Consumer</v>
      </c>
      <c r="V836" t="str">
        <f>TEXT(Table1[[#This Row],[Order Date]],"MMM")</f>
        <v>May</v>
      </c>
      <c r="W836" t="str">
        <f>TEXT(Table1[[#This Row],[Order Date]],"yyyy")</f>
        <v>2025</v>
      </c>
    </row>
    <row r="837" spans="1:23" x14ac:dyDescent="0.25">
      <c r="A837" s="2" t="s">
        <v>1082</v>
      </c>
      <c r="B837" s="4">
        <v>45806</v>
      </c>
      <c r="C837" s="2" t="s">
        <v>44</v>
      </c>
      <c r="D837" s="2" t="str">
        <f>TEXT(Table1[[#This Row],[Order Date]],"mmmm")</f>
        <v>May</v>
      </c>
      <c r="E837" s="2" t="s">
        <v>18</v>
      </c>
      <c r="F837" s="2">
        <v>10</v>
      </c>
      <c r="G837" s="5">
        <v>0.1</v>
      </c>
      <c r="H837" s="2" t="s">
        <v>19</v>
      </c>
      <c r="I837" s="2" t="s">
        <v>31</v>
      </c>
      <c r="J837" s="2" t="s">
        <v>21</v>
      </c>
      <c r="K837">
        <f>VLOOKUP(E837,Products!$A$2:$E$23,5,0)</f>
        <v>4299</v>
      </c>
      <c r="L837">
        <f>VLOOKUP(E837,Products!$A$2:$E$23,4,0)</f>
        <v>2800</v>
      </c>
      <c r="M837" s="2">
        <f>K837*F837-Table1[[#This Row],[discount_amount]]</f>
        <v>38691</v>
      </c>
      <c r="N837">
        <f t="shared" si="27"/>
        <v>28000</v>
      </c>
      <c r="O837">
        <f t="shared" si="26"/>
        <v>10691</v>
      </c>
      <c r="P837">
        <f>Table1[[#This Row],[Quantity]]*Table1[[#This Row],[unit_price]]*Table1[[#This Row],[Discount]]</f>
        <v>4299</v>
      </c>
      <c r="Q837" t="str">
        <f>VLOOKUP(E837,Products!$A$2:$E$23,2,0)</f>
        <v>Bookshelf</v>
      </c>
      <c r="R837" t="str">
        <f>VLOOKUP(Table1[[#This Row],[Product ID]],Products!$A$2:$E$23,3,0)</f>
        <v>Furniture</v>
      </c>
      <c r="S837" t="str">
        <f>VLOOKUP(C837,Customers!$A$2:$F$201,4,0)</f>
        <v>Gujarat</v>
      </c>
      <c r="T837" t="str">
        <f>VLOOKUP(Table1[[#This Row],[Customer ID]],Customers!$A$2:$F$201,5,0)</f>
        <v>West</v>
      </c>
      <c r="U837" t="str">
        <f>VLOOKUP(Table1[[#This Row],[Customer ID]],Customers!$A$2:$F$201,6,0)</f>
        <v>Home Office</v>
      </c>
      <c r="V837" t="str">
        <f>TEXT(Table1[[#This Row],[Order Date]],"MMM")</f>
        <v>May</v>
      </c>
      <c r="W837" t="str">
        <f>TEXT(Table1[[#This Row],[Order Date]],"yyyy")</f>
        <v>2025</v>
      </c>
    </row>
    <row r="838" spans="1:23" x14ac:dyDescent="0.25">
      <c r="A838" s="2" t="s">
        <v>1083</v>
      </c>
      <c r="B838" s="4">
        <v>45806</v>
      </c>
      <c r="C838" s="2" t="s">
        <v>345</v>
      </c>
      <c r="D838" s="2" t="str">
        <f>TEXT(Table1[[#This Row],[Order Date]],"mmmm")</f>
        <v>May</v>
      </c>
      <c r="E838" s="2" t="s">
        <v>57</v>
      </c>
      <c r="F838" s="2">
        <v>10</v>
      </c>
      <c r="G838" s="5">
        <v>0</v>
      </c>
      <c r="H838" s="2" t="s">
        <v>30</v>
      </c>
      <c r="I838" s="2" t="s">
        <v>46</v>
      </c>
      <c r="J838" s="2" t="s">
        <v>21</v>
      </c>
      <c r="K838">
        <f>VLOOKUP(E838,Products!$A$2:$E$23,5,0)</f>
        <v>1599</v>
      </c>
      <c r="L838">
        <f>VLOOKUP(E838,Products!$A$2:$E$23,4,0)</f>
        <v>800</v>
      </c>
      <c r="M838" s="2">
        <f>K838*F838-Table1[[#This Row],[discount_amount]]</f>
        <v>15990</v>
      </c>
      <c r="N838">
        <f t="shared" si="27"/>
        <v>8000</v>
      </c>
      <c r="O838">
        <f t="shared" si="26"/>
        <v>7990</v>
      </c>
      <c r="P838">
        <f>Table1[[#This Row],[Quantity]]*Table1[[#This Row],[unit_price]]*Table1[[#This Row],[Discount]]</f>
        <v>0</v>
      </c>
      <c r="Q838" t="str">
        <f>VLOOKUP(E838,Products!$A$2:$E$23,2,0)</f>
        <v>Hoodie</v>
      </c>
      <c r="R838" t="str">
        <f>VLOOKUP(Table1[[#This Row],[Product ID]],Products!$A$2:$E$23,3,0)</f>
        <v>Clothing</v>
      </c>
      <c r="S838" t="str">
        <f>VLOOKUP(C838,Customers!$A$2:$F$201,4,0)</f>
        <v>Gujarat</v>
      </c>
      <c r="T838" t="str">
        <f>VLOOKUP(Table1[[#This Row],[Customer ID]],Customers!$A$2:$F$201,5,0)</f>
        <v>West</v>
      </c>
      <c r="U838" t="str">
        <f>VLOOKUP(Table1[[#This Row],[Customer ID]],Customers!$A$2:$F$201,6,0)</f>
        <v>Consumer</v>
      </c>
      <c r="V838" t="str">
        <f>TEXT(Table1[[#This Row],[Order Date]],"MMM")</f>
        <v>May</v>
      </c>
      <c r="W838" t="str">
        <f>TEXT(Table1[[#This Row],[Order Date]],"yyyy")</f>
        <v>2025</v>
      </c>
    </row>
    <row r="839" spans="1:23" x14ac:dyDescent="0.25">
      <c r="A839" s="2" t="s">
        <v>1084</v>
      </c>
      <c r="B839" s="4">
        <v>45806</v>
      </c>
      <c r="C839" s="2" t="s">
        <v>53</v>
      </c>
      <c r="D839" s="2" t="str">
        <f>TEXT(Table1[[#This Row],[Order Date]],"mmmm")</f>
        <v>May</v>
      </c>
      <c r="E839" s="2" t="s">
        <v>45</v>
      </c>
      <c r="F839" s="2">
        <v>3</v>
      </c>
      <c r="G839" s="5">
        <v>0.1</v>
      </c>
      <c r="H839" s="2" t="s">
        <v>30</v>
      </c>
      <c r="I839" s="2" t="s">
        <v>46</v>
      </c>
      <c r="J839" s="2" t="s">
        <v>21</v>
      </c>
      <c r="K839">
        <f>VLOOKUP(E839,Products!$A$2:$E$23,5,0)</f>
        <v>899</v>
      </c>
      <c r="L839">
        <f>VLOOKUP(E839,Products!$A$2:$E$23,4,0)</f>
        <v>450</v>
      </c>
      <c r="M839" s="2">
        <f>K839*F839-Table1[[#This Row],[discount_amount]]</f>
        <v>2427.3000000000002</v>
      </c>
      <c r="N839">
        <f t="shared" si="27"/>
        <v>1350</v>
      </c>
      <c r="O839">
        <f t="shared" si="26"/>
        <v>1077.3000000000002</v>
      </c>
      <c r="P839">
        <f>Table1[[#This Row],[Quantity]]*Table1[[#This Row],[unit_price]]*Table1[[#This Row],[Discount]]</f>
        <v>269.7</v>
      </c>
      <c r="Q839" t="str">
        <f>VLOOKUP(E839,Products!$A$2:$E$23,2,0)</f>
        <v>Track Pants</v>
      </c>
      <c r="R839" t="str">
        <f>VLOOKUP(Table1[[#This Row],[Product ID]],Products!$A$2:$E$23,3,0)</f>
        <v>Clothing</v>
      </c>
      <c r="S839" t="str">
        <f>VLOOKUP(C839,Customers!$A$2:$F$201,4,0)</f>
        <v>Madhya Pradesh</v>
      </c>
      <c r="T839" t="str">
        <f>VLOOKUP(Table1[[#This Row],[Customer ID]],Customers!$A$2:$F$201,5,0)</f>
        <v>Central</v>
      </c>
      <c r="U839" t="str">
        <f>VLOOKUP(Table1[[#This Row],[Customer ID]],Customers!$A$2:$F$201,6,0)</f>
        <v>Corporate</v>
      </c>
      <c r="V839" t="str">
        <f>TEXT(Table1[[#This Row],[Order Date]],"MMM")</f>
        <v>May</v>
      </c>
      <c r="W839" t="str">
        <f>TEXT(Table1[[#This Row],[Order Date]],"yyyy")</f>
        <v>2025</v>
      </c>
    </row>
    <row r="840" spans="1:23" x14ac:dyDescent="0.25">
      <c r="A840" s="2" t="s">
        <v>1085</v>
      </c>
      <c r="B840" s="4">
        <v>45807</v>
      </c>
      <c r="C840" s="2" t="s">
        <v>272</v>
      </c>
      <c r="D840" s="2" t="str">
        <f>TEXT(Table1[[#This Row],[Order Date]],"mmmm")</f>
        <v>May</v>
      </c>
      <c r="E840" s="2" t="s">
        <v>135</v>
      </c>
      <c r="F840" s="2">
        <v>3</v>
      </c>
      <c r="G840" s="5">
        <v>0.05</v>
      </c>
      <c r="H840" s="2" t="s">
        <v>25</v>
      </c>
      <c r="I840" s="2" t="s">
        <v>46</v>
      </c>
      <c r="J840" s="2" t="s">
        <v>21</v>
      </c>
      <c r="K840">
        <f>VLOOKUP(E840,Products!$A$2:$E$23,5,0)</f>
        <v>220</v>
      </c>
      <c r="L840">
        <f>VLOOKUP(E840,Products!$A$2:$E$23,4,0)</f>
        <v>120</v>
      </c>
      <c r="M840" s="2">
        <f>K840*F840-Table1[[#This Row],[discount_amount]]</f>
        <v>627</v>
      </c>
      <c r="N840">
        <f t="shared" si="27"/>
        <v>360</v>
      </c>
      <c r="O840">
        <f t="shared" si="26"/>
        <v>267</v>
      </c>
      <c r="P840">
        <f>Table1[[#This Row],[Quantity]]*Table1[[#This Row],[unit_price]]*Table1[[#This Row],[Discount]]</f>
        <v>33</v>
      </c>
      <c r="Q840" t="str">
        <f>VLOOKUP(E840,Products!$A$2:$E$23,2,0)</f>
        <v>Stapler</v>
      </c>
      <c r="R840" t="str">
        <f>VLOOKUP(Table1[[#This Row],[Product ID]],Products!$A$2:$E$23,3,0)</f>
        <v>Office Supplies</v>
      </c>
      <c r="S840" t="str">
        <f>VLOOKUP(C840,Customers!$A$2:$F$201,4,0)</f>
        <v>Gujarat</v>
      </c>
      <c r="T840" t="str">
        <f>VLOOKUP(Table1[[#This Row],[Customer ID]],Customers!$A$2:$F$201,5,0)</f>
        <v>West</v>
      </c>
      <c r="U840" t="str">
        <f>VLOOKUP(Table1[[#This Row],[Customer ID]],Customers!$A$2:$F$201,6,0)</f>
        <v>Consumer</v>
      </c>
      <c r="V840" t="str">
        <f>TEXT(Table1[[#This Row],[Order Date]],"MMM")</f>
        <v>May</v>
      </c>
      <c r="W840" t="str">
        <f>TEXT(Table1[[#This Row],[Order Date]],"yyyy")</f>
        <v>2025</v>
      </c>
    </row>
    <row r="841" spans="1:23" x14ac:dyDescent="0.25">
      <c r="A841" s="2" t="s">
        <v>1086</v>
      </c>
      <c r="B841" s="4">
        <v>45808</v>
      </c>
      <c r="C841" s="2" t="s">
        <v>221</v>
      </c>
      <c r="D841" s="2" t="str">
        <f>TEXT(Table1[[#This Row],[Order Date]],"mmmm")</f>
        <v>May</v>
      </c>
      <c r="E841" s="2" t="s">
        <v>118</v>
      </c>
      <c r="F841" s="2">
        <v>1</v>
      </c>
      <c r="G841" s="5">
        <v>0</v>
      </c>
      <c r="H841" s="2" t="s">
        <v>19</v>
      </c>
      <c r="I841" s="2" t="s">
        <v>20</v>
      </c>
      <c r="J841" s="2" t="s">
        <v>21</v>
      </c>
      <c r="K841">
        <f>VLOOKUP(E841,Products!$A$2:$E$23,5,0)</f>
        <v>150</v>
      </c>
      <c r="L841">
        <f>VLOOKUP(E841,Products!$A$2:$E$23,4,0)</f>
        <v>90</v>
      </c>
      <c r="M841" s="2">
        <f>K841*F841-Table1[[#This Row],[discount_amount]]</f>
        <v>150</v>
      </c>
      <c r="N841">
        <f t="shared" si="27"/>
        <v>90</v>
      </c>
      <c r="O841">
        <f t="shared" si="26"/>
        <v>60</v>
      </c>
      <c r="P841">
        <f>Table1[[#This Row],[Quantity]]*Table1[[#This Row],[unit_price]]*Table1[[#This Row],[Discount]]</f>
        <v>0</v>
      </c>
      <c r="Q841" t="str">
        <f>VLOOKUP(E841,Products!$A$2:$E$23,2,0)</f>
        <v>Gel Pen Box</v>
      </c>
      <c r="R841" t="str">
        <f>VLOOKUP(Table1[[#This Row],[Product ID]],Products!$A$2:$E$23,3,0)</f>
        <v>Office Supplies</v>
      </c>
      <c r="S841" t="str">
        <f>VLOOKUP(C841,Customers!$A$2:$F$201,4,0)</f>
        <v>Madhya Pradesh</v>
      </c>
      <c r="T841" t="str">
        <f>VLOOKUP(Table1[[#This Row],[Customer ID]],Customers!$A$2:$F$201,5,0)</f>
        <v>Central</v>
      </c>
      <c r="U841" t="str">
        <f>VLOOKUP(Table1[[#This Row],[Customer ID]],Customers!$A$2:$F$201,6,0)</f>
        <v>Home Office</v>
      </c>
      <c r="V841" t="str">
        <f>TEXT(Table1[[#This Row],[Order Date]],"MMM")</f>
        <v>May</v>
      </c>
      <c r="W841" t="str">
        <f>TEXT(Table1[[#This Row],[Order Date]],"yyyy")</f>
        <v>2025</v>
      </c>
    </row>
    <row r="842" spans="1:23" x14ac:dyDescent="0.25">
      <c r="A842" s="2" t="s">
        <v>1087</v>
      </c>
      <c r="B842" s="4">
        <v>45809</v>
      </c>
      <c r="C842" s="2" t="s">
        <v>752</v>
      </c>
      <c r="D842" s="2" t="str">
        <f>TEXT(Table1[[#This Row],[Order Date]],"mmmm")</f>
        <v>June</v>
      </c>
      <c r="E842" s="2" t="s">
        <v>111</v>
      </c>
      <c r="F842" s="2">
        <v>5</v>
      </c>
      <c r="G842" s="5">
        <v>0.05</v>
      </c>
      <c r="H842" s="2" t="s">
        <v>30</v>
      </c>
      <c r="I842" s="2" t="s">
        <v>46</v>
      </c>
      <c r="J842" s="2" t="s">
        <v>79</v>
      </c>
      <c r="K842">
        <f>VLOOKUP(E842,Products!$A$2:$E$23,5,0)</f>
        <v>240</v>
      </c>
      <c r="L842">
        <f>VLOOKUP(E842,Products!$A$2:$E$23,4,0)</f>
        <v>140</v>
      </c>
      <c r="M842" s="2">
        <f>K842*F842-Table1[[#This Row],[discount_amount]]</f>
        <v>1140</v>
      </c>
      <c r="N842">
        <f t="shared" si="27"/>
        <v>700</v>
      </c>
      <c r="O842">
        <f t="shared" si="26"/>
        <v>440</v>
      </c>
      <c r="P842">
        <f>Table1[[#This Row],[Quantity]]*Table1[[#This Row],[unit_price]]*Table1[[#This Row],[Discount]]</f>
        <v>60</v>
      </c>
      <c r="Q842" t="str">
        <f>VLOOKUP(E842,Products!$A$2:$E$23,2,0)</f>
        <v>Whiteboard Marker Set</v>
      </c>
      <c r="R842" t="str">
        <f>VLOOKUP(Table1[[#This Row],[Product ID]],Products!$A$2:$E$23,3,0)</f>
        <v>Office Supplies</v>
      </c>
      <c r="S842" t="str">
        <f>VLOOKUP(C842,Customers!$A$2:$F$201,4,0)</f>
        <v>Chandigarh</v>
      </c>
      <c r="T842" t="str">
        <f>VLOOKUP(Table1[[#This Row],[Customer ID]],Customers!$A$2:$F$201,5,0)</f>
        <v>North</v>
      </c>
      <c r="U842" t="str">
        <f>VLOOKUP(Table1[[#This Row],[Customer ID]],Customers!$A$2:$F$201,6,0)</f>
        <v>Corporate</v>
      </c>
      <c r="V842" t="str">
        <f>TEXT(Table1[[#This Row],[Order Date]],"MMM")</f>
        <v>Jun</v>
      </c>
      <c r="W842" t="str">
        <f>TEXT(Table1[[#This Row],[Order Date]],"yyyy")</f>
        <v>2025</v>
      </c>
    </row>
    <row r="843" spans="1:23" x14ac:dyDescent="0.25">
      <c r="A843" s="2" t="s">
        <v>1088</v>
      </c>
      <c r="B843" s="4">
        <v>45811</v>
      </c>
      <c r="C843" s="2" t="s">
        <v>582</v>
      </c>
      <c r="D843" s="2" t="str">
        <f>TEXT(Table1[[#This Row],[Order Date]],"mmmm")</f>
        <v>June</v>
      </c>
      <c r="E843" s="2" t="s">
        <v>18</v>
      </c>
      <c r="F843" s="2">
        <v>1</v>
      </c>
      <c r="G843" s="5">
        <v>0</v>
      </c>
      <c r="H843" s="2" t="s">
        <v>25</v>
      </c>
      <c r="I843" s="2" t="s">
        <v>31</v>
      </c>
      <c r="J843" s="2" t="s">
        <v>21</v>
      </c>
      <c r="K843">
        <f>VLOOKUP(E843,Products!$A$2:$E$23,5,0)</f>
        <v>4299</v>
      </c>
      <c r="L843">
        <f>VLOOKUP(E843,Products!$A$2:$E$23,4,0)</f>
        <v>2800</v>
      </c>
      <c r="M843" s="2">
        <f>K843*F843-Table1[[#This Row],[discount_amount]]</f>
        <v>4299</v>
      </c>
      <c r="N843">
        <f t="shared" si="27"/>
        <v>2800</v>
      </c>
      <c r="O843">
        <f t="shared" si="26"/>
        <v>1499</v>
      </c>
      <c r="P843">
        <f>Table1[[#This Row],[Quantity]]*Table1[[#This Row],[unit_price]]*Table1[[#This Row],[Discount]]</f>
        <v>0</v>
      </c>
      <c r="Q843" t="str">
        <f>VLOOKUP(E843,Products!$A$2:$E$23,2,0)</f>
        <v>Bookshelf</v>
      </c>
      <c r="R843" t="str">
        <f>VLOOKUP(Table1[[#This Row],[Product ID]],Products!$A$2:$E$23,3,0)</f>
        <v>Furniture</v>
      </c>
      <c r="S843" t="str">
        <f>VLOOKUP(C843,Customers!$A$2:$F$201,4,0)</f>
        <v>Bihar</v>
      </c>
      <c r="T843" t="str">
        <f>VLOOKUP(Table1[[#This Row],[Customer ID]],Customers!$A$2:$F$201,5,0)</f>
        <v>East</v>
      </c>
      <c r="U843" t="str">
        <f>VLOOKUP(Table1[[#This Row],[Customer ID]],Customers!$A$2:$F$201,6,0)</f>
        <v>Corporate</v>
      </c>
      <c r="V843" t="str">
        <f>TEXT(Table1[[#This Row],[Order Date]],"MMM")</f>
        <v>Jun</v>
      </c>
      <c r="W843" t="str">
        <f>TEXT(Table1[[#This Row],[Order Date]],"yyyy")</f>
        <v>2025</v>
      </c>
    </row>
    <row r="844" spans="1:23" x14ac:dyDescent="0.25">
      <c r="A844" s="2" t="s">
        <v>1089</v>
      </c>
      <c r="B844" s="4">
        <v>45811</v>
      </c>
      <c r="C844" s="2" t="s">
        <v>98</v>
      </c>
      <c r="D844" s="2" t="str">
        <f>TEXT(Table1[[#This Row],[Order Date]],"mmmm")</f>
        <v>June</v>
      </c>
      <c r="E844" s="2" t="s">
        <v>82</v>
      </c>
      <c r="F844" s="2">
        <v>1</v>
      </c>
      <c r="G844" s="5">
        <v>0.2</v>
      </c>
      <c r="H844" s="2" t="s">
        <v>30</v>
      </c>
      <c r="I844" s="2" t="s">
        <v>38</v>
      </c>
      <c r="J844" s="2" t="s">
        <v>21</v>
      </c>
      <c r="K844">
        <f>VLOOKUP(E844,Products!$A$2:$E$23,5,0)</f>
        <v>1799</v>
      </c>
      <c r="L844">
        <f>VLOOKUP(E844,Products!$A$2:$E$23,4,0)</f>
        <v>1100</v>
      </c>
      <c r="M844" s="2">
        <f>K844*F844-Table1[[#This Row],[discount_amount]]</f>
        <v>1439.2</v>
      </c>
      <c r="N844">
        <f t="shared" si="27"/>
        <v>1100</v>
      </c>
      <c r="O844">
        <f t="shared" si="26"/>
        <v>339.20000000000005</v>
      </c>
      <c r="P844">
        <f>Table1[[#This Row],[Quantity]]*Table1[[#This Row],[unit_price]]*Table1[[#This Row],[Discount]]</f>
        <v>359.8</v>
      </c>
      <c r="Q844" t="str">
        <f>VLOOKUP(E844,Products!$A$2:$E$23,2,0)</f>
        <v>Webcam HD</v>
      </c>
      <c r="R844" t="str">
        <f>VLOOKUP(Table1[[#This Row],[Product ID]],Products!$A$2:$E$23,3,0)</f>
        <v>Electronics</v>
      </c>
      <c r="S844" t="str">
        <f>VLOOKUP(C844,Customers!$A$2:$F$201,4,0)</f>
        <v>Tamil Nadu</v>
      </c>
      <c r="T844" t="str">
        <f>VLOOKUP(Table1[[#This Row],[Customer ID]],Customers!$A$2:$F$201,5,0)</f>
        <v>South</v>
      </c>
      <c r="U844" t="str">
        <f>VLOOKUP(Table1[[#This Row],[Customer ID]],Customers!$A$2:$F$201,6,0)</f>
        <v>Consumer</v>
      </c>
      <c r="V844" t="str">
        <f>TEXT(Table1[[#This Row],[Order Date]],"MMM")</f>
        <v>Jun</v>
      </c>
      <c r="W844" t="str">
        <f>TEXT(Table1[[#This Row],[Order Date]],"yyyy")</f>
        <v>2025</v>
      </c>
    </row>
    <row r="845" spans="1:23" x14ac:dyDescent="0.25">
      <c r="A845" s="2" t="s">
        <v>1090</v>
      </c>
      <c r="B845" s="4">
        <v>45811</v>
      </c>
      <c r="C845" s="2" t="s">
        <v>235</v>
      </c>
      <c r="D845" s="2" t="str">
        <f>TEXT(Table1[[#This Row],[Order Date]],"mmmm")</f>
        <v>June</v>
      </c>
      <c r="E845" s="2" t="s">
        <v>29</v>
      </c>
      <c r="F845" s="2">
        <v>3</v>
      </c>
      <c r="G845" s="5">
        <v>0.15</v>
      </c>
      <c r="H845" s="2" t="s">
        <v>19</v>
      </c>
      <c r="I845" s="2" t="s">
        <v>26</v>
      </c>
      <c r="J845" s="2" t="s">
        <v>79</v>
      </c>
      <c r="K845">
        <f>VLOOKUP(E845,Products!$A$2:$E$23,5,0)</f>
        <v>599</v>
      </c>
      <c r="L845">
        <f>VLOOKUP(E845,Products!$A$2:$E$23,4,0)</f>
        <v>350</v>
      </c>
      <c r="M845" s="2">
        <f>K845*F845-Table1[[#This Row],[discount_amount]]</f>
        <v>1527.45</v>
      </c>
      <c r="N845">
        <f t="shared" si="27"/>
        <v>1050</v>
      </c>
      <c r="O845">
        <f t="shared" si="26"/>
        <v>477.45000000000005</v>
      </c>
      <c r="P845">
        <f>Table1[[#This Row],[Quantity]]*Table1[[#This Row],[unit_price]]*Table1[[#This Row],[Discount]]</f>
        <v>269.55</v>
      </c>
      <c r="Q845" t="str">
        <f>VLOOKUP(E845,Products!$A$2:$E$23,2,0)</f>
        <v>USB Flash Drive 64GB</v>
      </c>
      <c r="R845" t="str">
        <f>VLOOKUP(Table1[[#This Row],[Product ID]],Products!$A$2:$E$23,3,0)</f>
        <v>Electronics</v>
      </c>
      <c r="S845" t="str">
        <f>VLOOKUP(C845,Customers!$A$2:$F$201,4,0)</f>
        <v>Bihar</v>
      </c>
      <c r="T845" t="str">
        <f>VLOOKUP(Table1[[#This Row],[Customer ID]],Customers!$A$2:$F$201,5,0)</f>
        <v>East</v>
      </c>
      <c r="U845" t="str">
        <f>VLOOKUP(Table1[[#This Row],[Customer ID]],Customers!$A$2:$F$201,6,0)</f>
        <v>Home Office</v>
      </c>
      <c r="V845" t="str">
        <f>TEXT(Table1[[#This Row],[Order Date]],"MMM")</f>
        <v>Jun</v>
      </c>
      <c r="W845" t="str">
        <f>TEXT(Table1[[#This Row],[Order Date]],"yyyy")</f>
        <v>2025</v>
      </c>
    </row>
    <row r="846" spans="1:23" x14ac:dyDescent="0.25">
      <c r="A846" s="2" t="s">
        <v>1091</v>
      </c>
      <c r="B846" s="4">
        <v>45811</v>
      </c>
      <c r="C846" s="2" t="s">
        <v>248</v>
      </c>
      <c r="D846" s="2" t="str">
        <f>TEXT(Table1[[#This Row],[Order Date]],"mmmm")</f>
        <v>June</v>
      </c>
      <c r="E846" s="2" t="s">
        <v>45</v>
      </c>
      <c r="F846" s="2">
        <v>1</v>
      </c>
      <c r="G846" s="5">
        <v>0</v>
      </c>
      <c r="H846" s="2" t="s">
        <v>30</v>
      </c>
      <c r="I846" s="2" t="s">
        <v>46</v>
      </c>
      <c r="J846" s="2" t="s">
        <v>21</v>
      </c>
      <c r="K846">
        <f>VLOOKUP(E846,Products!$A$2:$E$23,5,0)</f>
        <v>899</v>
      </c>
      <c r="L846">
        <f>VLOOKUP(E846,Products!$A$2:$E$23,4,0)</f>
        <v>450</v>
      </c>
      <c r="M846" s="2">
        <f>K846*F846-Table1[[#This Row],[discount_amount]]</f>
        <v>899</v>
      </c>
      <c r="N846">
        <f t="shared" si="27"/>
        <v>450</v>
      </c>
      <c r="O846">
        <f t="shared" si="26"/>
        <v>449</v>
      </c>
      <c r="P846">
        <f>Table1[[#This Row],[Quantity]]*Table1[[#This Row],[unit_price]]*Table1[[#This Row],[Discount]]</f>
        <v>0</v>
      </c>
      <c r="Q846" t="str">
        <f>VLOOKUP(E846,Products!$A$2:$E$23,2,0)</f>
        <v>Track Pants</v>
      </c>
      <c r="R846" t="str">
        <f>VLOOKUP(Table1[[#This Row],[Product ID]],Products!$A$2:$E$23,3,0)</f>
        <v>Clothing</v>
      </c>
      <c r="S846" t="str">
        <f>VLOOKUP(C846,Customers!$A$2:$F$201,4,0)</f>
        <v>West Bengal</v>
      </c>
      <c r="T846" t="str">
        <f>VLOOKUP(Table1[[#This Row],[Customer ID]],Customers!$A$2:$F$201,5,0)</f>
        <v>East</v>
      </c>
      <c r="U846" t="str">
        <f>VLOOKUP(Table1[[#This Row],[Customer ID]],Customers!$A$2:$F$201,6,0)</f>
        <v>Consumer</v>
      </c>
      <c r="V846" t="str">
        <f>TEXT(Table1[[#This Row],[Order Date]],"MMM")</f>
        <v>Jun</v>
      </c>
      <c r="W846" t="str">
        <f>TEXT(Table1[[#This Row],[Order Date]],"yyyy")</f>
        <v>2025</v>
      </c>
    </row>
    <row r="847" spans="1:23" x14ac:dyDescent="0.25">
      <c r="A847" s="2" t="s">
        <v>1092</v>
      </c>
      <c r="B847" s="4">
        <v>45811</v>
      </c>
      <c r="C847" s="2" t="s">
        <v>154</v>
      </c>
      <c r="D847" s="2" t="str">
        <f>TEXT(Table1[[#This Row],[Order Date]],"mmmm")</f>
        <v>June</v>
      </c>
      <c r="E847" s="2" t="s">
        <v>155</v>
      </c>
      <c r="F847" s="2">
        <v>10</v>
      </c>
      <c r="G847" s="5">
        <v>0.15</v>
      </c>
      <c r="H847" s="2" t="s">
        <v>25</v>
      </c>
      <c r="I847" s="2" t="s">
        <v>31</v>
      </c>
      <c r="J847" s="2" t="s">
        <v>21</v>
      </c>
      <c r="K847">
        <f>VLOOKUP(E847,Products!$A$2:$E$23,5,0)</f>
        <v>1599</v>
      </c>
      <c r="L847">
        <f>VLOOKUP(E847,Products!$A$2:$E$23,4,0)</f>
        <v>900</v>
      </c>
      <c r="M847" s="2">
        <f>K847*F847-Table1[[#This Row],[discount_amount]]</f>
        <v>13591.5</v>
      </c>
      <c r="N847">
        <f t="shared" si="27"/>
        <v>9000</v>
      </c>
      <c r="O847">
        <f t="shared" si="26"/>
        <v>4591.5</v>
      </c>
      <c r="P847">
        <f>Table1[[#This Row],[Quantity]]*Table1[[#This Row],[unit_price]]*Table1[[#This Row],[Discount]]</f>
        <v>2398.5</v>
      </c>
      <c r="Q847" t="str">
        <f>VLOOKUP(E847,Products!$A$2:$E$23,2,0)</f>
        <v>Headphones</v>
      </c>
      <c r="R847" t="str">
        <f>VLOOKUP(Table1[[#This Row],[Product ID]],Products!$A$2:$E$23,3,0)</f>
        <v>Electronics</v>
      </c>
      <c r="S847" t="str">
        <f>VLOOKUP(C847,Customers!$A$2:$F$201,4,0)</f>
        <v>Telangana</v>
      </c>
      <c r="T847" t="str">
        <f>VLOOKUP(Table1[[#This Row],[Customer ID]],Customers!$A$2:$F$201,5,0)</f>
        <v>South</v>
      </c>
      <c r="U847" t="str">
        <f>VLOOKUP(Table1[[#This Row],[Customer ID]],Customers!$A$2:$F$201,6,0)</f>
        <v>Consumer</v>
      </c>
      <c r="V847" t="str">
        <f>TEXT(Table1[[#This Row],[Order Date]],"MMM")</f>
        <v>Jun</v>
      </c>
      <c r="W847" t="str">
        <f>TEXT(Table1[[#This Row],[Order Date]],"yyyy")</f>
        <v>2025</v>
      </c>
    </row>
    <row r="848" spans="1:23" x14ac:dyDescent="0.25">
      <c r="A848" s="2" t="s">
        <v>1093</v>
      </c>
      <c r="B848" s="4">
        <v>45811</v>
      </c>
      <c r="C848" s="2" t="s">
        <v>460</v>
      </c>
      <c r="D848" s="2" t="str">
        <f>TEXT(Table1[[#This Row],[Order Date]],"mmmm")</f>
        <v>June</v>
      </c>
      <c r="E848" s="2" t="s">
        <v>18</v>
      </c>
      <c r="F848" s="2">
        <v>1</v>
      </c>
      <c r="G848" s="5">
        <v>0</v>
      </c>
      <c r="H848" s="2" t="s">
        <v>19</v>
      </c>
      <c r="I848" s="2" t="s">
        <v>26</v>
      </c>
      <c r="J848" s="2" t="s">
        <v>21</v>
      </c>
      <c r="K848">
        <f>VLOOKUP(E848,Products!$A$2:$E$23,5,0)</f>
        <v>4299</v>
      </c>
      <c r="L848">
        <f>VLOOKUP(E848,Products!$A$2:$E$23,4,0)</f>
        <v>2800</v>
      </c>
      <c r="M848" s="2">
        <f>K848*F848-Table1[[#This Row],[discount_amount]]</f>
        <v>4299</v>
      </c>
      <c r="N848">
        <f t="shared" si="27"/>
        <v>2800</v>
      </c>
      <c r="O848">
        <f t="shared" si="26"/>
        <v>1499</v>
      </c>
      <c r="P848">
        <f>Table1[[#This Row],[Quantity]]*Table1[[#This Row],[unit_price]]*Table1[[#This Row],[Discount]]</f>
        <v>0</v>
      </c>
      <c r="Q848" t="str">
        <f>VLOOKUP(E848,Products!$A$2:$E$23,2,0)</f>
        <v>Bookshelf</v>
      </c>
      <c r="R848" t="str">
        <f>VLOOKUP(Table1[[#This Row],[Product ID]],Products!$A$2:$E$23,3,0)</f>
        <v>Furniture</v>
      </c>
      <c r="S848" t="str">
        <f>VLOOKUP(C848,Customers!$A$2:$F$201,4,0)</f>
        <v>Maharashtra</v>
      </c>
      <c r="T848" t="str">
        <f>VLOOKUP(Table1[[#This Row],[Customer ID]],Customers!$A$2:$F$201,5,0)</f>
        <v>Central</v>
      </c>
      <c r="U848" t="str">
        <f>VLOOKUP(Table1[[#This Row],[Customer ID]],Customers!$A$2:$F$201,6,0)</f>
        <v>Corporate</v>
      </c>
      <c r="V848" t="str">
        <f>TEXT(Table1[[#This Row],[Order Date]],"MMM")</f>
        <v>Jun</v>
      </c>
      <c r="W848" t="str">
        <f>TEXT(Table1[[#This Row],[Order Date]],"yyyy")</f>
        <v>2025</v>
      </c>
    </row>
    <row r="849" spans="1:23" x14ac:dyDescent="0.25">
      <c r="A849" s="2" t="s">
        <v>1094</v>
      </c>
      <c r="B849" s="4">
        <v>45811</v>
      </c>
      <c r="C849" s="2" t="s">
        <v>335</v>
      </c>
      <c r="D849" s="2" t="str">
        <f>TEXT(Table1[[#This Row],[Order Date]],"mmmm")</f>
        <v>June</v>
      </c>
      <c r="E849" s="2" t="s">
        <v>91</v>
      </c>
      <c r="F849" s="2">
        <v>5</v>
      </c>
      <c r="G849" s="5">
        <v>0.1</v>
      </c>
      <c r="H849" s="2" t="s">
        <v>19</v>
      </c>
      <c r="I849" s="2" t="s">
        <v>46</v>
      </c>
      <c r="J849" s="2" t="s">
        <v>21</v>
      </c>
      <c r="K849">
        <f>VLOOKUP(E849,Products!$A$2:$E$23,5,0)</f>
        <v>1199</v>
      </c>
      <c r="L849">
        <f>VLOOKUP(E849,Products!$A$2:$E$23,4,0)</f>
        <v>600</v>
      </c>
      <c r="M849" s="2">
        <f>K849*F849-Table1[[#This Row],[discount_amount]]</f>
        <v>5395.5</v>
      </c>
      <c r="N849">
        <f t="shared" si="27"/>
        <v>3000</v>
      </c>
      <c r="O849">
        <f t="shared" si="26"/>
        <v>2395.5</v>
      </c>
      <c r="P849">
        <f>Table1[[#This Row],[Quantity]]*Table1[[#This Row],[unit_price]]*Table1[[#This Row],[Discount]]</f>
        <v>599.5</v>
      </c>
      <c r="Q849" t="str">
        <f>VLOOKUP(E849,Products!$A$2:$E$23,2,0)</f>
        <v>Formal Shirt</v>
      </c>
      <c r="R849" t="str">
        <f>VLOOKUP(Table1[[#This Row],[Product ID]],Products!$A$2:$E$23,3,0)</f>
        <v>Clothing</v>
      </c>
      <c r="S849" t="str">
        <f>VLOOKUP(C849,Customers!$A$2:$F$201,4,0)</f>
        <v>Chandigarh</v>
      </c>
      <c r="T849" t="str">
        <f>VLOOKUP(Table1[[#This Row],[Customer ID]],Customers!$A$2:$F$201,5,0)</f>
        <v>North</v>
      </c>
      <c r="U849" t="str">
        <f>VLOOKUP(Table1[[#This Row],[Customer ID]],Customers!$A$2:$F$201,6,0)</f>
        <v>Consumer</v>
      </c>
      <c r="V849" t="str">
        <f>TEXT(Table1[[#This Row],[Order Date]],"MMM")</f>
        <v>Jun</v>
      </c>
      <c r="W849" t="str">
        <f>TEXT(Table1[[#This Row],[Order Date]],"yyyy")</f>
        <v>2025</v>
      </c>
    </row>
    <row r="850" spans="1:23" x14ac:dyDescent="0.25">
      <c r="A850" s="2" t="s">
        <v>1095</v>
      </c>
      <c r="B850" s="4">
        <v>45812</v>
      </c>
      <c r="C850" s="2" t="s">
        <v>160</v>
      </c>
      <c r="D850" s="2" t="str">
        <f>TEXT(Table1[[#This Row],[Order Date]],"mmmm")</f>
        <v>June</v>
      </c>
      <c r="E850" s="2" t="s">
        <v>66</v>
      </c>
      <c r="F850" s="2">
        <v>2</v>
      </c>
      <c r="G850" s="5">
        <v>0</v>
      </c>
      <c r="H850" s="2" t="s">
        <v>19</v>
      </c>
      <c r="I850" s="2" t="s">
        <v>26</v>
      </c>
      <c r="J850" s="2" t="s">
        <v>21</v>
      </c>
      <c r="K850">
        <f>VLOOKUP(E850,Products!$A$2:$E$23,5,0)</f>
        <v>1299</v>
      </c>
      <c r="L850">
        <f>VLOOKUP(E850,Products!$A$2:$E$23,4,0)</f>
        <v>800</v>
      </c>
      <c r="M850" s="2">
        <f>K850*F850-Table1[[#This Row],[discount_amount]]</f>
        <v>2598</v>
      </c>
      <c r="N850">
        <f t="shared" si="27"/>
        <v>1600</v>
      </c>
      <c r="O850">
        <f t="shared" si="26"/>
        <v>998</v>
      </c>
      <c r="P850">
        <f>Table1[[#This Row],[Quantity]]*Table1[[#This Row],[unit_price]]*Table1[[#This Row],[Discount]]</f>
        <v>0</v>
      </c>
      <c r="Q850" t="str">
        <f>VLOOKUP(E850,Products!$A$2:$E$23,2,0)</f>
        <v>Power Bank 10000mAh</v>
      </c>
      <c r="R850" t="str">
        <f>VLOOKUP(Table1[[#This Row],[Product ID]],Products!$A$2:$E$23,3,0)</f>
        <v>Electronics</v>
      </c>
      <c r="S850" t="str">
        <f>VLOOKUP(C850,Customers!$A$2:$F$201,4,0)</f>
        <v>Gujarat</v>
      </c>
      <c r="T850" t="str">
        <f>VLOOKUP(Table1[[#This Row],[Customer ID]],Customers!$A$2:$F$201,5,0)</f>
        <v>West</v>
      </c>
      <c r="U850" t="str">
        <f>VLOOKUP(Table1[[#This Row],[Customer ID]],Customers!$A$2:$F$201,6,0)</f>
        <v>Consumer</v>
      </c>
      <c r="V850" t="str">
        <f>TEXT(Table1[[#This Row],[Order Date]],"MMM")</f>
        <v>Jun</v>
      </c>
      <c r="W850" t="str">
        <f>TEXT(Table1[[#This Row],[Order Date]],"yyyy")</f>
        <v>2025</v>
      </c>
    </row>
    <row r="851" spans="1:23" x14ac:dyDescent="0.25">
      <c r="A851" s="2" t="s">
        <v>1096</v>
      </c>
      <c r="B851" s="4">
        <v>45812</v>
      </c>
      <c r="C851" s="2" t="s">
        <v>939</v>
      </c>
      <c r="D851" s="2" t="str">
        <f>TEXT(Table1[[#This Row],[Order Date]],"mmmm")</f>
        <v>June</v>
      </c>
      <c r="E851" s="2" t="s">
        <v>91</v>
      </c>
      <c r="F851" s="2">
        <v>6</v>
      </c>
      <c r="G851" s="5">
        <v>0.05</v>
      </c>
      <c r="H851" s="2" t="s">
        <v>30</v>
      </c>
      <c r="I851" s="2" t="s">
        <v>26</v>
      </c>
      <c r="J851" s="2" t="s">
        <v>21</v>
      </c>
      <c r="K851">
        <f>VLOOKUP(E851,Products!$A$2:$E$23,5,0)</f>
        <v>1199</v>
      </c>
      <c r="L851">
        <f>VLOOKUP(E851,Products!$A$2:$E$23,4,0)</f>
        <v>600</v>
      </c>
      <c r="M851" s="2">
        <f>K851*F851-Table1[[#This Row],[discount_amount]]</f>
        <v>6834.3</v>
      </c>
      <c r="N851">
        <f t="shared" si="27"/>
        <v>3600</v>
      </c>
      <c r="O851">
        <f t="shared" si="26"/>
        <v>3234.3</v>
      </c>
      <c r="P851">
        <f>Table1[[#This Row],[Quantity]]*Table1[[#This Row],[unit_price]]*Table1[[#This Row],[Discount]]</f>
        <v>359.70000000000005</v>
      </c>
      <c r="Q851" t="str">
        <f>VLOOKUP(E851,Products!$A$2:$E$23,2,0)</f>
        <v>Formal Shirt</v>
      </c>
      <c r="R851" t="str">
        <f>VLOOKUP(Table1[[#This Row],[Product ID]],Products!$A$2:$E$23,3,0)</f>
        <v>Clothing</v>
      </c>
      <c r="S851" t="str">
        <f>VLOOKUP(C851,Customers!$A$2:$F$201,4,0)</f>
        <v>Uttar Pradesh</v>
      </c>
      <c r="T851" t="str">
        <f>VLOOKUP(Table1[[#This Row],[Customer ID]],Customers!$A$2:$F$201,5,0)</f>
        <v>North</v>
      </c>
      <c r="U851" t="str">
        <f>VLOOKUP(Table1[[#This Row],[Customer ID]],Customers!$A$2:$F$201,6,0)</f>
        <v>Consumer</v>
      </c>
      <c r="V851" t="str">
        <f>TEXT(Table1[[#This Row],[Order Date]],"MMM")</f>
        <v>Jun</v>
      </c>
      <c r="W851" t="str">
        <f>TEXT(Table1[[#This Row],[Order Date]],"yyyy")</f>
        <v>2025</v>
      </c>
    </row>
    <row r="852" spans="1:23" x14ac:dyDescent="0.25">
      <c r="A852" s="2" t="s">
        <v>1097</v>
      </c>
      <c r="B852" s="4">
        <v>45813</v>
      </c>
      <c r="C852" s="2" t="s">
        <v>322</v>
      </c>
      <c r="D852" s="2" t="str">
        <f>TEXT(Table1[[#This Row],[Order Date]],"mmmm")</f>
        <v>June</v>
      </c>
      <c r="E852" s="2" t="s">
        <v>121</v>
      </c>
      <c r="F852" s="2">
        <v>6</v>
      </c>
      <c r="G852" s="5">
        <v>0.1</v>
      </c>
      <c r="H852" s="2" t="s">
        <v>30</v>
      </c>
      <c r="I852" s="2" t="s">
        <v>26</v>
      </c>
      <c r="J852" s="2" t="s">
        <v>94</v>
      </c>
      <c r="K852">
        <f>VLOOKUP(E852,Products!$A$2:$E$23,5,0)</f>
        <v>499</v>
      </c>
      <c r="L852">
        <f>VLOOKUP(E852,Products!$A$2:$E$23,4,0)</f>
        <v>250</v>
      </c>
      <c r="M852" s="2">
        <f>K852*F852-Table1[[#This Row],[discount_amount]]</f>
        <v>2694.6</v>
      </c>
      <c r="N852">
        <f t="shared" si="27"/>
        <v>1500</v>
      </c>
      <c r="O852">
        <f t="shared" si="26"/>
        <v>1194.5999999999999</v>
      </c>
      <c r="P852">
        <f>Table1[[#This Row],[Quantity]]*Table1[[#This Row],[unit_price]]*Table1[[#This Row],[Discount]]</f>
        <v>299.40000000000003</v>
      </c>
      <c r="Q852" t="str">
        <f>VLOOKUP(E852,Products!$A$2:$E$23,2,0)</f>
        <v>Cotton T-Shirt</v>
      </c>
      <c r="R852" t="str">
        <f>VLOOKUP(Table1[[#This Row],[Product ID]],Products!$A$2:$E$23,3,0)</f>
        <v>Clothing</v>
      </c>
      <c r="S852" t="str">
        <f>VLOOKUP(C852,Customers!$A$2:$F$201,4,0)</f>
        <v>Chandigarh</v>
      </c>
      <c r="T852" t="str">
        <f>VLOOKUP(Table1[[#This Row],[Customer ID]],Customers!$A$2:$F$201,5,0)</f>
        <v>North</v>
      </c>
      <c r="U852" t="str">
        <f>VLOOKUP(Table1[[#This Row],[Customer ID]],Customers!$A$2:$F$201,6,0)</f>
        <v>Consumer</v>
      </c>
      <c r="V852" t="str">
        <f>TEXT(Table1[[#This Row],[Order Date]],"MMM")</f>
        <v>Jun</v>
      </c>
      <c r="W852" t="str">
        <f>TEXT(Table1[[#This Row],[Order Date]],"yyyy")</f>
        <v>2025</v>
      </c>
    </row>
    <row r="853" spans="1:23" x14ac:dyDescent="0.25">
      <c r="A853" s="2" t="s">
        <v>1098</v>
      </c>
      <c r="B853" s="4">
        <v>45814</v>
      </c>
      <c r="C853" s="2" t="s">
        <v>36</v>
      </c>
      <c r="D853" s="2" t="str">
        <f>TEXT(Table1[[#This Row],[Order Date]],"mmmm")</f>
        <v>June</v>
      </c>
      <c r="E853" s="2" t="s">
        <v>111</v>
      </c>
      <c r="F853" s="2">
        <v>4</v>
      </c>
      <c r="G853" s="5">
        <v>0.1</v>
      </c>
      <c r="H853" s="2" t="s">
        <v>25</v>
      </c>
      <c r="I853" s="2" t="s">
        <v>38</v>
      </c>
      <c r="J853" s="2" t="s">
        <v>21</v>
      </c>
      <c r="K853">
        <f>VLOOKUP(E853,Products!$A$2:$E$23,5,0)</f>
        <v>240</v>
      </c>
      <c r="L853">
        <f>VLOOKUP(E853,Products!$A$2:$E$23,4,0)</f>
        <v>140</v>
      </c>
      <c r="M853" s="2">
        <f>K853*F853-Table1[[#This Row],[discount_amount]]</f>
        <v>864</v>
      </c>
      <c r="N853">
        <f t="shared" si="27"/>
        <v>560</v>
      </c>
      <c r="O853">
        <f t="shared" si="26"/>
        <v>304</v>
      </c>
      <c r="P853">
        <f>Table1[[#This Row],[Quantity]]*Table1[[#This Row],[unit_price]]*Table1[[#This Row],[Discount]]</f>
        <v>96</v>
      </c>
      <c r="Q853" t="str">
        <f>VLOOKUP(E853,Products!$A$2:$E$23,2,0)</f>
        <v>Whiteboard Marker Set</v>
      </c>
      <c r="R853" t="str">
        <f>VLOOKUP(Table1[[#This Row],[Product ID]],Products!$A$2:$E$23,3,0)</f>
        <v>Office Supplies</v>
      </c>
      <c r="S853" t="str">
        <f>VLOOKUP(C853,Customers!$A$2:$F$201,4,0)</f>
        <v>Gujarat</v>
      </c>
      <c r="T853" t="str">
        <f>VLOOKUP(Table1[[#This Row],[Customer ID]],Customers!$A$2:$F$201,5,0)</f>
        <v>West</v>
      </c>
      <c r="U853" t="str">
        <f>VLOOKUP(Table1[[#This Row],[Customer ID]],Customers!$A$2:$F$201,6,0)</f>
        <v>Consumer</v>
      </c>
      <c r="V853" t="str">
        <f>TEXT(Table1[[#This Row],[Order Date]],"MMM")</f>
        <v>Jun</v>
      </c>
      <c r="W853" t="str">
        <f>TEXT(Table1[[#This Row],[Order Date]],"yyyy")</f>
        <v>2025</v>
      </c>
    </row>
    <row r="854" spans="1:23" x14ac:dyDescent="0.25">
      <c r="A854" s="2" t="s">
        <v>1099</v>
      </c>
      <c r="B854" s="4">
        <v>45814</v>
      </c>
      <c r="C854" s="2" t="s">
        <v>226</v>
      </c>
      <c r="D854" s="2" t="str">
        <f>TEXT(Table1[[#This Row],[Order Date]],"mmmm")</f>
        <v>June</v>
      </c>
      <c r="E854" s="2" t="s">
        <v>45</v>
      </c>
      <c r="F854" s="2">
        <v>2</v>
      </c>
      <c r="G854" s="5">
        <v>0</v>
      </c>
      <c r="H854" s="2" t="s">
        <v>25</v>
      </c>
      <c r="I854" s="2" t="s">
        <v>26</v>
      </c>
      <c r="J854" s="2" t="s">
        <v>21</v>
      </c>
      <c r="K854">
        <f>VLOOKUP(E854,Products!$A$2:$E$23,5,0)</f>
        <v>899</v>
      </c>
      <c r="L854">
        <f>VLOOKUP(E854,Products!$A$2:$E$23,4,0)</f>
        <v>450</v>
      </c>
      <c r="M854" s="2">
        <f>K854*F854-Table1[[#This Row],[discount_amount]]</f>
        <v>1798</v>
      </c>
      <c r="N854">
        <f t="shared" si="27"/>
        <v>900</v>
      </c>
      <c r="O854">
        <f t="shared" si="26"/>
        <v>898</v>
      </c>
      <c r="P854">
        <f>Table1[[#This Row],[Quantity]]*Table1[[#This Row],[unit_price]]*Table1[[#This Row],[Discount]]</f>
        <v>0</v>
      </c>
      <c r="Q854" t="str">
        <f>VLOOKUP(E854,Products!$A$2:$E$23,2,0)</f>
        <v>Track Pants</v>
      </c>
      <c r="R854" t="str">
        <f>VLOOKUP(Table1[[#This Row],[Product ID]],Products!$A$2:$E$23,3,0)</f>
        <v>Clothing</v>
      </c>
      <c r="S854" t="str">
        <f>VLOOKUP(C854,Customers!$A$2:$F$201,4,0)</f>
        <v>Gujarat</v>
      </c>
      <c r="T854" t="str">
        <f>VLOOKUP(Table1[[#This Row],[Customer ID]],Customers!$A$2:$F$201,5,0)</f>
        <v>West</v>
      </c>
      <c r="U854" t="str">
        <f>VLOOKUP(Table1[[#This Row],[Customer ID]],Customers!$A$2:$F$201,6,0)</f>
        <v>Consumer</v>
      </c>
      <c r="V854" t="str">
        <f>TEXT(Table1[[#This Row],[Order Date]],"MMM")</f>
        <v>Jun</v>
      </c>
      <c r="W854" t="str">
        <f>TEXT(Table1[[#This Row],[Order Date]],"yyyy")</f>
        <v>2025</v>
      </c>
    </row>
    <row r="855" spans="1:23" x14ac:dyDescent="0.25">
      <c r="A855" s="2" t="s">
        <v>1100</v>
      </c>
      <c r="B855" s="4">
        <v>45816</v>
      </c>
      <c r="C855" s="2" t="s">
        <v>17</v>
      </c>
      <c r="D855" s="2" t="str">
        <f>TEXT(Table1[[#This Row],[Order Date]],"mmmm")</f>
        <v>June</v>
      </c>
      <c r="E855" s="2" t="s">
        <v>45</v>
      </c>
      <c r="F855" s="2">
        <v>10</v>
      </c>
      <c r="G855" s="5">
        <v>0.15</v>
      </c>
      <c r="H855" s="2" t="s">
        <v>19</v>
      </c>
      <c r="I855" s="2" t="s">
        <v>38</v>
      </c>
      <c r="J855" s="2" t="s">
        <v>21</v>
      </c>
      <c r="K855">
        <f>VLOOKUP(E855,Products!$A$2:$E$23,5,0)</f>
        <v>899</v>
      </c>
      <c r="L855">
        <f>VLOOKUP(E855,Products!$A$2:$E$23,4,0)</f>
        <v>450</v>
      </c>
      <c r="M855" s="2">
        <f>K855*F855-Table1[[#This Row],[discount_amount]]</f>
        <v>7641.5</v>
      </c>
      <c r="N855">
        <f t="shared" si="27"/>
        <v>4500</v>
      </c>
      <c r="O855">
        <f t="shared" si="26"/>
        <v>3141.5</v>
      </c>
      <c r="P855">
        <f>Table1[[#This Row],[Quantity]]*Table1[[#This Row],[unit_price]]*Table1[[#This Row],[Discount]]</f>
        <v>1348.5</v>
      </c>
      <c r="Q855" t="str">
        <f>VLOOKUP(E855,Products!$A$2:$E$23,2,0)</f>
        <v>Track Pants</v>
      </c>
      <c r="R855" t="str">
        <f>VLOOKUP(Table1[[#This Row],[Product ID]],Products!$A$2:$E$23,3,0)</f>
        <v>Clothing</v>
      </c>
      <c r="S855" t="str">
        <f>VLOOKUP(C855,Customers!$A$2:$F$201,4,0)</f>
        <v>Madhya Pradesh</v>
      </c>
      <c r="T855" t="str">
        <f>VLOOKUP(Table1[[#This Row],[Customer ID]],Customers!$A$2:$F$201,5,0)</f>
        <v>Central</v>
      </c>
      <c r="U855" t="str">
        <f>VLOOKUP(Table1[[#This Row],[Customer ID]],Customers!$A$2:$F$201,6,0)</f>
        <v>Corporate</v>
      </c>
      <c r="V855" t="str">
        <f>TEXT(Table1[[#This Row],[Order Date]],"MMM")</f>
        <v>Jun</v>
      </c>
      <c r="W855" t="str">
        <f>TEXT(Table1[[#This Row],[Order Date]],"yyyy")</f>
        <v>2025</v>
      </c>
    </row>
    <row r="856" spans="1:23" x14ac:dyDescent="0.25">
      <c r="A856" s="2" t="s">
        <v>1101</v>
      </c>
      <c r="B856" s="4">
        <v>45817</v>
      </c>
      <c r="C856" s="2" t="s">
        <v>848</v>
      </c>
      <c r="D856" s="2" t="str">
        <f>TEXT(Table1[[#This Row],[Order Date]],"mmmm")</f>
        <v>June</v>
      </c>
      <c r="E856" s="2" t="s">
        <v>118</v>
      </c>
      <c r="F856" s="2">
        <v>3</v>
      </c>
      <c r="G856" s="5">
        <v>0</v>
      </c>
      <c r="H856" s="2" t="s">
        <v>30</v>
      </c>
      <c r="I856" s="2" t="s">
        <v>26</v>
      </c>
      <c r="J856" s="2" t="s">
        <v>21</v>
      </c>
      <c r="K856">
        <f>VLOOKUP(E856,Products!$A$2:$E$23,5,0)</f>
        <v>150</v>
      </c>
      <c r="L856">
        <f>VLOOKUP(E856,Products!$A$2:$E$23,4,0)</f>
        <v>90</v>
      </c>
      <c r="M856" s="2">
        <f>K856*F856-Table1[[#This Row],[discount_amount]]</f>
        <v>450</v>
      </c>
      <c r="N856">
        <f t="shared" si="27"/>
        <v>270</v>
      </c>
      <c r="O856">
        <f t="shared" si="26"/>
        <v>180</v>
      </c>
      <c r="P856">
        <f>Table1[[#This Row],[Quantity]]*Table1[[#This Row],[unit_price]]*Table1[[#This Row],[Discount]]</f>
        <v>0</v>
      </c>
      <c r="Q856" t="str">
        <f>VLOOKUP(E856,Products!$A$2:$E$23,2,0)</f>
        <v>Gel Pen Box</v>
      </c>
      <c r="R856" t="str">
        <f>VLOOKUP(Table1[[#This Row],[Product ID]],Products!$A$2:$E$23,3,0)</f>
        <v>Office Supplies</v>
      </c>
      <c r="S856" t="str">
        <f>VLOOKUP(C856,Customers!$A$2:$F$201,4,0)</f>
        <v>West Bengal</v>
      </c>
      <c r="T856" t="str">
        <f>VLOOKUP(Table1[[#This Row],[Customer ID]],Customers!$A$2:$F$201,5,0)</f>
        <v>East</v>
      </c>
      <c r="U856" t="str">
        <f>VLOOKUP(Table1[[#This Row],[Customer ID]],Customers!$A$2:$F$201,6,0)</f>
        <v>Corporate</v>
      </c>
      <c r="V856" t="str">
        <f>TEXT(Table1[[#This Row],[Order Date]],"MMM")</f>
        <v>Jun</v>
      </c>
      <c r="W856" t="str">
        <f>TEXT(Table1[[#This Row],[Order Date]],"yyyy")</f>
        <v>2025</v>
      </c>
    </row>
    <row r="857" spans="1:23" x14ac:dyDescent="0.25">
      <c r="A857" s="2" t="s">
        <v>1102</v>
      </c>
      <c r="B857" s="4">
        <v>45817</v>
      </c>
      <c r="C857" s="2" t="s">
        <v>174</v>
      </c>
      <c r="D857" s="2" t="str">
        <f>TEXT(Table1[[#This Row],[Order Date]],"mmmm")</f>
        <v>June</v>
      </c>
      <c r="E857" s="2" t="s">
        <v>63</v>
      </c>
      <c r="F857" s="2">
        <v>6</v>
      </c>
      <c r="G857" s="5">
        <v>0.05</v>
      </c>
      <c r="H857" s="2" t="s">
        <v>25</v>
      </c>
      <c r="I857" s="2" t="s">
        <v>20</v>
      </c>
      <c r="J857" s="2" t="s">
        <v>79</v>
      </c>
      <c r="K857">
        <f>VLOOKUP(E857,Products!$A$2:$E$23,5,0)</f>
        <v>5499</v>
      </c>
      <c r="L857">
        <f>VLOOKUP(E857,Products!$A$2:$E$23,4,0)</f>
        <v>3500</v>
      </c>
      <c r="M857" s="2">
        <f>K857*F857-Table1[[#This Row],[discount_amount]]</f>
        <v>31344.3</v>
      </c>
      <c r="N857">
        <f t="shared" si="27"/>
        <v>21000</v>
      </c>
      <c r="O857">
        <f t="shared" si="26"/>
        <v>10344.299999999999</v>
      </c>
      <c r="P857">
        <f>Table1[[#This Row],[Quantity]]*Table1[[#This Row],[unit_price]]*Table1[[#This Row],[Discount]]</f>
        <v>1649.7</v>
      </c>
      <c r="Q857" t="str">
        <f>VLOOKUP(E857,Products!$A$2:$E$23,2,0)</f>
        <v>Office Chair</v>
      </c>
      <c r="R857" t="str">
        <f>VLOOKUP(Table1[[#This Row],[Product ID]],Products!$A$2:$E$23,3,0)</f>
        <v>Furniture</v>
      </c>
      <c r="S857" t="str">
        <f>VLOOKUP(C857,Customers!$A$2:$F$201,4,0)</f>
        <v>Gujarat</v>
      </c>
      <c r="T857" t="str">
        <f>VLOOKUP(Table1[[#This Row],[Customer ID]],Customers!$A$2:$F$201,5,0)</f>
        <v>West</v>
      </c>
      <c r="U857" t="str">
        <f>VLOOKUP(Table1[[#This Row],[Customer ID]],Customers!$A$2:$F$201,6,0)</f>
        <v>Consumer</v>
      </c>
      <c r="V857" t="str">
        <f>TEXT(Table1[[#This Row],[Order Date]],"MMM")</f>
        <v>Jun</v>
      </c>
      <c r="W857" t="str">
        <f>TEXT(Table1[[#This Row],[Order Date]],"yyyy")</f>
        <v>2025</v>
      </c>
    </row>
    <row r="858" spans="1:23" x14ac:dyDescent="0.25">
      <c r="A858" s="2" t="s">
        <v>1103</v>
      </c>
      <c r="B858" s="4">
        <v>45818</v>
      </c>
      <c r="C858" s="2" t="s">
        <v>329</v>
      </c>
      <c r="D858" s="2" t="str">
        <f>TEXT(Table1[[#This Row],[Order Date]],"mmmm")</f>
        <v>June</v>
      </c>
      <c r="E858" s="2" t="s">
        <v>127</v>
      </c>
      <c r="F858" s="2">
        <v>1</v>
      </c>
      <c r="G858" s="5">
        <v>0.1</v>
      </c>
      <c r="H858" s="2" t="s">
        <v>19</v>
      </c>
      <c r="I858" s="2" t="s">
        <v>20</v>
      </c>
      <c r="J858" s="2" t="s">
        <v>94</v>
      </c>
      <c r="K858">
        <f>VLOOKUP(E858,Products!$A$2:$E$23,5,0)</f>
        <v>1999</v>
      </c>
      <c r="L858">
        <f>VLOOKUP(E858,Products!$A$2:$E$23,4,0)</f>
        <v>1200</v>
      </c>
      <c r="M858" s="2">
        <f>K858*F858-Table1[[#This Row],[discount_amount]]</f>
        <v>1799.1</v>
      </c>
      <c r="N858">
        <f t="shared" si="27"/>
        <v>1200</v>
      </c>
      <c r="O858">
        <f t="shared" si="26"/>
        <v>599.09999999999991</v>
      </c>
      <c r="P858">
        <f>Table1[[#This Row],[Quantity]]*Table1[[#This Row],[unit_price]]*Table1[[#This Row],[Discount]]</f>
        <v>199.9</v>
      </c>
      <c r="Q858" t="str">
        <f>VLOOKUP(E858,Products!$A$2:$E$23,2,0)</f>
        <v>Bluetooth Speaker</v>
      </c>
      <c r="R858" t="str">
        <f>VLOOKUP(Table1[[#This Row],[Product ID]],Products!$A$2:$E$23,3,0)</f>
        <v>Electronics</v>
      </c>
      <c r="S858" t="str">
        <f>VLOOKUP(C858,Customers!$A$2:$F$201,4,0)</f>
        <v>Maharashtra</v>
      </c>
      <c r="T858" t="str">
        <f>VLOOKUP(Table1[[#This Row],[Customer ID]],Customers!$A$2:$F$201,5,0)</f>
        <v>West</v>
      </c>
      <c r="U858" t="str">
        <f>VLOOKUP(Table1[[#This Row],[Customer ID]],Customers!$A$2:$F$201,6,0)</f>
        <v>Consumer</v>
      </c>
      <c r="V858" t="str">
        <f>TEXT(Table1[[#This Row],[Order Date]],"MMM")</f>
        <v>Jun</v>
      </c>
      <c r="W858" t="str">
        <f>TEXT(Table1[[#This Row],[Order Date]],"yyyy")</f>
        <v>2025</v>
      </c>
    </row>
    <row r="859" spans="1:23" x14ac:dyDescent="0.25">
      <c r="A859" s="2" t="s">
        <v>1104</v>
      </c>
      <c r="B859" s="4">
        <v>45819</v>
      </c>
      <c r="C859" s="2" t="s">
        <v>36</v>
      </c>
      <c r="D859" s="2" t="str">
        <f>TEXT(Table1[[#This Row],[Order Date]],"mmmm")</f>
        <v>June</v>
      </c>
      <c r="E859" s="2" t="s">
        <v>24</v>
      </c>
      <c r="F859" s="2">
        <v>5</v>
      </c>
      <c r="G859" s="5">
        <v>0.15</v>
      </c>
      <c r="H859" s="2" t="s">
        <v>30</v>
      </c>
      <c r="I859" s="2" t="s">
        <v>26</v>
      </c>
      <c r="J859" s="2" t="s">
        <v>21</v>
      </c>
      <c r="K859">
        <f>VLOOKUP(E859,Products!$A$2:$E$23,5,0)</f>
        <v>899</v>
      </c>
      <c r="L859">
        <f>VLOOKUP(E859,Products!$A$2:$E$23,4,0)</f>
        <v>500</v>
      </c>
      <c r="M859" s="2">
        <f>K859*F859-Table1[[#This Row],[discount_amount]]</f>
        <v>3820.75</v>
      </c>
      <c r="N859">
        <f t="shared" si="27"/>
        <v>2500</v>
      </c>
      <c r="O859">
        <f t="shared" si="26"/>
        <v>1320.75</v>
      </c>
      <c r="P859">
        <f>Table1[[#This Row],[Quantity]]*Table1[[#This Row],[unit_price]]*Table1[[#This Row],[Discount]]</f>
        <v>674.25</v>
      </c>
      <c r="Q859" t="str">
        <f>VLOOKUP(E859,Products!$A$2:$E$23,2,0)</f>
        <v>Monitor Stand</v>
      </c>
      <c r="R859" t="str">
        <f>VLOOKUP(Table1[[#This Row],[Product ID]],Products!$A$2:$E$23,3,0)</f>
        <v>Furniture</v>
      </c>
      <c r="S859" t="str">
        <f>VLOOKUP(C859,Customers!$A$2:$F$201,4,0)</f>
        <v>Gujarat</v>
      </c>
      <c r="T859" t="str">
        <f>VLOOKUP(Table1[[#This Row],[Customer ID]],Customers!$A$2:$F$201,5,0)</f>
        <v>West</v>
      </c>
      <c r="U859" t="str">
        <f>VLOOKUP(Table1[[#This Row],[Customer ID]],Customers!$A$2:$F$201,6,0)</f>
        <v>Consumer</v>
      </c>
      <c r="V859" t="str">
        <f>TEXT(Table1[[#This Row],[Order Date]],"MMM")</f>
        <v>Jun</v>
      </c>
      <c r="W859" t="str">
        <f>TEXT(Table1[[#This Row],[Order Date]],"yyyy")</f>
        <v>2025</v>
      </c>
    </row>
    <row r="860" spans="1:23" x14ac:dyDescent="0.25">
      <c r="A860" s="2" t="s">
        <v>1105</v>
      </c>
      <c r="B860" s="4">
        <v>45819</v>
      </c>
      <c r="C860" s="2" t="s">
        <v>501</v>
      </c>
      <c r="D860" s="2" t="str">
        <f>TEXT(Table1[[#This Row],[Order Date]],"mmmm")</f>
        <v>June</v>
      </c>
      <c r="E860" s="2" t="s">
        <v>60</v>
      </c>
      <c r="F860" s="2">
        <v>4</v>
      </c>
      <c r="G860" s="5">
        <v>0.05</v>
      </c>
      <c r="H860" s="2" t="s">
        <v>25</v>
      </c>
      <c r="I860" s="2" t="s">
        <v>26</v>
      </c>
      <c r="J860" s="2" t="s">
        <v>21</v>
      </c>
      <c r="K860">
        <f>VLOOKUP(E860,Products!$A$2:$E$23,5,0)</f>
        <v>449</v>
      </c>
      <c r="L860">
        <f>VLOOKUP(E860,Products!$A$2:$E$23,4,0)</f>
        <v>260</v>
      </c>
      <c r="M860" s="2">
        <f>K860*F860-Table1[[#This Row],[discount_amount]]</f>
        <v>1706.2</v>
      </c>
      <c r="N860">
        <f t="shared" si="27"/>
        <v>1040</v>
      </c>
      <c r="O860">
        <f t="shared" si="26"/>
        <v>666.2</v>
      </c>
      <c r="P860">
        <f>Table1[[#This Row],[Quantity]]*Table1[[#This Row],[unit_price]]*Table1[[#This Row],[Discount]]</f>
        <v>89.800000000000011</v>
      </c>
      <c r="Q860" t="str">
        <f>VLOOKUP(E860,Products!$A$2:$E$23,2,0)</f>
        <v>Desk Organizer</v>
      </c>
      <c r="R860" t="str">
        <f>VLOOKUP(Table1[[#This Row],[Product ID]],Products!$A$2:$E$23,3,0)</f>
        <v>Office Supplies</v>
      </c>
      <c r="S860" t="str">
        <f>VLOOKUP(C860,Customers!$A$2:$F$201,4,0)</f>
        <v>Tamil Nadu</v>
      </c>
      <c r="T860" t="str">
        <f>VLOOKUP(Table1[[#This Row],[Customer ID]],Customers!$A$2:$F$201,5,0)</f>
        <v>South</v>
      </c>
      <c r="U860" t="str">
        <f>VLOOKUP(Table1[[#This Row],[Customer ID]],Customers!$A$2:$F$201,6,0)</f>
        <v>Consumer</v>
      </c>
      <c r="V860" t="str">
        <f>TEXT(Table1[[#This Row],[Order Date]],"MMM")</f>
        <v>Jun</v>
      </c>
      <c r="W860" t="str">
        <f>TEXT(Table1[[#This Row],[Order Date]],"yyyy")</f>
        <v>2025</v>
      </c>
    </row>
    <row r="861" spans="1:23" x14ac:dyDescent="0.25">
      <c r="A861" s="2" t="s">
        <v>1106</v>
      </c>
      <c r="B861" s="4">
        <v>45820</v>
      </c>
      <c r="C861" s="2" t="s">
        <v>320</v>
      </c>
      <c r="D861" s="2" t="str">
        <f>TEXT(Table1[[#This Row],[Order Date]],"mmmm")</f>
        <v>June</v>
      </c>
      <c r="E861" s="2" t="s">
        <v>54</v>
      </c>
      <c r="F861" s="2">
        <v>1</v>
      </c>
      <c r="G861" s="5">
        <v>0.1</v>
      </c>
      <c r="H861" s="2" t="s">
        <v>30</v>
      </c>
      <c r="I861" s="2" t="s">
        <v>20</v>
      </c>
      <c r="J861" s="2" t="s">
        <v>21</v>
      </c>
      <c r="K861">
        <f>VLOOKUP(E861,Products!$A$2:$E$23,5,0)</f>
        <v>299</v>
      </c>
      <c r="L861">
        <f>VLOOKUP(E861,Products!$A$2:$E$23,4,0)</f>
        <v>180</v>
      </c>
      <c r="M861" s="2">
        <f>K861*F861-Table1[[#This Row],[discount_amount]]</f>
        <v>269.10000000000002</v>
      </c>
      <c r="N861">
        <f t="shared" si="27"/>
        <v>180</v>
      </c>
      <c r="O861">
        <f t="shared" si="26"/>
        <v>89.100000000000023</v>
      </c>
      <c r="P861">
        <f>Table1[[#This Row],[Quantity]]*Table1[[#This Row],[unit_price]]*Table1[[#This Row],[Discount]]</f>
        <v>29.900000000000002</v>
      </c>
      <c r="Q861" t="str">
        <f>VLOOKUP(E861,Products!$A$2:$E$23,2,0)</f>
        <v>Notebook Pack of 5</v>
      </c>
      <c r="R861" t="str">
        <f>VLOOKUP(Table1[[#This Row],[Product ID]],Products!$A$2:$E$23,3,0)</f>
        <v>Office Supplies</v>
      </c>
      <c r="S861" t="str">
        <f>VLOOKUP(C861,Customers!$A$2:$F$201,4,0)</f>
        <v>Gujarat</v>
      </c>
      <c r="T861" t="str">
        <f>VLOOKUP(Table1[[#This Row],[Customer ID]],Customers!$A$2:$F$201,5,0)</f>
        <v>West</v>
      </c>
      <c r="U861" t="str">
        <f>VLOOKUP(Table1[[#This Row],[Customer ID]],Customers!$A$2:$F$201,6,0)</f>
        <v>Consumer</v>
      </c>
      <c r="V861" t="str">
        <f>TEXT(Table1[[#This Row],[Order Date]],"MMM")</f>
        <v>Jun</v>
      </c>
      <c r="W861" t="str">
        <f>TEXT(Table1[[#This Row],[Order Date]],"yyyy")</f>
        <v>2025</v>
      </c>
    </row>
    <row r="862" spans="1:23" x14ac:dyDescent="0.25">
      <c r="A862" s="2" t="s">
        <v>1107</v>
      </c>
      <c r="B862" s="4">
        <v>45822</v>
      </c>
      <c r="C862" s="2" t="s">
        <v>582</v>
      </c>
      <c r="D862" s="2" t="str">
        <f>TEXT(Table1[[#This Row],[Order Date]],"mmmm")</f>
        <v>June</v>
      </c>
      <c r="E862" s="2" t="s">
        <v>57</v>
      </c>
      <c r="F862" s="2">
        <v>1</v>
      </c>
      <c r="G862" s="5">
        <v>0.05</v>
      </c>
      <c r="H862" s="2" t="s">
        <v>19</v>
      </c>
      <c r="I862" s="2" t="s">
        <v>31</v>
      </c>
      <c r="J862" s="2" t="s">
        <v>21</v>
      </c>
      <c r="K862">
        <f>VLOOKUP(E862,Products!$A$2:$E$23,5,0)</f>
        <v>1599</v>
      </c>
      <c r="L862">
        <f>VLOOKUP(E862,Products!$A$2:$E$23,4,0)</f>
        <v>800</v>
      </c>
      <c r="M862" s="2">
        <f>K862*F862-Table1[[#This Row],[discount_amount]]</f>
        <v>1519.05</v>
      </c>
      <c r="N862">
        <f t="shared" si="27"/>
        <v>800</v>
      </c>
      <c r="O862">
        <f t="shared" si="26"/>
        <v>719.05</v>
      </c>
      <c r="P862">
        <f>Table1[[#This Row],[Quantity]]*Table1[[#This Row],[unit_price]]*Table1[[#This Row],[Discount]]</f>
        <v>79.95</v>
      </c>
      <c r="Q862" t="str">
        <f>VLOOKUP(E862,Products!$A$2:$E$23,2,0)</f>
        <v>Hoodie</v>
      </c>
      <c r="R862" t="str">
        <f>VLOOKUP(Table1[[#This Row],[Product ID]],Products!$A$2:$E$23,3,0)</f>
        <v>Clothing</v>
      </c>
      <c r="S862" t="str">
        <f>VLOOKUP(C862,Customers!$A$2:$F$201,4,0)</f>
        <v>Bihar</v>
      </c>
      <c r="T862" t="str">
        <f>VLOOKUP(Table1[[#This Row],[Customer ID]],Customers!$A$2:$F$201,5,0)</f>
        <v>East</v>
      </c>
      <c r="U862" t="str">
        <f>VLOOKUP(Table1[[#This Row],[Customer ID]],Customers!$A$2:$F$201,6,0)</f>
        <v>Corporate</v>
      </c>
      <c r="V862" t="str">
        <f>TEXT(Table1[[#This Row],[Order Date]],"MMM")</f>
        <v>Jun</v>
      </c>
      <c r="W862" t="str">
        <f>TEXT(Table1[[#This Row],[Order Date]],"yyyy")</f>
        <v>2025</v>
      </c>
    </row>
    <row r="863" spans="1:23" x14ac:dyDescent="0.25">
      <c r="A863" s="2" t="s">
        <v>1108</v>
      </c>
      <c r="B863" s="4">
        <v>45823</v>
      </c>
      <c r="C863" s="2" t="s">
        <v>735</v>
      </c>
      <c r="D863" s="2" t="str">
        <f>TEXT(Table1[[#This Row],[Order Date]],"mmmm")</f>
        <v>June</v>
      </c>
      <c r="E863" s="2" t="s">
        <v>29</v>
      </c>
      <c r="F863" s="2">
        <v>2</v>
      </c>
      <c r="G863" s="5">
        <v>0</v>
      </c>
      <c r="H863" s="2" t="s">
        <v>25</v>
      </c>
      <c r="I863" s="2" t="s">
        <v>46</v>
      </c>
      <c r="J863" s="2" t="s">
        <v>21</v>
      </c>
      <c r="K863">
        <f>VLOOKUP(E863,Products!$A$2:$E$23,5,0)</f>
        <v>599</v>
      </c>
      <c r="L863">
        <f>VLOOKUP(E863,Products!$A$2:$E$23,4,0)</f>
        <v>350</v>
      </c>
      <c r="M863" s="2">
        <f>K863*F863-Table1[[#This Row],[discount_amount]]</f>
        <v>1198</v>
      </c>
      <c r="N863">
        <f t="shared" si="27"/>
        <v>700</v>
      </c>
      <c r="O863">
        <f t="shared" si="26"/>
        <v>498</v>
      </c>
      <c r="P863">
        <f>Table1[[#This Row],[Quantity]]*Table1[[#This Row],[unit_price]]*Table1[[#This Row],[Discount]]</f>
        <v>0</v>
      </c>
      <c r="Q863" t="str">
        <f>VLOOKUP(E863,Products!$A$2:$E$23,2,0)</f>
        <v>USB Flash Drive 64GB</v>
      </c>
      <c r="R863" t="str">
        <f>VLOOKUP(Table1[[#This Row],[Product ID]],Products!$A$2:$E$23,3,0)</f>
        <v>Electronics</v>
      </c>
      <c r="S863" t="str">
        <f>VLOOKUP(C863,Customers!$A$2:$F$201,4,0)</f>
        <v>Maharashtra</v>
      </c>
      <c r="T863" t="str">
        <f>VLOOKUP(Table1[[#This Row],[Customer ID]],Customers!$A$2:$F$201,5,0)</f>
        <v>West</v>
      </c>
      <c r="U863" t="str">
        <f>VLOOKUP(Table1[[#This Row],[Customer ID]],Customers!$A$2:$F$201,6,0)</f>
        <v>Consumer</v>
      </c>
      <c r="V863" t="str">
        <f>TEXT(Table1[[#This Row],[Order Date]],"MMM")</f>
        <v>Jun</v>
      </c>
      <c r="W863" t="str">
        <f>TEXT(Table1[[#This Row],[Order Date]],"yyyy")</f>
        <v>2025</v>
      </c>
    </row>
    <row r="864" spans="1:23" x14ac:dyDescent="0.25">
      <c r="A864" s="2" t="s">
        <v>1109</v>
      </c>
      <c r="B864" s="4">
        <v>45825</v>
      </c>
      <c r="C864" s="2" t="s">
        <v>421</v>
      </c>
      <c r="D864" s="2" t="str">
        <f>TEXT(Table1[[#This Row],[Order Date]],"mmmm")</f>
        <v>June</v>
      </c>
      <c r="E864" s="2" t="s">
        <v>37</v>
      </c>
      <c r="F864" s="2">
        <v>5</v>
      </c>
      <c r="G864" s="5">
        <v>0.1</v>
      </c>
      <c r="H864" s="2" t="s">
        <v>19</v>
      </c>
      <c r="I864" s="2" t="s">
        <v>46</v>
      </c>
      <c r="J864" s="2" t="s">
        <v>21</v>
      </c>
      <c r="K864">
        <f>VLOOKUP(E864,Products!$A$2:$E$23,5,0)</f>
        <v>1799</v>
      </c>
      <c r="L864">
        <f>VLOOKUP(E864,Products!$A$2:$E$23,4,0)</f>
        <v>900</v>
      </c>
      <c r="M864" s="2">
        <f>K864*F864-Table1[[#This Row],[discount_amount]]</f>
        <v>8095.5</v>
      </c>
      <c r="N864">
        <f t="shared" si="27"/>
        <v>4500</v>
      </c>
      <c r="O864">
        <f t="shared" si="26"/>
        <v>3595.5</v>
      </c>
      <c r="P864">
        <f>Table1[[#This Row],[Quantity]]*Table1[[#This Row],[unit_price]]*Table1[[#This Row],[Discount]]</f>
        <v>899.5</v>
      </c>
      <c r="Q864" t="str">
        <f>VLOOKUP(E864,Products!$A$2:$E$23,2,0)</f>
        <v>Denim Jeans</v>
      </c>
      <c r="R864" t="str">
        <f>VLOOKUP(Table1[[#This Row],[Product ID]],Products!$A$2:$E$23,3,0)</f>
        <v>Clothing</v>
      </c>
      <c r="S864" t="str">
        <f>VLOOKUP(C864,Customers!$A$2:$F$201,4,0)</f>
        <v>Madhya Pradesh</v>
      </c>
      <c r="T864" t="str">
        <f>VLOOKUP(Table1[[#This Row],[Customer ID]],Customers!$A$2:$F$201,5,0)</f>
        <v>Central</v>
      </c>
      <c r="U864" t="str">
        <f>VLOOKUP(Table1[[#This Row],[Customer ID]],Customers!$A$2:$F$201,6,0)</f>
        <v>Consumer</v>
      </c>
      <c r="V864" t="str">
        <f>TEXT(Table1[[#This Row],[Order Date]],"MMM")</f>
        <v>Jun</v>
      </c>
      <c r="W864" t="str">
        <f>TEXT(Table1[[#This Row],[Order Date]],"yyyy")</f>
        <v>2025</v>
      </c>
    </row>
    <row r="865" spans="1:23" x14ac:dyDescent="0.25">
      <c r="A865" s="2" t="s">
        <v>1110</v>
      </c>
      <c r="B865" s="4">
        <v>45827</v>
      </c>
      <c r="C865" s="2" t="s">
        <v>70</v>
      </c>
      <c r="D865" s="2" t="str">
        <f>TEXT(Table1[[#This Row],[Order Date]],"mmmm")</f>
        <v>June</v>
      </c>
      <c r="E865" s="2" t="s">
        <v>18</v>
      </c>
      <c r="F865" s="2">
        <v>4</v>
      </c>
      <c r="G865" s="5">
        <v>0.1</v>
      </c>
      <c r="H865" s="2" t="s">
        <v>19</v>
      </c>
      <c r="I865" s="2" t="s">
        <v>26</v>
      </c>
      <c r="J865" s="2" t="s">
        <v>21</v>
      </c>
      <c r="K865">
        <f>VLOOKUP(E865,Products!$A$2:$E$23,5,0)</f>
        <v>4299</v>
      </c>
      <c r="L865">
        <f>VLOOKUP(E865,Products!$A$2:$E$23,4,0)</f>
        <v>2800</v>
      </c>
      <c r="M865" s="2">
        <f>K865*F865-Table1[[#This Row],[discount_amount]]</f>
        <v>15476.4</v>
      </c>
      <c r="N865">
        <f t="shared" si="27"/>
        <v>11200</v>
      </c>
      <c r="O865">
        <f t="shared" si="26"/>
        <v>4276.3999999999996</v>
      </c>
      <c r="P865">
        <f>Table1[[#This Row],[Quantity]]*Table1[[#This Row],[unit_price]]*Table1[[#This Row],[Discount]]</f>
        <v>1719.6000000000001</v>
      </c>
      <c r="Q865" t="str">
        <f>VLOOKUP(E865,Products!$A$2:$E$23,2,0)</f>
        <v>Bookshelf</v>
      </c>
      <c r="R865" t="str">
        <f>VLOOKUP(Table1[[#This Row],[Product ID]],Products!$A$2:$E$23,3,0)</f>
        <v>Furniture</v>
      </c>
      <c r="S865" t="str">
        <f>VLOOKUP(C865,Customers!$A$2:$F$201,4,0)</f>
        <v>Delhi</v>
      </c>
      <c r="T865" t="str">
        <f>VLOOKUP(Table1[[#This Row],[Customer ID]],Customers!$A$2:$F$201,5,0)</f>
        <v>North</v>
      </c>
      <c r="U865" t="str">
        <f>VLOOKUP(Table1[[#This Row],[Customer ID]],Customers!$A$2:$F$201,6,0)</f>
        <v>Home Office</v>
      </c>
      <c r="V865" t="str">
        <f>TEXT(Table1[[#This Row],[Order Date]],"MMM")</f>
        <v>Jun</v>
      </c>
      <c r="W865" t="str">
        <f>TEXT(Table1[[#This Row],[Order Date]],"yyyy")</f>
        <v>2025</v>
      </c>
    </row>
    <row r="866" spans="1:23" x14ac:dyDescent="0.25">
      <c r="A866" s="2" t="s">
        <v>1111</v>
      </c>
      <c r="B866" s="4">
        <v>45827</v>
      </c>
      <c r="C866" s="2" t="s">
        <v>203</v>
      </c>
      <c r="D866" s="2" t="str">
        <f>TEXT(Table1[[#This Row],[Order Date]],"mmmm")</f>
        <v>June</v>
      </c>
      <c r="E866" s="2" t="s">
        <v>82</v>
      </c>
      <c r="F866" s="2">
        <v>5</v>
      </c>
      <c r="G866" s="5">
        <v>0.15</v>
      </c>
      <c r="H866" s="2" t="s">
        <v>30</v>
      </c>
      <c r="I866" s="2" t="s">
        <v>38</v>
      </c>
      <c r="J866" s="2" t="s">
        <v>79</v>
      </c>
      <c r="K866">
        <f>VLOOKUP(E866,Products!$A$2:$E$23,5,0)</f>
        <v>1799</v>
      </c>
      <c r="L866">
        <f>VLOOKUP(E866,Products!$A$2:$E$23,4,0)</f>
        <v>1100</v>
      </c>
      <c r="M866" s="2">
        <f>K866*F866-Table1[[#This Row],[discount_amount]]</f>
        <v>7645.75</v>
      </c>
      <c r="N866">
        <f t="shared" si="27"/>
        <v>5500</v>
      </c>
      <c r="O866">
        <f t="shared" si="26"/>
        <v>2145.75</v>
      </c>
      <c r="P866">
        <f>Table1[[#This Row],[Quantity]]*Table1[[#This Row],[unit_price]]*Table1[[#This Row],[Discount]]</f>
        <v>1349.25</v>
      </c>
      <c r="Q866" t="str">
        <f>VLOOKUP(E866,Products!$A$2:$E$23,2,0)</f>
        <v>Webcam HD</v>
      </c>
      <c r="R866" t="str">
        <f>VLOOKUP(Table1[[#This Row],[Product ID]],Products!$A$2:$E$23,3,0)</f>
        <v>Electronics</v>
      </c>
      <c r="S866" t="str">
        <f>VLOOKUP(C866,Customers!$A$2:$F$201,4,0)</f>
        <v>Kerala</v>
      </c>
      <c r="T866" t="str">
        <f>VLOOKUP(Table1[[#This Row],[Customer ID]],Customers!$A$2:$F$201,5,0)</f>
        <v>South</v>
      </c>
      <c r="U866" t="str">
        <f>VLOOKUP(Table1[[#This Row],[Customer ID]],Customers!$A$2:$F$201,6,0)</f>
        <v>Corporate</v>
      </c>
      <c r="V866" t="str">
        <f>TEXT(Table1[[#This Row],[Order Date]],"MMM")</f>
        <v>Jun</v>
      </c>
      <c r="W866" t="str">
        <f>TEXT(Table1[[#This Row],[Order Date]],"yyyy")</f>
        <v>2025</v>
      </c>
    </row>
    <row r="867" spans="1:23" x14ac:dyDescent="0.25">
      <c r="A867" s="2" t="s">
        <v>1112</v>
      </c>
      <c r="B867" s="4">
        <v>45828</v>
      </c>
      <c r="C867" s="2" t="s">
        <v>425</v>
      </c>
      <c r="D867" s="2" t="str">
        <f>TEXT(Table1[[#This Row],[Order Date]],"mmmm")</f>
        <v>June</v>
      </c>
      <c r="E867" s="2" t="s">
        <v>49</v>
      </c>
      <c r="F867" s="2">
        <v>2</v>
      </c>
      <c r="G867" s="5">
        <v>0.15</v>
      </c>
      <c r="H867" s="2" t="s">
        <v>30</v>
      </c>
      <c r="I867" s="2" t="s">
        <v>26</v>
      </c>
      <c r="J867" s="2" t="s">
        <v>42</v>
      </c>
      <c r="K867">
        <f>VLOOKUP(E867,Products!$A$2:$E$23,5,0)</f>
        <v>700</v>
      </c>
      <c r="L867">
        <f>VLOOKUP(E867,Products!$A$2:$E$23,4,0)</f>
        <v>450</v>
      </c>
      <c r="M867" s="2">
        <f>K867*F867-Table1[[#This Row],[discount_amount]]</f>
        <v>1190</v>
      </c>
      <c r="N867">
        <f t="shared" si="27"/>
        <v>900</v>
      </c>
      <c r="O867">
        <f t="shared" si="26"/>
        <v>290</v>
      </c>
      <c r="P867">
        <f>Table1[[#This Row],[Quantity]]*Table1[[#This Row],[unit_price]]*Table1[[#This Row],[Discount]]</f>
        <v>210</v>
      </c>
      <c r="Q867" t="str">
        <f>VLOOKUP(E867,Products!$A$2:$E$23,2,0)</f>
        <v>Wireless Mouse</v>
      </c>
      <c r="R867" t="str">
        <f>VLOOKUP(Table1[[#This Row],[Product ID]],Products!$A$2:$E$23,3,0)</f>
        <v>Electronics</v>
      </c>
      <c r="S867" t="str">
        <f>VLOOKUP(C867,Customers!$A$2:$F$201,4,0)</f>
        <v>Chandigarh</v>
      </c>
      <c r="T867" t="str">
        <f>VLOOKUP(Table1[[#This Row],[Customer ID]],Customers!$A$2:$F$201,5,0)</f>
        <v>North</v>
      </c>
      <c r="U867" t="str">
        <f>VLOOKUP(Table1[[#This Row],[Customer ID]],Customers!$A$2:$F$201,6,0)</f>
        <v>Corporate</v>
      </c>
      <c r="V867" t="str">
        <f>TEXT(Table1[[#This Row],[Order Date]],"MMM")</f>
        <v>Jun</v>
      </c>
      <c r="W867" t="str">
        <f>TEXT(Table1[[#This Row],[Order Date]],"yyyy")</f>
        <v>2025</v>
      </c>
    </row>
    <row r="868" spans="1:23" x14ac:dyDescent="0.25">
      <c r="A868" s="2" t="s">
        <v>1113</v>
      </c>
      <c r="B868" s="4">
        <v>45828</v>
      </c>
      <c r="C868" s="2" t="s">
        <v>869</v>
      </c>
      <c r="D868" s="2" t="str">
        <f>TEXT(Table1[[#This Row],[Order Date]],"mmmm")</f>
        <v>June</v>
      </c>
      <c r="E868" s="2" t="s">
        <v>82</v>
      </c>
      <c r="F868" s="2">
        <v>5</v>
      </c>
      <c r="G868" s="5">
        <v>0.05</v>
      </c>
      <c r="H868" s="2" t="s">
        <v>30</v>
      </c>
      <c r="I868" s="2" t="s">
        <v>38</v>
      </c>
      <c r="J868" s="2" t="s">
        <v>21</v>
      </c>
      <c r="K868">
        <f>VLOOKUP(E868,Products!$A$2:$E$23,5,0)</f>
        <v>1799</v>
      </c>
      <c r="L868">
        <f>VLOOKUP(E868,Products!$A$2:$E$23,4,0)</f>
        <v>1100</v>
      </c>
      <c r="M868" s="2">
        <f>K868*F868-Table1[[#This Row],[discount_amount]]</f>
        <v>8545.25</v>
      </c>
      <c r="N868">
        <f t="shared" si="27"/>
        <v>5500</v>
      </c>
      <c r="O868">
        <f t="shared" si="26"/>
        <v>3045.25</v>
      </c>
      <c r="P868">
        <f>Table1[[#This Row],[Quantity]]*Table1[[#This Row],[unit_price]]*Table1[[#This Row],[Discount]]</f>
        <v>449.75</v>
      </c>
      <c r="Q868" t="str">
        <f>VLOOKUP(E868,Products!$A$2:$E$23,2,0)</f>
        <v>Webcam HD</v>
      </c>
      <c r="R868" t="str">
        <f>VLOOKUP(Table1[[#This Row],[Product ID]],Products!$A$2:$E$23,3,0)</f>
        <v>Electronics</v>
      </c>
      <c r="S868" t="str">
        <f>VLOOKUP(C868,Customers!$A$2:$F$201,4,0)</f>
        <v>Maharashtra</v>
      </c>
      <c r="T868" t="str">
        <f>VLOOKUP(Table1[[#This Row],[Customer ID]],Customers!$A$2:$F$201,5,0)</f>
        <v>Central</v>
      </c>
      <c r="U868" t="str">
        <f>VLOOKUP(Table1[[#This Row],[Customer ID]],Customers!$A$2:$F$201,6,0)</f>
        <v>Consumer</v>
      </c>
      <c r="V868" t="str">
        <f>TEXT(Table1[[#This Row],[Order Date]],"MMM")</f>
        <v>Jun</v>
      </c>
      <c r="W868" t="str">
        <f>TEXT(Table1[[#This Row],[Order Date]],"yyyy")</f>
        <v>2025</v>
      </c>
    </row>
    <row r="869" spans="1:23" x14ac:dyDescent="0.25">
      <c r="A869" s="2" t="s">
        <v>1114</v>
      </c>
      <c r="B869" s="4">
        <v>45828</v>
      </c>
      <c r="C869" s="2" t="s">
        <v>243</v>
      </c>
      <c r="D869" s="2" t="str">
        <f>TEXT(Table1[[#This Row],[Order Date]],"mmmm")</f>
        <v>June</v>
      </c>
      <c r="E869" s="2" t="s">
        <v>41</v>
      </c>
      <c r="F869" s="2">
        <v>1</v>
      </c>
      <c r="G869" s="5">
        <v>0</v>
      </c>
      <c r="H869" s="2" t="s">
        <v>19</v>
      </c>
      <c r="I869" s="2" t="s">
        <v>20</v>
      </c>
      <c r="J869" s="2" t="s">
        <v>21</v>
      </c>
      <c r="K869">
        <f>VLOOKUP(E869,Products!$A$2:$E$23,5,0)</f>
        <v>320</v>
      </c>
      <c r="L869">
        <f>VLOOKUP(E869,Products!$A$2:$E$23,4,0)</f>
        <v>220</v>
      </c>
      <c r="M869" s="2">
        <f>K869*F869-Table1[[#This Row],[discount_amount]]</f>
        <v>320</v>
      </c>
      <c r="N869">
        <f t="shared" si="27"/>
        <v>220</v>
      </c>
      <c r="O869">
        <f t="shared" si="26"/>
        <v>100</v>
      </c>
      <c r="P869">
        <f>Table1[[#This Row],[Quantity]]*Table1[[#This Row],[unit_price]]*Table1[[#This Row],[Discount]]</f>
        <v>0</v>
      </c>
      <c r="Q869" t="str">
        <f>VLOOKUP(E869,Products!$A$2:$E$23,2,0)</f>
        <v>A4 Paper Ream</v>
      </c>
      <c r="R869" t="str">
        <f>VLOOKUP(Table1[[#This Row],[Product ID]],Products!$A$2:$E$23,3,0)</f>
        <v>Office Supplies</v>
      </c>
      <c r="S869" t="str">
        <f>VLOOKUP(C869,Customers!$A$2:$F$201,4,0)</f>
        <v>Maharashtra</v>
      </c>
      <c r="T869" t="str">
        <f>VLOOKUP(Table1[[#This Row],[Customer ID]],Customers!$A$2:$F$201,5,0)</f>
        <v>Central</v>
      </c>
      <c r="U869" t="str">
        <f>VLOOKUP(Table1[[#This Row],[Customer ID]],Customers!$A$2:$F$201,6,0)</f>
        <v>Home Office</v>
      </c>
      <c r="V869" t="str">
        <f>TEXT(Table1[[#This Row],[Order Date]],"MMM")</f>
        <v>Jun</v>
      </c>
      <c r="W869" t="str">
        <f>TEXT(Table1[[#This Row],[Order Date]],"yyyy")</f>
        <v>2025</v>
      </c>
    </row>
    <row r="870" spans="1:23" x14ac:dyDescent="0.25">
      <c r="A870" s="2" t="s">
        <v>1115</v>
      </c>
      <c r="B870" s="4">
        <v>45830</v>
      </c>
      <c r="C870" s="2" t="s">
        <v>509</v>
      </c>
      <c r="D870" s="2" t="str">
        <f>TEXT(Table1[[#This Row],[Order Date]],"mmmm")</f>
        <v>June</v>
      </c>
      <c r="E870" s="2" t="s">
        <v>155</v>
      </c>
      <c r="F870" s="2">
        <v>2</v>
      </c>
      <c r="G870" s="5">
        <v>0</v>
      </c>
      <c r="H870" s="2" t="s">
        <v>19</v>
      </c>
      <c r="I870" s="2" t="s">
        <v>26</v>
      </c>
      <c r="J870" s="2" t="s">
        <v>79</v>
      </c>
      <c r="K870">
        <f>VLOOKUP(E870,Products!$A$2:$E$23,5,0)</f>
        <v>1599</v>
      </c>
      <c r="L870">
        <f>VLOOKUP(E870,Products!$A$2:$E$23,4,0)</f>
        <v>900</v>
      </c>
      <c r="M870" s="2">
        <f>K870*F870-Table1[[#This Row],[discount_amount]]</f>
        <v>3198</v>
      </c>
      <c r="N870">
        <f t="shared" si="27"/>
        <v>1800</v>
      </c>
      <c r="O870">
        <f t="shared" si="26"/>
        <v>1398</v>
      </c>
      <c r="P870">
        <f>Table1[[#This Row],[Quantity]]*Table1[[#This Row],[unit_price]]*Table1[[#This Row],[Discount]]</f>
        <v>0</v>
      </c>
      <c r="Q870" t="str">
        <f>VLOOKUP(E870,Products!$A$2:$E$23,2,0)</f>
        <v>Headphones</v>
      </c>
      <c r="R870" t="str">
        <f>VLOOKUP(Table1[[#This Row],[Product ID]],Products!$A$2:$E$23,3,0)</f>
        <v>Electronics</v>
      </c>
      <c r="S870" t="str">
        <f>VLOOKUP(C870,Customers!$A$2:$F$201,4,0)</f>
        <v>Madhya Pradesh</v>
      </c>
      <c r="T870" t="str">
        <f>VLOOKUP(Table1[[#This Row],[Customer ID]],Customers!$A$2:$F$201,5,0)</f>
        <v>Central</v>
      </c>
      <c r="U870" t="str">
        <f>VLOOKUP(Table1[[#This Row],[Customer ID]],Customers!$A$2:$F$201,6,0)</f>
        <v>Consumer</v>
      </c>
      <c r="V870" t="str">
        <f>TEXT(Table1[[#This Row],[Order Date]],"MMM")</f>
        <v>Jun</v>
      </c>
      <c r="W870" t="str">
        <f>TEXT(Table1[[#This Row],[Order Date]],"yyyy")</f>
        <v>2025</v>
      </c>
    </row>
    <row r="871" spans="1:23" x14ac:dyDescent="0.25">
      <c r="A871" s="2" t="s">
        <v>1116</v>
      </c>
      <c r="B871" s="4">
        <v>45830</v>
      </c>
      <c r="C871" s="2" t="s">
        <v>199</v>
      </c>
      <c r="D871" s="2" t="str">
        <f>TEXT(Table1[[#This Row],[Order Date]],"mmmm")</f>
        <v>June</v>
      </c>
      <c r="E871" s="2" t="s">
        <v>111</v>
      </c>
      <c r="F871" s="2">
        <v>2</v>
      </c>
      <c r="G871" s="5">
        <v>0.05</v>
      </c>
      <c r="H871" s="2" t="s">
        <v>30</v>
      </c>
      <c r="I871" s="2" t="s">
        <v>26</v>
      </c>
      <c r="J871" s="2" t="s">
        <v>21</v>
      </c>
      <c r="K871">
        <f>VLOOKUP(E871,Products!$A$2:$E$23,5,0)</f>
        <v>240</v>
      </c>
      <c r="L871">
        <f>VLOOKUP(E871,Products!$A$2:$E$23,4,0)</f>
        <v>140</v>
      </c>
      <c r="M871" s="2">
        <f>K871*F871-Table1[[#This Row],[discount_amount]]</f>
        <v>456</v>
      </c>
      <c r="N871">
        <f t="shared" si="27"/>
        <v>280</v>
      </c>
      <c r="O871">
        <f t="shared" si="26"/>
        <v>176</v>
      </c>
      <c r="P871">
        <f>Table1[[#This Row],[Quantity]]*Table1[[#This Row],[unit_price]]*Table1[[#This Row],[Discount]]</f>
        <v>24</v>
      </c>
      <c r="Q871" t="str">
        <f>VLOOKUP(E871,Products!$A$2:$E$23,2,0)</f>
        <v>Whiteboard Marker Set</v>
      </c>
      <c r="R871" t="str">
        <f>VLOOKUP(Table1[[#This Row],[Product ID]],Products!$A$2:$E$23,3,0)</f>
        <v>Office Supplies</v>
      </c>
      <c r="S871" t="str">
        <f>VLOOKUP(C871,Customers!$A$2:$F$201,4,0)</f>
        <v>Gujarat</v>
      </c>
      <c r="T871" t="str">
        <f>VLOOKUP(Table1[[#This Row],[Customer ID]],Customers!$A$2:$F$201,5,0)</f>
        <v>West</v>
      </c>
      <c r="U871" t="str">
        <f>VLOOKUP(Table1[[#This Row],[Customer ID]],Customers!$A$2:$F$201,6,0)</f>
        <v>Corporate</v>
      </c>
      <c r="V871" t="str">
        <f>TEXT(Table1[[#This Row],[Order Date]],"MMM")</f>
        <v>Jun</v>
      </c>
      <c r="W871" t="str">
        <f>TEXT(Table1[[#This Row],[Order Date]],"yyyy")</f>
        <v>2025</v>
      </c>
    </row>
    <row r="872" spans="1:23" x14ac:dyDescent="0.25">
      <c r="A872" s="2" t="s">
        <v>1117</v>
      </c>
      <c r="B872" s="4">
        <v>45830</v>
      </c>
      <c r="C872" s="2" t="s">
        <v>942</v>
      </c>
      <c r="D872" s="2" t="str">
        <f>TEXT(Table1[[#This Row],[Order Date]],"mmmm")</f>
        <v>June</v>
      </c>
      <c r="E872" s="2" t="s">
        <v>45</v>
      </c>
      <c r="F872" s="2">
        <v>5</v>
      </c>
      <c r="G872" s="5">
        <v>0</v>
      </c>
      <c r="H872" s="2" t="s">
        <v>30</v>
      </c>
      <c r="I872" s="2" t="s">
        <v>26</v>
      </c>
      <c r="J872" s="2" t="s">
        <v>21</v>
      </c>
      <c r="K872">
        <f>VLOOKUP(E872,Products!$A$2:$E$23,5,0)</f>
        <v>899</v>
      </c>
      <c r="L872">
        <f>VLOOKUP(E872,Products!$A$2:$E$23,4,0)</f>
        <v>450</v>
      </c>
      <c r="M872" s="2">
        <f>K872*F872-Table1[[#This Row],[discount_amount]]</f>
        <v>4495</v>
      </c>
      <c r="N872">
        <f t="shared" si="27"/>
        <v>2250</v>
      </c>
      <c r="O872">
        <f t="shared" si="26"/>
        <v>2245</v>
      </c>
      <c r="P872">
        <f>Table1[[#This Row],[Quantity]]*Table1[[#This Row],[unit_price]]*Table1[[#This Row],[Discount]]</f>
        <v>0</v>
      </c>
      <c r="Q872" t="str">
        <f>VLOOKUP(E872,Products!$A$2:$E$23,2,0)</f>
        <v>Track Pants</v>
      </c>
      <c r="R872" t="str">
        <f>VLOOKUP(Table1[[#This Row],[Product ID]],Products!$A$2:$E$23,3,0)</f>
        <v>Clothing</v>
      </c>
      <c r="S872" t="str">
        <f>VLOOKUP(C872,Customers!$A$2:$F$201,4,0)</f>
        <v>Rajasthan</v>
      </c>
      <c r="T872" t="str">
        <f>VLOOKUP(Table1[[#This Row],[Customer ID]],Customers!$A$2:$F$201,5,0)</f>
        <v>North</v>
      </c>
      <c r="U872" t="str">
        <f>VLOOKUP(Table1[[#This Row],[Customer ID]],Customers!$A$2:$F$201,6,0)</f>
        <v>Corporate</v>
      </c>
      <c r="V872" t="str">
        <f>TEXT(Table1[[#This Row],[Order Date]],"MMM")</f>
        <v>Jun</v>
      </c>
      <c r="W872" t="str">
        <f>TEXT(Table1[[#This Row],[Order Date]],"yyyy")</f>
        <v>2025</v>
      </c>
    </row>
    <row r="873" spans="1:23" x14ac:dyDescent="0.25">
      <c r="A873" s="2" t="s">
        <v>1118</v>
      </c>
      <c r="B873" s="4">
        <v>45831</v>
      </c>
      <c r="C873" s="2" t="s">
        <v>550</v>
      </c>
      <c r="D873" s="2" t="str">
        <f>TEXT(Table1[[#This Row],[Order Date]],"mmmm")</f>
        <v>June</v>
      </c>
      <c r="E873" s="2" t="s">
        <v>18</v>
      </c>
      <c r="F873" s="2">
        <v>6</v>
      </c>
      <c r="G873" s="5">
        <v>0.15</v>
      </c>
      <c r="H873" s="2" t="s">
        <v>25</v>
      </c>
      <c r="I873" s="2" t="s">
        <v>20</v>
      </c>
      <c r="J873" s="2" t="s">
        <v>21</v>
      </c>
      <c r="K873">
        <f>VLOOKUP(E873,Products!$A$2:$E$23,5,0)</f>
        <v>4299</v>
      </c>
      <c r="L873">
        <f>VLOOKUP(E873,Products!$A$2:$E$23,4,0)</f>
        <v>2800</v>
      </c>
      <c r="M873" s="2">
        <f>K873*F873-Table1[[#This Row],[discount_amount]]</f>
        <v>21924.9</v>
      </c>
      <c r="N873">
        <f t="shared" si="27"/>
        <v>16800</v>
      </c>
      <c r="O873">
        <f t="shared" si="26"/>
        <v>5124.9000000000015</v>
      </c>
      <c r="P873">
        <f>Table1[[#This Row],[Quantity]]*Table1[[#This Row],[unit_price]]*Table1[[#This Row],[Discount]]</f>
        <v>3869.1</v>
      </c>
      <c r="Q873" t="str">
        <f>VLOOKUP(E873,Products!$A$2:$E$23,2,0)</f>
        <v>Bookshelf</v>
      </c>
      <c r="R873" t="str">
        <f>VLOOKUP(Table1[[#This Row],[Product ID]],Products!$A$2:$E$23,3,0)</f>
        <v>Furniture</v>
      </c>
      <c r="S873" t="str">
        <f>VLOOKUP(C873,Customers!$A$2:$F$201,4,0)</f>
        <v>Madhya Pradesh</v>
      </c>
      <c r="T873" t="str">
        <f>VLOOKUP(Table1[[#This Row],[Customer ID]],Customers!$A$2:$F$201,5,0)</f>
        <v>Central</v>
      </c>
      <c r="U873" t="str">
        <f>VLOOKUP(Table1[[#This Row],[Customer ID]],Customers!$A$2:$F$201,6,0)</f>
        <v>Corporate</v>
      </c>
      <c r="V873" t="str">
        <f>TEXT(Table1[[#This Row],[Order Date]],"MMM")</f>
        <v>Jun</v>
      </c>
      <c r="W873" t="str">
        <f>TEXT(Table1[[#This Row],[Order Date]],"yyyy")</f>
        <v>2025</v>
      </c>
    </row>
    <row r="874" spans="1:23" x14ac:dyDescent="0.25">
      <c r="A874" s="2" t="s">
        <v>1119</v>
      </c>
      <c r="B874" s="4">
        <v>45831</v>
      </c>
      <c r="C874" s="2" t="s">
        <v>464</v>
      </c>
      <c r="D874" s="2" t="str">
        <f>TEXT(Table1[[#This Row],[Order Date]],"mmmm")</f>
        <v>June</v>
      </c>
      <c r="E874" s="2" t="s">
        <v>29</v>
      </c>
      <c r="F874" s="2">
        <v>6</v>
      </c>
      <c r="G874" s="5">
        <v>0</v>
      </c>
      <c r="H874" s="2" t="s">
        <v>25</v>
      </c>
      <c r="I874" s="2" t="s">
        <v>20</v>
      </c>
      <c r="J874" s="2" t="s">
        <v>21</v>
      </c>
      <c r="K874">
        <f>VLOOKUP(E874,Products!$A$2:$E$23,5,0)</f>
        <v>599</v>
      </c>
      <c r="L874">
        <f>VLOOKUP(E874,Products!$A$2:$E$23,4,0)</f>
        <v>350</v>
      </c>
      <c r="M874" s="2">
        <f>K874*F874-Table1[[#This Row],[discount_amount]]</f>
        <v>3594</v>
      </c>
      <c r="N874">
        <f t="shared" si="27"/>
        <v>2100</v>
      </c>
      <c r="O874">
        <f t="shared" si="26"/>
        <v>1494</v>
      </c>
      <c r="P874">
        <f>Table1[[#This Row],[Quantity]]*Table1[[#This Row],[unit_price]]*Table1[[#This Row],[Discount]]</f>
        <v>0</v>
      </c>
      <c r="Q874" t="str">
        <f>VLOOKUP(E874,Products!$A$2:$E$23,2,0)</f>
        <v>USB Flash Drive 64GB</v>
      </c>
      <c r="R874" t="str">
        <f>VLOOKUP(Table1[[#This Row],[Product ID]],Products!$A$2:$E$23,3,0)</f>
        <v>Electronics</v>
      </c>
      <c r="S874" t="str">
        <f>VLOOKUP(C874,Customers!$A$2:$F$201,4,0)</f>
        <v>Madhya Pradesh</v>
      </c>
      <c r="T874" t="str">
        <f>VLOOKUP(Table1[[#This Row],[Customer ID]],Customers!$A$2:$F$201,5,0)</f>
        <v>Central</v>
      </c>
      <c r="U874" t="str">
        <f>VLOOKUP(Table1[[#This Row],[Customer ID]],Customers!$A$2:$F$201,6,0)</f>
        <v>Consumer</v>
      </c>
      <c r="V874" t="str">
        <f>TEXT(Table1[[#This Row],[Order Date]],"MMM")</f>
        <v>Jun</v>
      </c>
      <c r="W874" t="str">
        <f>TEXT(Table1[[#This Row],[Order Date]],"yyyy")</f>
        <v>2025</v>
      </c>
    </row>
    <row r="875" spans="1:23" x14ac:dyDescent="0.25">
      <c r="A875" s="2" t="s">
        <v>1120</v>
      </c>
      <c r="B875" s="4">
        <v>45831</v>
      </c>
      <c r="C875" s="2" t="s">
        <v>158</v>
      </c>
      <c r="D875" s="2" t="str">
        <f>TEXT(Table1[[#This Row],[Order Date]],"mmmm")</f>
        <v>June</v>
      </c>
      <c r="E875" s="2" t="s">
        <v>45</v>
      </c>
      <c r="F875" s="2">
        <v>5</v>
      </c>
      <c r="G875" s="5">
        <v>0.1</v>
      </c>
      <c r="H875" s="2" t="s">
        <v>19</v>
      </c>
      <c r="I875" s="2" t="s">
        <v>38</v>
      </c>
      <c r="J875" s="2" t="s">
        <v>21</v>
      </c>
      <c r="K875">
        <f>VLOOKUP(E875,Products!$A$2:$E$23,5,0)</f>
        <v>899</v>
      </c>
      <c r="L875">
        <f>VLOOKUP(E875,Products!$A$2:$E$23,4,0)</f>
        <v>450</v>
      </c>
      <c r="M875" s="2">
        <f>K875*F875-Table1[[#This Row],[discount_amount]]</f>
        <v>4045.5</v>
      </c>
      <c r="N875">
        <f t="shared" si="27"/>
        <v>2250</v>
      </c>
      <c r="O875">
        <f t="shared" si="26"/>
        <v>1795.5</v>
      </c>
      <c r="P875">
        <f>Table1[[#This Row],[Quantity]]*Table1[[#This Row],[unit_price]]*Table1[[#This Row],[Discount]]</f>
        <v>449.5</v>
      </c>
      <c r="Q875" t="str">
        <f>VLOOKUP(E875,Products!$A$2:$E$23,2,0)</f>
        <v>Track Pants</v>
      </c>
      <c r="R875" t="str">
        <f>VLOOKUP(Table1[[#This Row],[Product ID]],Products!$A$2:$E$23,3,0)</f>
        <v>Clothing</v>
      </c>
      <c r="S875" t="str">
        <f>VLOOKUP(C875,Customers!$A$2:$F$201,4,0)</f>
        <v>Kerala</v>
      </c>
      <c r="T875" t="str">
        <f>VLOOKUP(Table1[[#This Row],[Customer ID]],Customers!$A$2:$F$201,5,0)</f>
        <v>South</v>
      </c>
      <c r="U875" t="str">
        <f>VLOOKUP(Table1[[#This Row],[Customer ID]],Customers!$A$2:$F$201,6,0)</f>
        <v>Consumer</v>
      </c>
      <c r="V875" t="str">
        <f>TEXT(Table1[[#This Row],[Order Date]],"MMM")</f>
        <v>Jun</v>
      </c>
      <c r="W875" t="str">
        <f>TEXT(Table1[[#This Row],[Order Date]],"yyyy")</f>
        <v>2025</v>
      </c>
    </row>
    <row r="876" spans="1:23" x14ac:dyDescent="0.25">
      <c r="A876" s="2" t="s">
        <v>1121</v>
      </c>
      <c r="B876" s="4">
        <v>45832</v>
      </c>
      <c r="C876" s="2" t="s">
        <v>425</v>
      </c>
      <c r="D876" s="2" t="str">
        <f>TEXT(Table1[[#This Row],[Order Date]],"mmmm")</f>
        <v>June</v>
      </c>
      <c r="E876" s="2" t="s">
        <v>155</v>
      </c>
      <c r="F876" s="2">
        <v>1</v>
      </c>
      <c r="G876" s="5">
        <v>0</v>
      </c>
      <c r="H876" s="2" t="s">
        <v>19</v>
      </c>
      <c r="I876" s="2" t="s">
        <v>26</v>
      </c>
      <c r="J876" s="2" t="s">
        <v>94</v>
      </c>
      <c r="K876">
        <f>VLOOKUP(E876,Products!$A$2:$E$23,5,0)</f>
        <v>1599</v>
      </c>
      <c r="L876">
        <f>VLOOKUP(E876,Products!$A$2:$E$23,4,0)</f>
        <v>900</v>
      </c>
      <c r="M876" s="2">
        <f>K876*F876-Table1[[#This Row],[discount_amount]]</f>
        <v>1599</v>
      </c>
      <c r="N876">
        <f t="shared" si="27"/>
        <v>900</v>
      </c>
      <c r="O876">
        <f t="shared" si="26"/>
        <v>699</v>
      </c>
      <c r="P876">
        <f>Table1[[#This Row],[Quantity]]*Table1[[#This Row],[unit_price]]*Table1[[#This Row],[Discount]]</f>
        <v>0</v>
      </c>
      <c r="Q876" t="str">
        <f>VLOOKUP(E876,Products!$A$2:$E$23,2,0)</f>
        <v>Headphones</v>
      </c>
      <c r="R876" t="str">
        <f>VLOOKUP(Table1[[#This Row],[Product ID]],Products!$A$2:$E$23,3,0)</f>
        <v>Electronics</v>
      </c>
      <c r="S876" t="str">
        <f>VLOOKUP(C876,Customers!$A$2:$F$201,4,0)</f>
        <v>Chandigarh</v>
      </c>
      <c r="T876" t="str">
        <f>VLOOKUP(Table1[[#This Row],[Customer ID]],Customers!$A$2:$F$201,5,0)</f>
        <v>North</v>
      </c>
      <c r="U876" t="str">
        <f>VLOOKUP(Table1[[#This Row],[Customer ID]],Customers!$A$2:$F$201,6,0)</f>
        <v>Corporate</v>
      </c>
      <c r="V876" t="str">
        <f>TEXT(Table1[[#This Row],[Order Date]],"MMM")</f>
        <v>Jun</v>
      </c>
      <c r="W876" t="str">
        <f>TEXT(Table1[[#This Row],[Order Date]],"yyyy")</f>
        <v>2025</v>
      </c>
    </row>
    <row r="877" spans="1:23" x14ac:dyDescent="0.25">
      <c r="A877" s="2" t="s">
        <v>1122</v>
      </c>
      <c r="B877" s="4">
        <v>45832</v>
      </c>
      <c r="C877" s="2" t="s">
        <v>788</v>
      </c>
      <c r="D877" s="2" t="str">
        <f>TEXT(Table1[[#This Row],[Order Date]],"mmmm")</f>
        <v>June</v>
      </c>
      <c r="E877" s="2" t="s">
        <v>37</v>
      </c>
      <c r="F877" s="2">
        <v>1</v>
      </c>
      <c r="G877" s="5">
        <v>0</v>
      </c>
      <c r="H877" s="2" t="s">
        <v>19</v>
      </c>
      <c r="I877" s="2" t="s">
        <v>26</v>
      </c>
      <c r="J877" s="2" t="s">
        <v>21</v>
      </c>
      <c r="K877">
        <f>VLOOKUP(E877,Products!$A$2:$E$23,5,0)</f>
        <v>1799</v>
      </c>
      <c r="L877">
        <f>VLOOKUP(E877,Products!$A$2:$E$23,4,0)</f>
        <v>900</v>
      </c>
      <c r="M877" s="2">
        <f>K877*F877-Table1[[#This Row],[discount_amount]]</f>
        <v>1799</v>
      </c>
      <c r="N877">
        <f t="shared" si="27"/>
        <v>900</v>
      </c>
      <c r="O877">
        <f t="shared" si="26"/>
        <v>899</v>
      </c>
      <c r="P877">
        <f>Table1[[#This Row],[Quantity]]*Table1[[#This Row],[unit_price]]*Table1[[#This Row],[Discount]]</f>
        <v>0</v>
      </c>
      <c r="Q877" t="str">
        <f>VLOOKUP(E877,Products!$A$2:$E$23,2,0)</f>
        <v>Denim Jeans</v>
      </c>
      <c r="R877" t="str">
        <f>VLOOKUP(Table1[[#This Row],[Product ID]],Products!$A$2:$E$23,3,0)</f>
        <v>Clothing</v>
      </c>
      <c r="S877" t="str">
        <f>VLOOKUP(C877,Customers!$A$2:$F$201,4,0)</f>
        <v>Uttar Pradesh</v>
      </c>
      <c r="T877" t="str">
        <f>VLOOKUP(Table1[[#This Row],[Customer ID]],Customers!$A$2:$F$201,5,0)</f>
        <v>North</v>
      </c>
      <c r="U877" t="str">
        <f>VLOOKUP(Table1[[#This Row],[Customer ID]],Customers!$A$2:$F$201,6,0)</f>
        <v>Home Office</v>
      </c>
      <c r="V877" t="str">
        <f>TEXT(Table1[[#This Row],[Order Date]],"MMM")</f>
        <v>Jun</v>
      </c>
      <c r="W877" t="str">
        <f>TEXT(Table1[[#This Row],[Order Date]],"yyyy")</f>
        <v>2025</v>
      </c>
    </row>
    <row r="878" spans="1:23" x14ac:dyDescent="0.25">
      <c r="A878" s="2" t="s">
        <v>1123</v>
      </c>
      <c r="B878" s="4">
        <v>45835</v>
      </c>
      <c r="C878" s="2" t="s">
        <v>788</v>
      </c>
      <c r="D878" s="2" t="str">
        <f>TEXT(Table1[[#This Row],[Order Date]],"mmmm")</f>
        <v>June</v>
      </c>
      <c r="E878" s="2" t="s">
        <v>118</v>
      </c>
      <c r="F878" s="2">
        <v>4</v>
      </c>
      <c r="G878" s="5">
        <v>0</v>
      </c>
      <c r="H878" s="2" t="s">
        <v>30</v>
      </c>
      <c r="I878" s="2" t="s">
        <v>31</v>
      </c>
      <c r="J878" s="2" t="s">
        <v>79</v>
      </c>
      <c r="K878">
        <f>VLOOKUP(E878,Products!$A$2:$E$23,5,0)</f>
        <v>150</v>
      </c>
      <c r="L878">
        <f>VLOOKUP(E878,Products!$A$2:$E$23,4,0)</f>
        <v>90</v>
      </c>
      <c r="M878" s="2">
        <f>K878*F878-Table1[[#This Row],[discount_amount]]</f>
        <v>600</v>
      </c>
      <c r="N878">
        <f t="shared" si="27"/>
        <v>360</v>
      </c>
      <c r="O878">
        <f t="shared" si="26"/>
        <v>240</v>
      </c>
      <c r="P878">
        <f>Table1[[#This Row],[Quantity]]*Table1[[#This Row],[unit_price]]*Table1[[#This Row],[Discount]]</f>
        <v>0</v>
      </c>
      <c r="Q878" t="str">
        <f>VLOOKUP(E878,Products!$A$2:$E$23,2,0)</f>
        <v>Gel Pen Box</v>
      </c>
      <c r="R878" t="str">
        <f>VLOOKUP(Table1[[#This Row],[Product ID]],Products!$A$2:$E$23,3,0)</f>
        <v>Office Supplies</v>
      </c>
      <c r="S878" t="str">
        <f>VLOOKUP(C878,Customers!$A$2:$F$201,4,0)</f>
        <v>Uttar Pradesh</v>
      </c>
      <c r="T878" t="str">
        <f>VLOOKUP(Table1[[#This Row],[Customer ID]],Customers!$A$2:$F$201,5,0)</f>
        <v>North</v>
      </c>
      <c r="U878" t="str">
        <f>VLOOKUP(Table1[[#This Row],[Customer ID]],Customers!$A$2:$F$201,6,0)</f>
        <v>Home Office</v>
      </c>
      <c r="V878" t="str">
        <f>TEXT(Table1[[#This Row],[Order Date]],"MMM")</f>
        <v>Jun</v>
      </c>
      <c r="W878" t="str">
        <f>TEXT(Table1[[#This Row],[Order Date]],"yyyy")</f>
        <v>2025</v>
      </c>
    </row>
    <row r="879" spans="1:23" x14ac:dyDescent="0.25">
      <c r="A879" s="2" t="s">
        <v>1124</v>
      </c>
      <c r="B879" s="4">
        <v>45835</v>
      </c>
      <c r="C879" s="2" t="s">
        <v>237</v>
      </c>
      <c r="D879" s="2" t="str">
        <f>TEXT(Table1[[#This Row],[Order Date]],"mmmm")</f>
        <v>June</v>
      </c>
      <c r="E879" s="2" t="s">
        <v>82</v>
      </c>
      <c r="F879" s="2">
        <v>2</v>
      </c>
      <c r="G879" s="5">
        <v>0.05</v>
      </c>
      <c r="H879" s="2" t="s">
        <v>19</v>
      </c>
      <c r="I879" s="2" t="s">
        <v>46</v>
      </c>
      <c r="J879" s="2" t="s">
        <v>94</v>
      </c>
      <c r="K879">
        <f>VLOOKUP(E879,Products!$A$2:$E$23,5,0)</f>
        <v>1799</v>
      </c>
      <c r="L879">
        <f>VLOOKUP(E879,Products!$A$2:$E$23,4,0)</f>
        <v>1100</v>
      </c>
      <c r="M879" s="2">
        <f>K879*F879-Table1[[#This Row],[discount_amount]]</f>
        <v>3418.1</v>
      </c>
      <c r="N879">
        <f t="shared" si="27"/>
        <v>2200</v>
      </c>
      <c r="O879">
        <f t="shared" si="26"/>
        <v>1218.0999999999999</v>
      </c>
      <c r="P879">
        <f>Table1[[#This Row],[Quantity]]*Table1[[#This Row],[unit_price]]*Table1[[#This Row],[Discount]]</f>
        <v>179.9</v>
      </c>
      <c r="Q879" t="str">
        <f>VLOOKUP(E879,Products!$A$2:$E$23,2,0)</f>
        <v>Webcam HD</v>
      </c>
      <c r="R879" t="str">
        <f>VLOOKUP(Table1[[#This Row],[Product ID]],Products!$A$2:$E$23,3,0)</f>
        <v>Electronics</v>
      </c>
      <c r="S879" t="str">
        <f>VLOOKUP(C879,Customers!$A$2:$F$201,4,0)</f>
        <v>Madhya Pradesh</v>
      </c>
      <c r="T879" t="str">
        <f>VLOOKUP(Table1[[#This Row],[Customer ID]],Customers!$A$2:$F$201,5,0)</f>
        <v>Central</v>
      </c>
      <c r="U879" t="str">
        <f>VLOOKUP(Table1[[#This Row],[Customer ID]],Customers!$A$2:$F$201,6,0)</f>
        <v>Consumer</v>
      </c>
      <c r="V879" t="str">
        <f>TEXT(Table1[[#This Row],[Order Date]],"MMM")</f>
        <v>Jun</v>
      </c>
      <c r="W879" t="str">
        <f>TEXT(Table1[[#This Row],[Order Date]],"yyyy")</f>
        <v>2025</v>
      </c>
    </row>
    <row r="880" spans="1:23" x14ac:dyDescent="0.25">
      <c r="A880" s="2" t="s">
        <v>1125</v>
      </c>
      <c r="B880" s="4">
        <v>45835</v>
      </c>
      <c r="C880" s="2" t="s">
        <v>219</v>
      </c>
      <c r="D880" s="2" t="str">
        <f>TEXT(Table1[[#This Row],[Order Date]],"mmmm")</f>
        <v>June</v>
      </c>
      <c r="E880" s="2" t="s">
        <v>29</v>
      </c>
      <c r="F880" s="2">
        <v>10</v>
      </c>
      <c r="G880" s="5">
        <v>0.05</v>
      </c>
      <c r="H880" s="2" t="s">
        <v>19</v>
      </c>
      <c r="I880" s="2" t="s">
        <v>38</v>
      </c>
      <c r="J880" s="2" t="s">
        <v>21</v>
      </c>
      <c r="K880">
        <f>VLOOKUP(E880,Products!$A$2:$E$23,5,0)</f>
        <v>599</v>
      </c>
      <c r="L880">
        <f>VLOOKUP(E880,Products!$A$2:$E$23,4,0)</f>
        <v>350</v>
      </c>
      <c r="M880" s="2">
        <f>K880*F880-Table1[[#This Row],[discount_amount]]</f>
        <v>5690.5</v>
      </c>
      <c r="N880">
        <f t="shared" si="27"/>
        <v>3500</v>
      </c>
      <c r="O880">
        <f t="shared" si="26"/>
        <v>2190.5</v>
      </c>
      <c r="P880">
        <f>Table1[[#This Row],[Quantity]]*Table1[[#This Row],[unit_price]]*Table1[[#This Row],[Discount]]</f>
        <v>299.5</v>
      </c>
      <c r="Q880" t="str">
        <f>VLOOKUP(E880,Products!$A$2:$E$23,2,0)</f>
        <v>USB Flash Drive 64GB</v>
      </c>
      <c r="R880" t="str">
        <f>VLOOKUP(Table1[[#This Row],[Product ID]],Products!$A$2:$E$23,3,0)</f>
        <v>Electronics</v>
      </c>
      <c r="S880" t="str">
        <f>VLOOKUP(C880,Customers!$A$2:$F$201,4,0)</f>
        <v>Gujarat</v>
      </c>
      <c r="T880" t="str">
        <f>VLOOKUP(Table1[[#This Row],[Customer ID]],Customers!$A$2:$F$201,5,0)</f>
        <v>West</v>
      </c>
      <c r="U880" t="str">
        <f>VLOOKUP(Table1[[#This Row],[Customer ID]],Customers!$A$2:$F$201,6,0)</f>
        <v>Consumer</v>
      </c>
      <c r="V880" t="str">
        <f>TEXT(Table1[[#This Row],[Order Date]],"MMM")</f>
        <v>Jun</v>
      </c>
      <c r="W880" t="str">
        <f>TEXT(Table1[[#This Row],[Order Date]],"yyyy")</f>
        <v>2025</v>
      </c>
    </row>
    <row r="881" spans="1:23" x14ac:dyDescent="0.25">
      <c r="A881" s="2" t="s">
        <v>1126</v>
      </c>
      <c r="B881" s="4">
        <v>45835</v>
      </c>
      <c r="C881" s="2" t="s">
        <v>460</v>
      </c>
      <c r="D881" s="2" t="str">
        <f>TEXT(Table1[[#This Row],[Order Date]],"mmmm")</f>
        <v>June</v>
      </c>
      <c r="E881" s="2" t="s">
        <v>66</v>
      </c>
      <c r="F881" s="2">
        <v>3</v>
      </c>
      <c r="G881" s="5">
        <v>0.1</v>
      </c>
      <c r="H881" s="2" t="s">
        <v>19</v>
      </c>
      <c r="I881" s="2" t="s">
        <v>26</v>
      </c>
      <c r="J881" s="2" t="s">
        <v>94</v>
      </c>
      <c r="K881">
        <f>VLOOKUP(E881,Products!$A$2:$E$23,5,0)</f>
        <v>1299</v>
      </c>
      <c r="L881">
        <f>VLOOKUP(E881,Products!$A$2:$E$23,4,0)</f>
        <v>800</v>
      </c>
      <c r="M881" s="2">
        <f>K881*F881-Table1[[#This Row],[discount_amount]]</f>
        <v>3507.3</v>
      </c>
      <c r="N881">
        <f t="shared" si="27"/>
        <v>2400</v>
      </c>
      <c r="O881">
        <f t="shared" si="26"/>
        <v>1107.3000000000002</v>
      </c>
      <c r="P881">
        <f>Table1[[#This Row],[Quantity]]*Table1[[#This Row],[unit_price]]*Table1[[#This Row],[Discount]]</f>
        <v>389.70000000000005</v>
      </c>
      <c r="Q881" t="str">
        <f>VLOOKUP(E881,Products!$A$2:$E$23,2,0)</f>
        <v>Power Bank 10000mAh</v>
      </c>
      <c r="R881" t="str">
        <f>VLOOKUP(Table1[[#This Row],[Product ID]],Products!$A$2:$E$23,3,0)</f>
        <v>Electronics</v>
      </c>
      <c r="S881" t="str">
        <f>VLOOKUP(C881,Customers!$A$2:$F$201,4,0)</f>
        <v>Maharashtra</v>
      </c>
      <c r="T881" t="str">
        <f>VLOOKUP(Table1[[#This Row],[Customer ID]],Customers!$A$2:$F$201,5,0)</f>
        <v>Central</v>
      </c>
      <c r="U881" t="str">
        <f>VLOOKUP(Table1[[#This Row],[Customer ID]],Customers!$A$2:$F$201,6,0)</f>
        <v>Corporate</v>
      </c>
      <c r="V881" t="str">
        <f>TEXT(Table1[[#This Row],[Order Date]],"MMM")</f>
        <v>Jun</v>
      </c>
      <c r="W881" t="str">
        <f>TEXT(Table1[[#This Row],[Order Date]],"yyyy")</f>
        <v>2025</v>
      </c>
    </row>
    <row r="882" spans="1:23" x14ac:dyDescent="0.25">
      <c r="A882" s="2" t="s">
        <v>1127</v>
      </c>
      <c r="B882" s="4">
        <v>45835</v>
      </c>
      <c r="C882" s="2" t="s">
        <v>228</v>
      </c>
      <c r="D882" s="2" t="str">
        <f>TEXT(Table1[[#This Row],[Order Date]],"mmmm")</f>
        <v>June</v>
      </c>
      <c r="E882" s="2" t="s">
        <v>37</v>
      </c>
      <c r="F882" s="2">
        <v>3</v>
      </c>
      <c r="G882" s="5">
        <v>0.05</v>
      </c>
      <c r="H882" s="2" t="s">
        <v>30</v>
      </c>
      <c r="I882" s="2" t="s">
        <v>26</v>
      </c>
      <c r="J882" s="2" t="s">
        <v>21</v>
      </c>
      <c r="K882">
        <f>VLOOKUP(E882,Products!$A$2:$E$23,5,0)</f>
        <v>1799</v>
      </c>
      <c r="L882">
        <f>VLOOKUP(E882,Products!$A$2:$E$23,4,0)</f>
        <v>900</v>
      </c>
      <c r="M882" s="2">
        <f>K882*F882-Table1[[#This Row],[discount_amount]]</f>
        <v>5127.1499999999996</v>
      </c>
      <c r="N882">
        <f t="shared" si="27"/>
        <v>2700</v>
      </c>
      <c r="O882">
        <f t="shared" si="26"/>
        <v>2427.1499999999996</v>
      </c>
      <c r="P882">
        <f>Table1[[#This Row],[Quantity]]*Table1[[#This Row],[unit_price]]*Table1[[#This Row],[Discount]]</f>
        <v>269.85000000000002</v>
      </c>
      <c r="Q882" t="str">
        <f>VLOOKUP(E882,Products!$A$2:$E$23,2,0)</f>
        <v>Denim Jeans</v>
      </c>
      <c r="R882" t="str">
        <f>VLOOKUP(Table1[[#This Row],[Product ID]],Products!$A$2:$E$23,3,0)</f>
        <v>Clothing</v>
      </c>
      <c r="S882" t="str">
        <f>VLOOKUP(C882,Customers!$A$2:$F$201,4,0)</f>
        <v>Odisha</v>
      </c>
      <c r="T882" t="str">
        <f>VLOOKUP(Table1[[#This Row],[Customer ID]],Customers!$A$2:$F$201,5,0)</f>
        <v>East</v>
      </c>
      <c r="U882" t="str">
        <f>VLOOKUP(Table1[[#This Row],[Customer ID]],Customers!$A$2:$F$201,6,0)</f>
        <v>Consumer</v>
      </c>
      <c r="V882" t="str">
        <f>TEXT(Table1[[#This Row],[Order Date]],"MMM")</f>
        <v>Jun</v>
      </c>
      <c r="W882" t="str">
        <f>TEXT(Table1[[#This Row],[Order Date]],"yyyy")</f>
        <v>2025</v>
      </c>
    </row>
    <row r="883" spans="1:23" x14ac:dyDescent="0.25">
      <c r="A883" s="2" t="s">
        <v>1128</v>
      </c>
      <c r="B883" s="4">
        <v>45837</v>
      </c>
      <c r="C883" s="2" t="s">
        <v>53</v>
      </c>
      <c r="D883" s="2" t="str">
        <f>TEXT(Table1[[#This Row],[Order Date]],"mmmm")</f>
        <v>June</v>
      </c>
      <c r="E883" s="2" t="s">
        <v>111</v>
      </c>
      <c r="F883" s="2">
        <v>2</v>
      </c>
      <c r="G883" s="5">
        <v>0.05</v>
      </c>
      <c r="H883" s="2" t="s">
        <v>25</v>
      </c>
      <c r="I883" s="2" t="s">
        <v>20</v>
      </c>
      <c r="J883" s="2" t="s">
        <v>94</v>
      </c>
      <c r="K883">
        <f>VLOOKUP(E883,Products!$A$2:$E$23,5,0)</f>
        <v>240</v>
      </c>
      <c r="L883">
        <f>VLOOKUP(E883,Products!$A$2:$E$23,4,0)</f>
        <v>140</v>
      </c>
      <c r="M883" s="2">
        <f>K883*F883-Table1[[#This Row],[discount_amount]]</f>
        <v>456</v>
      </c>
      <c r="N883">
        <f t="shared" si="27"/>
        <v>280</v>
      </c>
      <c r="O883">
        <f t="shared" si="26"/>
        <v>176</v>
      </c>
      <c r="P883">
        <f>Table1[[#This Row],[Quantity]]*Table1[[#This Row],[unit_price]]*Table1[[#This Row],[Discount]]</f>
        <v>24</v>
      </c>
      <c r="Q883" t="str">
        <f>VLOOKUP(E883,Products!$A$2:$E$23,2,0)</f>
        <v>Whiteboard Marker Set</v>
      </c>
      <c r="R883" t="str">
        <f>VLOOKUP(Table1[[#This Row],[Product ID]],Products!$A$2:$E$23,3,0)</f>
        <v>Office Supplies</v>
      </c>
      <c r="S883" t="str">
        <f>VLOOKUP(C883,Customers!$A$2:$F$201,4,0)</f>
        <v>Madhya Pradesh</v>
      </c>
      <c r="T883" t="str">
        <f>VLOOKUP(Table1[[#This Row],[Customer ID]],Customers!$A$2:$F$201,5,0)</f>
        <v>Central</v>
      </c>
      <c r="U883" t="str">
        <f>VLOOKUP(Table1[[#This Row],[Customer ID]],Customers!$A$2:$F$201,6,0)</f>
        <v>Corporate</v>
      </c>
      <c r="V883" t="str">
        <f>TEXT(Table1[[#This Row],[Order Date]],"MMM")</f>
        <v>Jun</v>
      </c>
      <c r="W883" t="str">
        <f>TEXT(Table1[[#This Row],[Order Date]],"yyyy")</f>
        <v>2025</v>
      </c>
    </row>
    <row r="884" spans="1:23" x14ac:dyDescent="0.25">
      <c r="A884" s="2" t="s">
        <v>1129</v>
      </c>
      <c r="B884" s="4">
        <v>45838</v>
      </c>
      <c r="C884" s="2" t="s">
        <v>942</v>
      </c>
      <c r="D884" s="2" t="str">
        <f>TEXT(Table1[[#This Row],[Order Date]],"mmmm")</f>
        <v>June</v>
      </c>
      <c r="E884" s="2" t="s">
        <v>127</v>
      </c>
      <c r="F884" s="2">
        <v>2</v>
      </c>
      <c r="G884" s="5">
        <v>0</v>
      </c>
      <c r="H884" s="2" t="s">
        <v>19</v>
      </c>
      <c r="I884" s="2" t="s">
        <v>26</v>
      </c>
      <c r="J884" s="2" t="s">
        <v>21</v>
      </c>
      <c r="K884">
        <f>VLOOKUP(E884,Products!$A$2:$E$23,5,0)</f>
        <v>1999</v>
      </c>
      <c r="L884">
        <f>VLOOKUP(E884,Products!$A$2:$E$23,4,0)</f>
        <v>1200</v>
      </c>
      <c r="M884" s="2">
        <f>K884*F884-Table1[[#This Row],[discount_amount]]</f>
        <v>3998</v>
      </c>
      <c r="N884">
        <f t="shared" si="27"/>
        <v>2400</v>
      </c>
      <c r="O884">
        <f t="shared" si="26"/>
        <v>1598</v>
      </c>
      <c r="P884">
        <f>Table1[[#This Row],[Quantity]]*Table1[[#This Row],[unit_price]]*Table1[[#This Row],[Discount]]</f>
        <v>0</v>
      </c>
      <c r="Q884" t="str">
        <f>VLOOKUP(E884,Products!$A$2:$E$23,2,0)</f>
        <v>Bluetooth Speaker</v>
      </c>
      <c r="R884" t="str">
        <f>VLOOKUP(Table1[[#This Row],[Product ID]],Products!$A$2:$E$23,3,0)</f>
        <v>Electronics</v>
      </c>
      <c r="S884" t="str">
        <f>VLOOKUP(C884,Customers!$A$2:$F$201,4,0)</f>
        <v>Rajasthan</v>
      </c>
      <c r="T884" t="str">
        <f>VLOOKUP(Table1[[#This Row],[Customer ID]],Customers!$A$2:$F$201,5,0)</f>
        <v>North</v>
      </c>
      <c r="U884" t="str">
        <f>VLOOKUP(Table1[[#This Row],[Customer ID]],Customers!$A$2:$F$201,6,0)</f>
        <v>Corporate</v>
      </c>
      <c r="V884" t="str">
        <f>TEXT(Table1[[#This Row],[Order Date]],"MMM")</f>
        <v>Jun</v>
      </c>
      <c r="W884" t="str">
        <f>TEXT(Table1[[#This Row],[Order Date]],"yyyy")</f>
        <v>2025</v>
      </c>
    </row>
    <row r="885" spans="1:23" x14ac:dyDescent="0.25">
      <c r="A885" s="2" t="s">
        <v>1130</v>
      </c>
      <c r="B885" s="4">
        <v>45838</v>
      </c>
      <c r="C885" s="2" t="s">
        <v>231</v>
      </c>
      <c r="D885" s="2" t="str">
        <f>TEXT(Table1[[#This Row],[Order Date]],"mmmm")</f>
        <v>June</v>
      </c>
      <c r="E885" s="2" t="s">
        <v>82</v>
      </c>
      <c r="F885" s="2">
        <v>6</v>
      </c>
      <c r="G885" s="5">
        <v>0.05</v>
      </c>
      <c r="H885" s="2" t="s">
        <v>19</v>
      </c>
      <c r="I885" s="2" t="s">
        <v>38</v>
      </c>
      <c r="J885" s="2" t="s">
        <v>42</v>
      </c>
      <c r="K885">
        <f>VLOOKUP(E885,Products!$A$2:$E$23,5,0)</f>
        <v>1799</v>
      </c>
      <c r="L885">
        <f>VLOOKUP(E885,Products!$A$2:$E$23,4,0)</f>
        <v>1100</v>
      </c>
      <c r="M885" s="2">
        <f>K885*F885-Table1[[#This Row],[discount_amount]]</f>
        <v>10254.299999999999</v>
      </c>
      <c r="N885">
        <f t="shared" si="27"/>
        <v>6600</v>
      </c>
      <c r="O885">
        <f t="shared" si="26"/>
        <v>3654.2999999999993</v>
      </c>
      <c r="P885">
        <f>Table1[[#This Row],[Quantity]]*Table1[[#This Row],[unit_price]]*Table1[[#This Row],[Discount]]</f>
        <v>539.70000000000005</v>
      </c>
      <c r="Q885" t="str">
        <f>VLOOKUP(E885,Products!$A$2:$E$23,2,0)</f>
        <v>Webcam HD</v>
      </c>
      <c r="R885" t="str">
        <f>VLOOKUP(Table1[[#This Row],[Product ID]],Products!$A$2:$E$23,3,0)</f>
        <v>Electronics</v>
      </c>
      <c r="S885" t="str">
        <f>VLOOKUP(C885,Customers!$A$2:$F$201,4,0)</f>
        <v>Bihar</v>
      </c>
      <c r="T885" t="str">
        <f>VLOOKUP(Table1[[#This Row],[Customer ID]],Customers!$A$2:$F$201,5,0)</f>
        <v>East</v>
      </c>
      <c r="U885" t="str">
        <f>VLOOKUP(Table1[[#This Row],[Customer ID]],Customers!$A$2:$F$201,6,0)</f>
        <v>Corporate</v>
      </c>
      <c r="V885" t="str">
        <f>TEXT(Table1[[#This Row],[Order Date]],"MMM")</f>
        <v>Jun</v>
      </c>
      <c r="W885" t="str">
        <f>TEXT(Table1[[#This Row],[Order Date]],"yyyy")</f>
        <v>2025</v>
      </c>
    </row>
    <row r="886" spans="1:23" x14ac:dyDescent="0.25">
      <c r="A886" s="2" t="s">
        <v>1131</v>
      </c>
      <c r="B886" s="4">
        <v>45838</v>
      </c>
      <c r="C886" s="2" t="s">
        <v>325</v>
      </c>
      <c r="D886" s="2" t="str">
        <f>TEXT(Table1[[#This Row],[Order Date]],"mmmm")</f>
        <v>June</v>
      </c>
      <c r="E886" s="2" t="s">
        <v>54</v>
      </c>
      <c r="F886" s="2">
        <v>10</v>
      </c>
      <c r="G886" s="5">
        <v>0.05</v>
      </c>
      <c r="H886" s="2" t="s">
        <v>25</v>
      </c>
      <c r="I886" s="2" t="s">
        <v>46</v>
      </c>
      <c r="J886" s="2" t="s">
        <v>21</v>
      </c>
      <c r="K886">
        <f>VLOOKUP(E886,Products!$A$2:$E$23,5,0)</f>
        <v>299</v>
      </c>
      <c r="L886">
        <f>VLOOKUP(E886,Products!$A$2:$E$23,4,0)</f>
        <v>180</v>
      </c>
      <c r="M886" s="2">
        <f>K886*F886-Table1[[#This Row],[discount_amount]]</f>
        <v>2840.5</v>
      </c>
      <c r="N886">
        <f t="shared" si="27"/>
        <v>1800</v>
      </c>
      <c r="O886">
        <f t="shared" si="26"/>
        <v>1040.5</v>
      </c>
      <c r="P886">
        <f>Table1[[#This Row],[Quantity]]*Table1[[#This Row],[unit_price]]*Table1[[#This Row],[Discount]]</f>
        <v>149.5</v>
      </c>
      <c r="Q886" t="str">
        <f>VLOOKUP(E886,Products!$A$2:$E$23,2,0)</f>
        <v>Notebook Pack of 5</v>
      </c>
      <c r="R886" t="str">
        <f>VLOOKUP(Table1[[#This Row],[Product ID]],Products!$A$2:$E$23,3,0)</f>
        <v>Office Supplies</v>
      </c>
      <c r="S886" t="str">
        <f>VLOOKUP(C886,Customers!$A$2:$F$201,4,0)</f>
        <v>Maharashtra</v>
      </c>
      <c r="T886" t="str">
        <f>VLOOKUP(Table1[[#This Row],[Customer ID]],Customers!$A$2:$F$201,5,0)</f>
        <v>West</v>
      </c>
      <c r="U886" t="str">
        <f>VLOOKUP(Table1[[#This Row],[Customer ID]],Customers!$A$2:$F$201,6,0)</f>
        <v>Corporate</v>
      </c>
      <c r="V886" t="str">
        <f>TEXT(Table1[[#This Row],[Order Date]],"MMM")</f>
        <v>Jun</v>
      </c>
      <c r="W886" t="str">
        <f>TEXT(Table1[[#This Row],[Order Date]],"yyyy")</f>
        <v>2025</v>
      </c>
    </row>
    <row r="887" spans="1:23" x14ac:dyDescent="0.25">
      <c r="A887" s="2" t="s">
        <v>1132</v>
      </c>
      <c r="B887" s="4">
        <v>45840</v>
      </c>
      <c r="C887" s="2" t="s">
        <v>152</v>
      </c>
      <c r="D887" s="2" t="str">
        <f>TEXT(Table1[[#This Row],[Order Date]],"mmmm")</f>
        <v>July</v>
      </c>
      <c r="E887" s="2" t="s">
        <v>155</v>
      </c>
      <c r="F887" s="2">
        <v>1</v>
      </c>
      <c r="G887" s="5">
        <v>0</v>
      </c>
      <c r="H887" s="2" t="s">
        <v>30</v>
      </c>
      <c r="I887" s="2" t="s">
        <v>31</v>
      </c>
      <c r="J887" s="2" t="s">
        <v>21</v>
      </c>
      <c r="K887">
        <f>VLOOKUP(E887,Products!$A$2:$E$23,5,0)</f>
        <v>1599</v>
      </c>
      <c r="L887">
        <f>VLOOKUP(E887,Products!$A$2:$E$23,4,0)</f>
        <v>900</v>
      </c>
      <c r="M887" s="2">
        <f>K887*F887-Table1[[#This Row],[discount_amount]]</f>
        <v>1599</v>
      </c>
      <c r="N887">
        <f t="shared" si="27"/>
        <v>900</v>
      </c>
      <c r="O887">
        <f t="shared" si="26"/>
        <v>699</v>
      </c>
      <c r="P887">
        <f>Table1[[#This Row],[Quantity]]*Table1[[#This Row],[unit_price]]*Table1[[#This Row],[Discount]]</f>
        <v>0</v>
      </c>
      <c r="Q887" t="str">
        <f>VLOOKUP(E887,Products!$A$2:$E$23,2,0)</f>
        <v>Headphones</v>
      </c>
      <c r="R887" t="str">
        <f>VLOOKUP(Table1[[#This Row],[Product ID]],Products!$A$2:$E$23,3,0)</f>
        <v>Electronics</v>
      </c>
      <c r="S887" t="str">
        <f>VLOOKUP(C887,Customers!$A$2:$F$201,4,0)</f>
        <v>Gujarat</v>
      </c>
      <c r="T887" t="str">
        <f>VLOOKUP(Table1[[#This Row],[Customer ID]],Customers!$A$2:$F$201,5,0)</f>
        <v>West</v>
      </c>
      <c r="U887" t="str">
        <f>VLOOKUP(Table1[[#This Row],[Customer ID]],Customers!$A$2:$F$201,6,0)</f>
        <v>Consumer</v>
      </c>
      <c r="V887" t="str">
        <f>TEXT(Table1[[#This Row],[Order Date]],"MMM")</f>
        <v>Jul</v>
      </c>
      <c r="W887" t="str">
        <f>TEXT(Table1[[#This Row],[Order Date]],"yyyy")</f>
        <v>2025</v>
      </c>
    </row>
    <row r="888" spans="1:23" x14ac:dyDescent="0.25">
      <c r="A888" s="2" t="s">
        <v>1133</v>
      </c>
      <c r="B888" s="4">
        <v>45841</v>
      </c>
      <c r="C888" s="2" t="s">
        <v>291</v>
      </c>
      <c r="D888" s="2" t="str">
        <f>TEXT(Table1[[#This Row],[Order Date]],"mmmm")</f>
        <v>July</v>
      </c>
      <c r="E888" s="2" t="s">
        <v>18</v>
      </c>
      <c r="F888" s="2">
        <v>2</v>
      </c>
      <c r="G888" s="5">
        <v>0.05</v>
      </c>
      <c r="H888" s="2" t="s">
        <v>25</v>
      </c>
      <c r="I888" s="2" t="s">
        <v>31</v>
      </c>
      <c r="J888" s="2" t="s">
        <v>42</v>
      </c>
      <c r="K888">
        <f>VLOOKUP(E888,Products!$A$2:$E$23,5,0)</f>
        <v>4299</v>
      </c>
      <c r="L888">
        <f>VLOOKUP(E888,Products!$A$2:$E$23,4,0)</f>
        <v>2800</v>
      </c>
      <c r="M888" s="2">
        <f>K888*F888-Table1[[#This Row],[discount_amount]]</f>
        <v>8168.1</v>
      </c>
      <c r="N888">
        <f t="shared" si="27"/>
        <v>5600</v>
      </c>
      <c r="O888">
        <f t="shared" si="26"/>
        <v>2568.1000000000004</v>
      </c>
      <c r="P888">
        <f>Table1[[#This Row],[Quantity]]*Table1[[#This Row],[unit_price]]*Table1[[#This Row],[Discount]]</f>
        <v>429.90000000000003</v>
      </c>
      <c r="Q888" t="str">
        <f>VLOOKUP(E888,Products!$A$2:$E$23,2,0)</f>
        <v>Bookshelf</v>
      </c>
      <c r="R888" t="str">
        <f>VLOOKUP(Table1[[#This Row],[Product ID]],Products!$A$2:$E$23,3,0)</f>
        <v>Furniture</v>
      </c>
      <c r="S888" t="str">
        <f>VLOOKUP(C888,Customers!$A$2:$F$201,4,0)</f>
        <v>Rajasthan</v>
      </c>
      <c r="T888" t="str">
        <f>VLOOKUP(Table1[[#This Row],[Customer ID]],Customers!$A$2:$F$201,5,0)</f>
        <v>North</v>
      </c>
      <c r="U888" t="str">
        <f>VLOOKUP(Table1[[#This Row],[Customer ID]],Customers!$A$2:$F$201,6,0)</f>
        <v>Consumer</v>
      </c>
      <c r="V888" t="str">
        <f>TEXT(Table1[[#This Row],[Order Date]],"MMM")</f>
        <v>Jul</v>
      </c>
      <c r="W888" t="str">
        <f>TEXT(Table1[[#This Row],[Order Date]],"yyyy")</f>
        <v>2025</v>
      </c>
    </row>
    <row r="889" spans="1:23" x14ac:dyDescent="0.25">
      <c r="A889" s="2" t="s">
        <v>1134</v>
      </c>
      <c r="B889" s="4">
        <v>45842</v>
      </c>
      <c r="C889" s="2" t="s">
        <v>1135</v>
      </c>
      <c r="D889" s="2" t="str">
        <f>TEXT(Table1[[#This Row],[Order Date]],"mmmm")</f>
        <v>July</v>
      </c>
      <c r="E889" s="2" t="s">
        <v>82</v>
      </c>
      <c r="F889" s="2">
        <v>1</v>
      </c>
      <c r="G889" s="5">
        <v>0</v>
      </c>
      <c r="H889" s="2" t="s">
        <v>30</v>
      </c>
      <c r="I889" s="2" t="s">
        <v>26</v>
      </c>
      <c r="J889" s="2" t="s">
        <v>21</v>
      </c>
      <c r="K889">
        <f>VLOOKUP(E889,Products!$A$2:$E$23,5,0)</f>
        <v>1799</v>
      </c>
      <c r="L889">
        <f>VLOOKUP(E889,Products!$A$2:$E$23,4,0)</f>
        <v>1100</v>
      </c>
      <c r="M889" s="2">
        <f>K889*F889-Table1[[#This Row],[discount_amount]]</f>
        <v>1799</v>
      </c>
      <c r="N889">
        <f t="shared" si="27"/>
        <v>1100</v>
      </c>
      <c r="O889">
        <f t="shared" si="26"/>
        <v>699</v>
      </c>
      <c r="P889">
        <f>Table1[[#This Row],[Quantity]]*Table1[[#This Row],[unit_price]]*Table1[[#This Row],[Discount]]</f>
        <v>0</v>
      </c>
      <c r="Q889" t="str">
        <f>VLOOKUP(E889,Products!$A$2:$E$23,2,0)</f>
        <v>Webcam HD</v>
      </c>
      <c r="R889" t="str">
        <f>VLOOKUP(Table1[[#This Row],[Product ID]],Products!$A$2:$E$23,3,0)</f>
        <v>Electronics</v>
      </c>
      <c r="S889" t="str">
        <f>VLOOKUP(C889,Customers!$A$2:$F$201,4,0)</f>
        <v>Rajasthan</v>
      </c>
      <c r="T889" t="str">
        <f>VLOOKUP(Table1[[#This Row],[Customer ID]],Customers!$A$2:$F$201,5,0)</f>
        <v>North</v>
      </c>
      <c r="U889" t="str">
        <f>VLOOKUP(Table1[[#This Row],[Customer ID]],Customers!$A$2:$F$201,6,0)</f>
        <v>Corporate</v>
      </c>
      <c r="V889" t="str">
        <f>TEXT(Table1[[#This Row],[Order Date]],"MMM")</f>
        <v>Jul</v>
      </c>
      <c r="W889" t="str">
        <f>TEXT(Table1[[#This Row],[Order Date]],"yyyy")</f>
        <v>2025</v>
      </c>
    </row>
    <row r="890" spans="1:23" x14ac:dyDescent="0.25">
      <c r="A890" s="2" t="s">
        <v>1136</v>
      </c>
      <c r="B890" s="4">
        <v>45843</v>
      </c>
      <c r="C890" s="2" t="s">
        <v>636</v>
      </c>
      <c r="D890" s="2" t="str">
        <f>TEXT(Table1[[#This Row],[Order Date]],"mmmm")</f>
        <v>July</v>
      </c>
      <c r="E890" s="2" t="s">
        <v>49</v>
      </c>
      <c r="F890" s="2">
        <v>1</v>
      </c>
      <c r="G890" s="5">
        <v>0</v>
      </c>
      <c r="H890" s="2" t="s">
        <v>30</v>
      </c>
      <c r="I890" s="2" t="s">
        <v>26</v>
      </c>
      <c r="J890" s="2" t="s">
        <v>21</v>
      </c>
      <c r="K890">
        <f>VLOOKUP(E890,Products!$A$2:$E$23,5,0)</f>
        <v>700</v>
      </c>
      <c r="L890">
        <f>VLOOKUP(E890,Products!$A$2:$E$23,4,0)</f>
        <v>450</v>
      </c>
      <c r="M890" s="2">
        <f>K890*F890-Table1[[#This Row],[discount_amount]]</f>
        <v>700</v>
      </c>
      <c r="N890">
        <f t="shared" si="27"/>
        <v>450</v>
      </c>
      <c r="O890">
        <f t="shared" si="26"/>
        <v>250</v>
      </c>
      <c r="P890">
        <f>Table1[[#This Row],[Quantity]]*Table1[[#This Row],[unit_price]]*Table1[[#This Row],[Discount]]</f>
        <v>0</v>
      </c>
      <c r="Q890" t="str">
        <f>VLOOKUP(E890,Products!$A$2:$E$23,2,0)</f>
        <v>Wireless Mouse</v>
      </c>
      <c r="R890" t="str">
        <f>VLOOKUP(Table1[[#This Row],[Product ID]],Products!$A$2:$E$23,3,0)</f>
        <v>Electronics</v>
      </c>
      <c r="S890" t="str">
        <f>VLOOKUP(C890,Customers!$A$2:$F$201,4,0)</f>
        <v>Rajasthan</v>
      </c>
      <c r="T890" t="str">
        <f>VLOOKUP(Table1[[#This Row],[Customer ID]],Customers!$A$2:$F$201,5,0)</f>
        <v>North</v>
      </c>
      <c r="U890" t="str">
        <f>VLOOKUP(Table1[[#This Row],[Customer ID]],Customers!$A$2:$F$201,6,0)</f>
        <v>Home Office</v>
      </c>
      <c r="V890" t="str">
        <f>TEXT(Table1[[#This Row],[Order Date]],"MMM")</f>
        <v>Jul</v>
      </c>
      <c r="W890" t="str">
        <f>TEXT(Table1[[#This Row],[Order Date]],"yyyy")</f>
        <v>2025</v>
      </c>
    </row>
    <row r="891" spans="1:23" x14ac:dyDescent="0.25">
      <c r="A891" s="2" t="s">
        <v>1137</v>
      </c>
      <c r="B891" s="4">
        <v>45844</v>
      </c>
      <c r="C891" s="2" t="s">
        <v>313</v>
      </c>
      <c r="D891" s="2" t="str">
        <f>TEXT(Table1[[#This Row],[Order Date]],"mmmm")</f>
        <v>July</v>
      </c>
      <c r="E891" s="2" t="s">
        <v>66</v>
      </c>
      <c r="F891" s="2">
        <v>1</v>
      </c>
      <c r="G891" s="5">
        <v>0.05</v>
      </c>
      <c r="H891" s="2" t="s">
        <v>19</v>
      </c>
      <c r="I891" s="2" t="s">
        <v>20</v>
      </c>
      <c r="J891" s="2" t="s">
        <v>21</v>
      </c>
      <c r="K891">
        <f>VLOOKUP(E891,Products!$A$2:$E$23,5,0)</f>
        <v>1299</v>
      </c>
      <c r="L891">
        <f>VLOOKUP(E891,Products!$A$2:$E$23,4,0)</f>
        <v>800</v>
      </c>
      <c r="M891" s="2">
        <f>K891*F891-Table1[[#This Row],[discount_amount]]</f>
        <v>1234.05</v>
      </c>
      <c r="N891">
        <f t="shared" si="27"/>
        <v>800</v>
      </c>
      <c r="O891">
        <f t="shared" si="26"/>
        <v>434.04999999999995</v>
      </c>
      <c r="P891">
        <f>Table1[[#This Row],[Quantity]]*Table1[[#This Row],[unit_price]]*Table1[[#This Row],[Discount]]</f>
        <v>64.95</v>
      </c>
      <c r="Q891" t="str">
        <f>VLOOKUP(E891,Products!$A$2:$E$23,2,0)</f>
        <v>Power Bank 10000mAh</v>
      </c>
      <c r="R891" t="str">
        <f>VLOOKUP(Table1[[#This Row],[Product ID]],Products!$A$2:$E$23,3,0)</f>
        <v>Electronics</v>
      </c>
      <c r="S891" t="str">
        <f>VLOOKUP(C891,Customers!$A$2:$F$201,4,0)</f>
        <v>Kerala</v>
      </c>
      <c r="T891" t="str">
        <f>VLOOKUP(Table1[[#This Row],[Customer ID]],Customers!$A$2:$F$201,5,0)</f>
        <v>South</v>
      </c>
      <c r="U891" t="str">
        <f>VLOOKUP(Table1[[#This Row],[Customer ID]],Customers!$A$2:$F$201,6,0)</f>
        <v>Consumer</v>
      </c>
      <c r="V891" t="str">
        <f>TEXT(Table1[[#This Row],[Order Date]],"MMM")</f>
        <v>Jul</v>
      </c>
      <c r="W891" t="str">
        <f>TEXT(Table1[[#This Row],[Order Date]],"yyyy")</f>
        <v>2025</v>
      </c>
    </row>
    <row r="892" spans="1:23" x14ac:dyDescent="0.25">
      <c r="A892" s="2" t="s">
        <v>1138</v>
      </c>
      <c r="B892" s="4">
        <v>45844</v>
      </c>
      <c r="C892" s="2" t="s">
        <v>272</v>
      </c>
      <c r="D892" s="2" t="str">
        <f>TEXT(Table1[[#This Row],[Order Date]],"mmmm")</f>
        <v>July</v>
      </c>
      <c r="E892" s="2" t="s">
        <v>57</v>
      </c>
      <c r="F892" s="2">
        <v>1</v>
      </c>
      <c r="G892" s="5">
        <v>0</v>
      </c>
      <c r="H892" s="2" t="s">
        <v>25</v>
      </c>
      <c r="I892" s="2" t="s">
        <v>20</v>
      </c>
      <c r="J892" s="2" t="s">
        <v>21</v>
      </c>
      <c r="K892">
        <f>VLOOKUP(E892,Products!$A$2:$E$23,5,0)</f>
        <v>1599</v>
      </c>
      <c r="L892">
        <f>VLOOKUP(E892,Products!$A$2:$E$23,4,0)</f>
        <v>800</v>
      </c>
      <c r="M892" s="2">
        <f>K892*F892-Table1[[#This Row],[discount_amount]]</f>
        <v>1599</v>
      </c>
      <c r="N892">
        <f t="shared" si="27"/>
        <v>800</v>
      </c>
      <c r="O892">
        <f t="shared" si="26"/>
        <v>799</v>
      </c>
      <c r="P892">
        <f>Table1[[#This Row],[Quantity]]*Table1[[#This Row],[unit_price]]*Table1[[#This Row],[Discount]]</f>
        <v>0</v>
      </c>
      <c r="Q892" t="str">
        <f>VLOOKUP(E892,Products!$A$2:$E$23,2,0)</f>
        <v>Hoodie</v>
      </c>
      <c r="R892" t="str">
        <f>VLOOKUP(Table1[[#This Row],[Product ID]],Products!$A$2:$E$23,3,0)</f>
        <v>Clothing</v>
      </c>
      <c r="S892" t="str">
        <f>VLOOKUP(C892,Customers!$A$2:$F$201,4,0)</f>
        <v>Gujarat</v>
      </c>
      <c r="T892" t="str">
        <f>VLOOKUP(Table1[[#This Row],[Customer ID]],Customers!$A$2:$F$201,5,0)</f>
        <v>West</v>
      </c>
      <c r="U892" t="str">
        <f>VLOOKUP(Table1[[#This Row],[Customer ID]],Customers!$A$2:$F$201,6,0)</f>
        <v>Consumer</v>
      </c>
      <c r="V892" t="str">
        <f>TEXT(Table1[[#This Row],[Order Date]],"MMM")</f>
        <v>Jul</v>
      </c>
      <c r="W892" t="str">
        <f>TEXT(Table1[[#This Row],[Order Date]],"yyyy")</f>
        <v>2025</v>
      </c>
    </row>
    <row r="893" spans="1:23" x14ac:dyDescent="0.25">
      <c r="A893" s="2" t="s">
        <v>1139</v>
      </c>
      <c r="B893" s="4">
        <v>45844</v>
      </c>
      <c r="C893" s="2" t="s">
        <v>453</v>
      </c>
      <c r="D893" s="2" t="str">
        <f>TEXT(Table1[[#This Row],[Order Date]],"mmmm")</f>
        <v>July</v>
      </c>
      <c r="E893" s="2" t="s">
        <v>24</v>
      </c>
      <c r="F893" s="2">
        <v>2</v>
      </c>
      <c r="G893" s="5">
        <v>0</v>
      </c>
      <c r="H893" s="2" t="s">
        <v>25</v>
      </c>
      <c r="I893" s="2" t="s">
        <v>26</v>
      </c>
      <c r="J893" s="2" t="s">
        <v>21</v>
      </c>
      <c r="K893">
        <f>VLOOKUP(E893,Products!$A$2:$E$23,5,0)</f>
        <v>899</v>
      </c>
      <c r="L893">
        <f>VLOOKUP(E893,Products!$A$2:$E$23,4,0)</f>
        <v>500</v>
      </c>
      <c r="M893" s="2">
        <f>K893*F893-Table1[[#This Row],[discount_amount]]</f>
        <v>1798</v>
      </c>
      <c r="N893">
        <f t="shared" si="27"/>
        <v>1000</v>
      </c>
      <c r="O893">
        <f t="shared" si="26"/>
        <v>798</v>
      </c>
      <c r="P893">
        <f>Table1[[#This Row],[Quantity]]*Table1[[#This Row],[unit_price]]*Table1[[#This Row],[Discount]]</f>
        <v>0</v>
      </c>
      <c r="Q893" t="str">
        <f>VLOOKUP(E893,Products!$A$2:$E$23,2,0)</f>
        <v>Monitor Stand</v>
      </c>
      <c r="R893" t="str">
        <f>VLOOKUP(Table1[[#This Row],[Product ID]],Products!$A$2:$E$23,3,0)</f>
        <v>Furniture</v>
      </c>
      <c r="S893" t="str">
        <f>VLOOKUP(C893,Customers!$A$2:$F$201,4,0)</f>
        <v>Chandigarh</v>
      </c>
      <c r="T893" t="str">
        <f>VLOOKUP(Table1[[#This Row],[Customer ID]],Customers!$A$2:$F$201,5,0)</f>
        <v>North</v>
      </c>
      <c r="U893" t="str">
        <f>VLOOKUP(Table1[[#This Row],[Customer ID]],Customers!$A$2:$F$201,6,0)</f>
        <v>Home Office</v>
      </c>
      <c r="V893" t="str">
        <f>TEXT(Table1[[#This Row],[Order Date]],"MMM")</f>
        <v>Jul</v>
      </c>
      <c r="W893" t="str">
        <f>TEXT(Table1[[#This Row],[Order Date]],"yyyy")</f>
        <v>2025</v>
      </c>
    </row>
    <row r="894" spans="1:23" x14ac:dyDescent="0.25">
      <c r="A894" s="2" t="s">
        <v>1140</v>
      </c>
      <c r="B894" s="4">
        <v>45845</v>
      </c>
      <c r="C894" s="2" t="s">
        <v>939</v>
      </c>
      <c r="D894" s="2" t="str">
        <f>TEXT(Table1[[#This Row],[Order Date]],"mmmm")</f>
        <v>July</v>
      </c>
      <c r="E894" s="2" t="s">
        <v>24</v>
      </c>
      <c r="F894" s="2">
        <v>1</v>
      </c>
      <c r="G894" s="5">
        <v>0.05</v>
      </c>
      <c r="H894" s="2" t="s">
        <v>30</v>
      </c>
      <c r="I894" s="2" t="s">
        <v>20</v>
      </c>
      <c r="J894" s="2" t="s">
        <v>21</v>
      </c>
      <c r="K894">
        <f>VLOOKUP(E894,Products!$A$2:$E$23,5,0)</f>
        <v>899</v>
      </c>
      <c r="L894">
        <f>VLOOKUP(E894,Products!$A$2:$E$23,4,0)</f>
        <v>500</v>
      </c>
      <c r="M894" s="2">
        <f>K894*F894-Table1[[#This Row],[discount_amount]]</f>
        <v>854.05</v>
      </c>
      <c r="N894">
        <f t="shared" si="27"/>
        <v>500</v>
      </c>
      <c r="O894">
        <f t="shared" si="26"/>
        <v>354.04999999999995</v>
      </c>
      <c r="P894">
        <f>Table1[[#This Row],[Quantity]]*Table1[[#This Row],[unit_price]]*Table1[[#This Row],[Discount]]</f>
        <v>44.95</v>
      </c>
      <c r="Q894" t="str">
        <f>VLOOKUP(E894,Products!$A$2:$E$23,2,0)</f>
        <v>Monitor Stand</v>
      </c>
      <c r="R894" t="str">
        <f>VLOOKUP(Table1[[#This Row],[Product ID]],Products!$A$2:$E$23,3,0)</f>
        <v>Furniture</v>
      </c>
      <c r="S894" t="str">
        <f>VLOOKUP(C894,Customers!$A$2:$F$201,4,0)</f>
        <v>Uttar Pradesh</v>
      </c>
      <c r="T894" t="str">
        <f>VLOOKUP(Table1[[#This Row],[Customer ID]],Customers!$A$2:$F$201,5,0)</f>
        <v>North</v>
      </c>
      <c r="U894" t="str">
        <f>VLOOKUP(Table1[[#This Row],[Customer ID]],Customers!$A$2:$F$201,6,0)</f>
        <v>Consumer</v>
      </c>
      <c r="V894" t="str">
        <f>TEXT(Table1[[#This Row],[Order Date]],"MMM")</f>
        <v>Jul</v>
      </c>
      <c r="W894" t="str">
        <f>TEXT(Table1[[#This Row],[Order Date]],"yyyy")</f>
        <v>2025</v>
      </c>
    </row>
    <row r="895" spans="1:23" x14ac:dyDescent="0.25">
      <c r="A895" s="2" t="s">
        <v>1141</v>
      </c>
      <c r="B895" s="4">
        <v>45845</v>
      </c>
      <c r="C895" s="2" t="s">
        <v>676</v>
      </c>
      <c r="D895" s="2" t="str">
        <f>TEXT(Table1[[#This Row],[Order Date]],"mmmm")</f>
        <v>July</v>
      </c>
      <c r="E895" s="2" t="s">
        <v>18</v>
      </c>
      <c r="F895" s="2">
        <v>2</v>
      </c>
      <c r="G895" s="5">
        <v>0.2</v>
      </c>
      <c r="H895" s="2" t="s">
        <v>30</v>
      </c>
      <c r="I895" s="2" t="s">
        <v>38</v>
      </c>
      <c r="J895" s="2" t="s">
        <v>79</v>
      </c>
      <c r="K895">
        <f>VLOOKUP(E895,Products!$A$2:$E$23,5,0)</f>
        <v>4299</v>
      </c>
      <c r="L895">
        <f>VLOOKUP(E895,Products!$A$2:$E$23,4,0)</f>
        <v>2800</v>
      </c>
      <c r="M895" s="2">
        <f>K895*F895-Table1[[#This Row],[discount_amount]]</f>
        <v>6878.4</v>
      </c>
      <c r="N895">
        <f t="shared" si="27"/>
        <v>5600</v>
      </c>
      <c r="O895">
        <f t="shared" si="26"/>
        <v>1278.3999999999996</v>
      </c>
      <c r="P895">
        <f>Table1[[#This Row],[Quantity]]*Table1[[#This Row],[unit_price]]*Table1[[#This Row],[Discount]]</f>
        <v>1719.6000000000001</v>
      </c>
      <c r="Q895" t="str">
        <f>VLOOKUP(E895,Products!$A$2:$E$23,2,0)</f>
        <v>Bookshelf</v>
      </c>
      <c r="R895" t="str">
        <f>VLOOKUP(Table1[[#This Row],[Product ID]],Products!$A$2:$E$23,3,0)</f>
        <v>Furniture</v>
      </c>
      <c r="S895" t="str">
        <f>VLOOKUP(C895,Customers!$A$2:$F$201,4,0)</f>
        <v>Tamil Nadu</v>
      </c>
      <c r="T895" t="str">
        <f>VLOOKUP(Table1[[#This Row],[Customer ID]],Customers!$A$2:$F$201,5,0)</f>
        <v>South</v>
      </c>
      <c r="U895" t="str">
        <f>VLOOKUP(Table1[[#This Row],[Customer ID]],Customers!$A$2:$F$201,6,0)</f>
        <v>Consumer</v>
      </c>
      <c r="V895" t="str">
        <f>TEXT(Table1[[#This Row],[Order Date]],"MMM")</f>
        <v>Jul</v>
      </c>
      <c r="W895" t="str">
        <f>TEXT(Table1[[#This Row],[Order Date]],"yyyy")</f>
        <v>2025</v>
      </c>
    </row>
    <row r="896" spans="1:23" x14ac:dyDescent="0.25">
      <c r="A896" s="2" t="s">
        <v>1142</v>
      </c>
      <c r="B896" s="4">
        <v>45846</v>
      </c>
      <c r="C896" s="2" t="s">
        <v>174</v>
      </c>
      <c r="D896" s="2" t="str">
        <f>TEXT(Table1[[#This Row],[Order Date]],"mmmm")</f>
        <v>July</v>
      </c>
      <c r="E896" s="2" t="s">
        <v>63</v>
      </c>
      <c r="F896" s="2">
        <v>5</v>
      </c>
      <c r="G896" s="5">
        <v>0.1</v>
      </c>
      <c r="H896" s="2" t="s">
        <v>25</v>
      </c>
      <c r="I896" s="2" t="s">
        <v>46</v>
      </c>
      <c r="J896" s="2" t="s">
        <v>21</v>
      </c>
      <c r="K896">
        <f>VLOOKUP(E896,Products!$A$2:$E$23,5,0)</f>
        <v>5499</v>
      </c>
      <c r="L896">
        <f>VLOOKUP(E896,Products!$A$2:$E$23,4,0)</f>
        <v>3500</v>
      </c>
      <c r="M896" s="2">
        <f>K896*F896-Table1[[#This Row],[discount_amount]]</f>
        <v>24745.5</v>
      </c>
      <c r="N896">
        <f t="shared" si="27"/>
        <v>17500</v>
      </c>
      <c r="O896">
        <f t="shared" si="26"/>
        <v>7245.5</v>
      </c>
      <c r="P896">
        <f>Table1[[#This Row],[Quantity]]*Table1[[#This Row],[unit_price]]*Table1[[#This Row],[Discount]]</f>
        <v>2749.5</v>
      </c>
      <c r="Q896" t="str">
        <f>VLOOKUP(E896,Products!$A$2:$E$23,2,0)</f>
        <v>Office Chair</v>
      </c>
      <c r="R896" t="str">
        <f>VLOOKUP(Table1[[#This Row],[Product ID]],Products!$A$2:$E$23,3,0)</f>
        <v>Furniture</v>
      </c>
      <c r="S896" t="str">
        <f>VLOOKUP(C896,Customers!$A$2:$F$201,4,0)</f>
        <v>Gujarat</v>
      </c>
      <c r="T896" t="str">
        <f>VLOOKUP(Table1[[#This Row],[Customer ID]],Customers!$A$2:$F$201,5,0)</f>
        <v>West</v>
      </c>
      <c r="U896" t="str">
        <f>VLOOKUP(Table1[[#This Row],[Customer ID]],Customers!$A$2:$F$201,6,0)</f>
        <v>Consumer</v>
      </c>
      <c r="V896" t="str">
        <f>TEXT(Table1[[#This Row],[Order Date]],"MMM")</f>
        <v>Jul</v>
      </c>
      <c r="W896" t="str">
        <f>TEXT(Table1[[#This Row],[Order Date]],"yyyy")</f>
        <v>2025</v>
      </c>
    </row>
    <row r="897" spans="1:23" x14ac:dyDescent="0.25">
      <c r="A897" s="2" t="s">
        <v>1143</v>
      </c>
      <c r="B897" s="4">
        <v>45847</v>
      </c>
      <c r="C897" s="2" t="s">
        <v>171</v>
      </c>
      <c r="D897" s="2" t="str">
        <f>TEXT(Table1[[#This Row],[Order Date]],"mmmm")</f>
        <v>July</v>
      </c>
      <c r="E897" s="2" t="s">
        <v>155</v>
      </c>
      <c r="F897" s="2">
        <v>6</v>
      </c>
      <c r="G897" s="5">
        <v>0.1</v>
      </c>
      <c r="H897" s="2" t="s">
        <v>19</v>
      </c>
      <c r="I897" s="2" t="s">
        <v>31</v>
      </c>
      <c r="J897" s="2" t="s">
        <v>21</v>
      </c>
      <c r="K897">
        <f>VLOOKUP(E897,Products!$A$2:$E$23,5,0)</f>
        <v>1599</v>
      </c>
      <c r="L897">
        <f>VLOOKUP(E897,Products!$A$2:$E$23,4,0)</f>
        <v>900</v>
      </c>
      <c r="M897" s="2">
        <f>K897*F897-Table1[[#This Row],[discount_amount]]</f>
        <v>8634.6</v>
      </c>
      <c r="N897">
        <f t="shared" si="27"/>
        <v>5400</v>
      </c>
      <c r="O897">
        <f t="shared" si="26"/>
        <v>3234.6000000000004</v>
      </c>
      <c r="P897">
        <f>Table1[[#This Row],[Quantity]]*Table1[[#This Row],[unit_price]]*Table1[[#This Row],[Discount]]</f>
        <v>959.40000000000009</v>
      </c>
      <c r="Q897" t="str">
        <f>VLOOKUP(E897,Products!$A$2:$E$23,2,0)</f>
        <v>Headphones</v>
      </c>
      <c r="R897" t="str">
        <f>VLOOKUP(Table1[[#This Row],[Product ID]],Products!$A$2:$E$23,3,0)</f>
        <v>Electronics</v>
      </c>
      <c r="S897" t="str">
        <f>VLOOKUP(C897,Customers!$A$2:$F$201,4,0)</f>
        <v>Delhi</v>
      </c>
      <c r="T897" t="str">
        <f>VLOOKUP(Table1[[#This Row],[Customer ID]],Customers!$A$2:$F$201,5,0)</f>
        <v>North</v>
      </c>
      <c r="U897" t="str">
        <f>VLOOKUP(Table1[[#This Row],[Customer ID]],Customers!$A$2:$F$201,6,0)</f>
        <v>Consumer</v>
      </c>
      <c r="V897" t="str">
        <f>TEXT(Table1[[#This Row],[Order Date]],"MMM")</f>
        <v>Jul</v>
      </c>
      <c r="W897" t="str">
        <f>TEXT(Table1[[#This Row],[Order Date]],"yyyy")</f>
        <v>2025</v>
      </c>
    </row>
    <row r="898" spans="1:23" x14ac:dyDescent="0.25">
      <c r="A898" s="2" t="s">
        <v>1144</v>
      </c>
      <c r="B898" s="4">
        <v>45848</v>
      </c>
      <c r="C898" s="2" t="s">
        <v>325</v>
      </c>
      <c r="D898" s="2" t="str">
        <f>TEXT(Table1[[#This Row],[Order Date]],"mmmm")</f>
        <v>July</v>
      </c>
      <c r="E898" s="2" t="s">
        <v>66</v>
      </c>
      <c r="F898" s="2">
        <v>1</v>
      </c>
      <c r="G898" s="5">
        <v>0.1</v>
      </c>
      <c r="H898" s="2" t="s">
        <v>19</v>
      </c>
      <c r="I898" s="2" t="s">
        <v>20</v>
      </c>
      <c r="J898" s="2" t="s">
        <v>21</v>
      </c>
      <c r="K898">
        <f>VLOOKUP(E898,Products!$A$2:$E$23,5,0)</f>
        <v>1299</v>
      </c>
      <c r="L898">
        <f>VLOOKUP(E898,Products!$A$2:$E$23,4,0)</f>
        <v>800</v>
      </c>
      <c r="M898" s="2">
        <f>K898*F898-Table1[[#This Row],[discount_amount]]</f>
        <v>1169.0999999999999</v>
      </c>
      <c r="N898">
        <f t="shared" si="27"/>
        <v>800</v>
      </c>
      <c r="O898">
        <f t="shared" ref="O898:O961" si="28">M898-N898</f>
        <v>369.09999999999991</v>
      </c>
      <c r="P898">
        <f>Table1[[#This Row],[Quantity]]*Table1[[#This Row],[unit_price]]*Table1[[#This Row],[Discount]]</f>
        <v>129.9</v>
      </c>
      <c r="Q898" t="str">
        <f>VLOOKUP(E898,Products!$A$2:$E$23,2,0)</f>
        <v>Power Bank 10000mAh</v>
      </c>
      <c r="R898" t="str">
        <f>VLOOKUP(Table1[[#This Row],[Product ID]],Products!$A$2:$E$23,3,0)</f>
        <v>Electronics</v>
      </c>
      <c r="S898" t="str">
        <f>VLOOKUP(C898,Customers!$A$2:$F$201,4,0)</f>
        <v>Maharashtra</v>
      </c>
      <c r="T898" t="str">
        <f>VLOOKUP(Table1[[#This Row],[Customer ID]],Customers!$A$2:$F$201,5,0)</f>
        <v>West</v>
      </c>
      <c r="U898" t="str">
        <f>VLOOKUP(Table1[[#This Row],[Customer ID]],Customers!$A$2:$F$201,6,0)</f>
        <v>Corporate</v>
      </c>
      <c r="V898" t="str">
        <f>TEXT(Table1[[#This Row],[Order Date]],"MMM")</f>
        <v>Jul</v>
      </c>
      <c r="W898" t="str">
        <f>TEXT(Table1[[#This Row],[Order Date]],"yyyy")</f>
        <v>2025</v>
      </c>
    </row>
    <row r="899" spans="1:23" x14ac:dyDescent="0.25">
      <c r="A899" s="2" t="s">
        <v>1145</v>
      </c>
      <c r="B899" s="4">
        <v>45848</v>
      </c>
      <c r="C899" s="2" t="s">
        <v>137</v>
      </c>
      <c r="D899" s="2" t="str">
        <f>TEXT(Table1[[#This Row],[Order Date]],"mmmm")</f>
        <v>July</v>
      </c>
      <c r="E899" s="2" t="s">
        <v>118</v>
      </c>
      <c r="F899" s="2">
        <v>3</v>
      </c>
      <c r="G899" s="5">
        <v>0.05</v>
      </c>
      <c r="H899" s="2" t="s">
        <v>19</v>
      </c>
      <c r="I899" s="2" t="s">
        <v>26</v>
      </c>
      <c r="J899" s="2" t="s">
        <v>21</v>
      </c>
      <c r="K899">
        <f>VLOOKUP(E899,Products!$A$2:$E$23,5,0)</f>
        <v>150</v>
      </c>
      <c r="L899">
        <f>VLOOKUP(E899,Products!$A$2:$E$23,4,0)</f>
        <v>90</v>
      </c>
      <c r="M899" s="2">
        <f>K899*F899-Table1[[#This Row],[discount_amount]]</f>
        <v>427.5</v>
      </c>
      <c r="N899">
        <f t="shared" ref="N899:N962" si="29">F899*L899</f>
        <v>270</v>
      </c>
      <c r="O899">
        <f t="shared" si="28"/>
        <v>157.5</v>
      </c>
      <c r="P899">
        <f>Table1[[#This Row],[Quantity]]*Table1[[#This Row],[unit_price]]*Table1[[#This Row],[Discount]]</f>
        <v>22.5</v>
      </c>
      <c r="Q899" t="str">
        <f>VLOOKUP(E899,Products!$A$2:$E$23,2,0)</f>
        <v>Gel Pen Box</v>
      </c>
      <c r="R899" t="str">
        <f>VLOOKUP(Table1[[#This Row],[Product ID]],Products!$A$2:$E$23,3,0)</f>
        <v>Office Supplies</v>
      </c>
      <c r="S899" t="str">
        <f>VLOOKUP(C899,Customers!$A$2:$F$201,4,0)</f>
        <v>Telangana</v>
      </c>
      <c r="T899" t="str">
        <f>VLOOKUP(Table1[[#This Row],[Customer ID]],Customers!$A$2:$F$201,5,0)</f>
        <v>South</v>
      </c>
      <c r="U899" t="str">
        <f>VLOOKUP(Table1[[#This Row],[Customer ID]],Customers!$A$2:$F$201,6,0)</f>
        <v>Corporate</v>
      </c>
      <c r="V899" t="str">
        <f>TEXT(Table1[[#This Row],[Order Date]],"MMM")</f>
        <v>Jul</v>
      </c>
      <c r="W899" t="str">
        <f>TEXT(Table1[[#This Row],[Order Date]],"yyyy")</f>
        <v>2025</v>
      </c>
    </row>
    <row r="900" spans="1:23" x14ac:dyDescent="0.25">
      <c r="A900" s="2" t="s">
        <v>1146</v>
      </c>
      <c r="B900" s="4">
        <v>45849</v>
      </c>
      <c r="C900" s="2" t="s">
        <v>23</v>
      </c>
      <c r="D900" s="2" t="str">
        <f>TEXT(Table1[[#This Row],[Order Date]],"mmmm")</f>
        <v>July</v>
      </c>
      <c r="E900" s="2" t="s">
        <v>37</v>
      </c>
      <c r="F900" s="2">
        <v>5</v>
      </c>
      <c r="G900" s="5">
        <v>0.05</v>
      </c>
      <c r="H900" s="2" t="s">
        <v>25</v>
      </c>
      <c r="I900" s="2" t="s">
        <v>26</v>
      </c>
      <c r="J900" s="2" t="s">
        <v>21</v>
      </c>
      <c r="K900">
        <f>VLOOKUP(E900,Products!$A$2:$E$23,5,0)</f>
        <v>1799</v>
      </c>
      <c r="L900">
        <f>VLOOKUP(E900,Products!$A$2:$E$23,4,0)</f>
        <v>900</v>
      </c>
      <c r="M900" s="2">
        <f>K900*F900-Table1[[#This Row],[discount_amount]]</f>
        <v>8545.25</v>
      </c>
      <c r="N900">
        <f t="shared" si="29"/>
        <v>4500</v>
      </c>
      <c r="O900">
        <f t="shared" si="28"/>
        <v>4045.25</v>
      </c>
      <c r="P900">
        <f>Table1[[#This Row],[Quantity]]*Table1[[#This Row],[unit_price]]*Table1[[#This Row],[Discount]]</f>
        <v>449.75</v>
      </c>
      <c r="Q900" t="str">
        <f>VLOOKUP(E900,Products!$A$2:$E$23,2,0)</f>
        <v>Denim Jeans</v>
      </c>
      <c r="R900" t="str">
        <f>VLOOKUP(Table1[[#This Row],[Product ID]],Products!$A$2:$E$23,3,0)</f>
        <v>Clothing</v>
      </c>
      <c r="S900" t="str">
        <f>VLOOKUP(C900,Customers!$A$2:$F$201,4,0)</f>
        <v>Gujarat</v>
      </c>
      <c r="T900" t="str">
        <f>VLOOKUP(Table1[[#This Row],[Customer ID]],Customers!$A$2:$F$201,5,0)</f>
        <v>West</v>
      </c>
      <c r="U900" t="str">
        <f>VLOOKUP(Table1[[#This Row],[Customer ID]],Customers!$A$2:$F$201,6,0)</f>
        <v>Consumer</v>
      </c>
      <c r="V900" t="str">
        <f>TEXT(Table1[[#This Row],[Order Date]],"MMM")</f>
        <v>Jul</v>
      </c>
      <c r="W900" t="str">
        <f>TEXT(Table1[[#This Row],[Order Date]],"yyyy")</f>
        <v>2025</v>
      </c>
    </row>
    <row r="901" spans="1:23" x14ac:dyDescent="0.25">
      <c r="A901" s="2" t="s">
        <v>1147</v>
      </c>
      <c r="B901" s="4">
        <v>45849</v>
      </c>
      <c r="C901" s="2" t="s">
        <v>217</v>
      </c>
      <c r="D901" s="2" t="str">
        <f>TEXT(Table1[[#This Row],[Order Date]],"mmmm")</f>
        <v>July</v>
      </c>
      <c r="E901" s="2" t="s">
        <v>54</v>
      </c>
      <c r="F901" s="2">
        <v>2</v>
      </c>
      <c r="G901" s="5">
        <v>0.05</v>
      </c>
      <c r="H901" s="2" t="s">
        <v>19</v>
      </c>
      <c r="I901" s="2" t="s">
        <v>31</v>
      </c>
      <c r="J901" s="2" t="s">
        <v>21</v>
      </c>
      <c r="K901">
        <f>VLOOKUP(E901,Products!$A$2:$E$23,5,0)</f>
        <v>299</v>
      </c>
      <c r="L901">
        <f>VLOOKUP(E901,Products!$A$2:$E$23,4,0)</f>
        <v>180</v>
      </c>
      <c r="M901" s="2">
        <f>K901*F901-Table1[[#This Row],[discount_amount]]</f>
        <v>568.1</v>
      </c>
      <c r="N901">
        <f t="shared" si="29"/>
        <v>360</v>
      </c>
      <c r="O901">
        <f t="shared" si="28"/>
        <v>208.10000000000002</v>
      </c>
      <c r="P901">
        <f>Table1[[#This Row],[Quantity]]*Table1[[#This Row],[unit_price]]*Table1[[#This Row],[Discount]]</f>
        <v>29.900000000000002</v>
      </c>
      <c r="Q901" t="str">
        <f>VLOOKUP(E901,Products!$A$2:$E$23,2,0)</f>
        <v>Notebook Pack of 5</v>
      </c>
      <c r="R901" t="str">
        <f>VLOOKUP(Table1[[#This Row],[Product ID]],Products!$A$2:$E$23,3,0)</f>
        <v>Office Supplies</v>
      </c>
      <c r="S901" t="str">
        <f>VLOOKUP(C901,Customers!$A$2:$F$201,4,0)</f>
        <v>Madhya Pradesh</v>
      </c>
      <c r="T901" t="str">
        <f>VLOOKUP(Table1[[#This Row],[Customer ID]],Customers!$A$2:$F$201,5,0)</f>
        <v>Central</v>
      </c>
      <c r="U901" t="str">
        <f>VLOOKUP(Table1[[#This Row],[Customer ID]],Customers!$A$2:$F$201,6,0)</f>
        <v>Corporate</v>
      </c>
      <c r="V901" t="str">
        <f>TEXT(Table1[[#This Row],[Order Date]],"MMM")</f>
        <v>Jul</v>
      </c>
      <c r="W901" t="str">
        <f>TEXT(Table1[[#This Row],[Order Date]],"yyyy")</f>
        <v>2025</v>
      </c>
    </row>
    <row r="902" spans="1:23" x14ac:dyDescent="0.25">
      <c r="A902" s="2" t="s">
        <v>1148</v>
      </c>
      <c r="B902" s="4">
        <v>45849</v>
      </c>
      <c r="C902" s="2" t="s">
        <v>166</v>
      </c>
      <c r="D902" s="2" t="str">
        <f>TEXT(Table1[[#This Row],[Order Date]],"mmmm")</f>
        <v>July</v>
      </c>
      <c r="E902" s="2" t="s">
        <v>57</v>
      </c>
      <c r="F902" s="2">
        <v>10</v>
      </c>
      <c r="G902" s="5">
        <v>0</v>
      </c>
      <c r="H902" s="2" t="s">
        <v>30</v>
      </c>
      <c r="I902" s="2" t="s">
        <v>20</v>
      </c>
      <c r="J902" s="2" t="s">
        <v>21</v>
      </c>
      <c r="K902">
        <f>VLOOKUP(E902,Products!$A$2:$E$23,5,0)</f>
        <v>1599</v>
      </c>
      <c r="L902">
        <f>VLOOKUP(E902,Products!$A$2:$E$23,4,0)</f>
        <v>800</v>
      </c>
      <c r="M902" s="2">
        <f>K902*F902-Table1[[#This Row],[discount_amount]]</f>
        <v>15990</v>
      </c>
      <c r="N902">
        <f t="shared" si="29"/>
        <v>8000</v>
      </c>
      <c r="O902">
        <f t="shared" si="28"/>
        <v>7990</v>
      </c>
      <c r="P902">
        <f>Table1[[#This Row],[Quantity]]*Table1[[#This Row],[unit_price]]*Table1[[#This Row],[Discount]]</f>
        <v>0</v>
      </c>
      <c r="Q902" t="str">
        <f>VLOOKUP(E902,Products!$A$2:$E$23,2,0)</f>
        <v>Hoodie</v>
      </c>
      <c r="R902" t="str">
        <f>VLOOKUP(Table1[[#This Row],[Product ID]],Products!$A$2:$E$23,3,0)</f>
        <v>Clothing</v>
      </c>
      <c r="S902" t="str">
        <f>VLOOKUP(C902,Customers!$A$2:$F$201,4,0)</f>
        <v>Gujarat</v>
      </c>
      <c r="T902" t="str">
        <f>VLOOKUP(Table1[[#This Row],[Customer ID]],Customers!$A$2:$F$201,5,0)</f>
        <v>West</v>
      </c>
      <c r="U902" t="str">
        <f>VLOOKUP(Table1[[#This Row],[Customer ID]],Customers!$A$2:$F$201,6,0)</f>
        <v>Consumer</v>
      </c>
      <c r="V902" t="str">
        <f>TEXT(Table1[[#This Row],[Order Date]],"MMM")</f>
        <v>Jul</v>
      </c>
      <c r="W902" t="str">
        <f>TEXT(Table1[[#This Row],[Order Date]],"yyyy")</f>
        <v>2025</v>
      </c>
    </row>
    <row r="903" spans="1:23" x14ac:dyDescent="0.25">
      <c r="A903" s="2" t="s">
        <v>1149</v>
      </c>
      <c r="B903" s="4">
        <v>45851</v>
      </c>
      <c r="C903" s="2" t="s">
        <v>304</v>
      </c>
      <c r="D903" s="2" t="str">
        <f>TEXT(Table1[[#This Row],[Order Date]],"mmmm")</f>
        <v>July</v>
      </c>
      <c r="E903" s="2" t="s">
        <v>34</v>
      </c>
      <c r="F903" s="2">
        <v>2</v>
      </c>
      <c r="G903" s="5">
        <v>0.1</v>
      </c>
      <c r="H903" s="2" t="s">
        <v>30</v>
      </c>
      <c r="I903" s="2" t="s">
        <v>31</v>
      </c>
      <c r="J903" s="2" t="s">
        <v>21</v>
      </c>
      <c r="K903">
        <f>VLOOKUP(E903,Products!$A$2:$E$23,5,0)</f>
        <v>4599</v>
      </c>
      <c r="L903">
        <f>VLOOKUP(E903,Products!$A$2:$E$23,4,0)</f>
        <v>3000</v>
      </c>
      <c r="M903" s="2">
        <f>K903*F903-Table1[[#This Row],[discount_amount]]</f>
        <v>8278.2000000000007</v>
      </c>
      <c r="N903">
        <f t="shared" si="29"/>
        <v>6000</v>
      </c>
      <c r="O903">
        <f t="shared" si="28"/>
        <v>2278.2000000000007</v>
      </c>
      <c r="P903">
        <f>Table1[[#This Row],[Quantity]]*Table1[[#This Row],[unit_price]]*Table1[[#This Row],[Discount]]</f>
        <v>919.80000000000007</v>
      </c>
      <c r="Q903" t="str">
        <f>VLOOKUP(E903,Products!$A$2:$E$23,2,0)</f>
        <v>Filing Cabinet</v>
      </c>
      <c r="R903" t="str">
        <f>VLOOKUP(Table1[[#This Row],[Product ID]],Products!$A$2:$E$23,3,0)</f>
        <v>Furniture</v>
      </c>
      <c r="S903" t="str">
        <f>VLOOKUP(C903,Customers!$A$2:$F$201,4,0)</f>
        <v>Gujarat</v>
      </c>
      <c r="T903" t="str">
        <f>VLOOKUP(Table1[[#This Row],[Customer ID]],Customers!$A$2:$F$201,5,0)</f>
        <v>West</v>
      </c>
      <c r="U903" t="str">
        <f>VLOOKUP(Table1[[#This Row],[Customer ID]],Customers!$A$2:$F$201,6,0)</f>
        <v>Home Office</v>
      </c>
      <c r="V903" t="str">
        <f>TEXT(Table1[[#This Row],[Order Date]],"MMM")</f>
        <v>Jul</v>
      </c>
      <c r="W903" t="str">
        <f>TEXT(Table1[[#This Row],[Order Date]],"yyyy")</f>
        <v>2025</v>
      </c>
    </row>
    <row r="904" spans="1:23" x14ac:dyDescent="0.25">
      <c r="A904" s="2" t="s">
        <v>1150</v>
      </c>
      <c r="B904" s="4">
        <v>45851</v>
      </c>
      <c r="C904" s="2" t="s">
        <v>548</v>
      </c>
      <c r="D904" s="2" t="str">
        <f>TEXT(Table1[[#This Row],[Order Date]],"mmmm")</f>
        <v>July</v>
      </c>
      <c r="E904" s="2" t="s">
        <v>135</v>
      </c>
      <c r="F904" s="2">
        <v>1</v>
      </c>
      <c r="G904" s="5">
        <v>0.05</v>
      </c>
      <c r="H904" s="2" t="s">
        <v>25</v>
      </c>
      <c r="I904" s="2" t="s">
        <v>38</v>
      </c>
      <c r="J904" s="2" t="s">
        <v>79</v>
      </c>
      <c r="K904">
        <f>VLOOKUP(E904,Products!$A$2:$E$23,5,0)</f>
        <v>220</v>
      </c>
      <c r="L904">
        <f>VLOOKUP(E904,Products!$A$2:$E$23,4,0)</f>
        <v>120</v>
      </c>
      <c r="M904" s="2">
        <f>K904*F904-Table1[[#This Row],[discount_amount]]</f>
        <v>209</v>
      </c>
      <c r="N904">
        <f t="shared" si="29"/>
        <v>120</v>
      </c>
      <c r="O904">
        <f t="shared" si="28"/>
        <v>89</v>
      </c>
      <c r="P904">
        <f>Table1[[#This Row],[Quantity]]*Table1[[#This Row],[unit_price]]*Table1[[#This Row],[Discount]]</f>
        <v>11</v>
      </c>
      <c r="Q904" t="str">
        <f>VLOOKUP(E904,Products!$A$2:$E$23,2,0)</f>
        <v>Stapler</v>
      </c>
      <c r="R904" t="str">
        <f>VLOOKUP(Table1[[#This Row],[Product ID]],Products!$A$2:$E$23,3,0)</f>
        <v>Office Supplies</v>
      </c>
      <c r="S904" t="str">
        <f>VLOOKUP(C904,Customers!$A$2:$F$201,4,0)</f>
        <v>Madhya Pradesh</v>
      </c>
      <c r="T904" t="str">
        <f>VLOOKUP(Table1[[#This Row],[Customer ID]],Customers!$A$2:$F$201,5,0)</f>
        <v>Central</v>
      </c>
      <c r="U904" t="str">
        <f>VLOOKUP(Table1[[#This Row],[Customer ID]],Customers!$A$2:$F$201,6,0)</f>
        <v>Home Office</v>
      </c>
      <c r="V904" t="str">
        <f>TEXT(Table1[[#This Row],[Order Date]],"MMM")</f>
        <v>Jul</v>
      </c>
      <c r="W904" t="str">
        <f>TEXT(Table1[[#This Row],[Order Date]],"yyyy")</f>
        <v>2025</v>
      </c>
    </row>
    <row r="905" spans="1:23" x14ac:dyDescent="0.25">
      <c r="A905" s="2" t="s">
        <v>1151</v>
      </c>
      <c r="B905" s="4">
        <v>45853</v>
      </c>
      <c r="C905" s="2" t="s">
        <v>322</v>
      </c>
      <c r="D905" s="2" t="str">
        <f>TEXT(Table1[[#This Row],[Order Date]],"mmmm")</f>
        <v>July</v>
      </c>
      <c r="E905" s="2" t="s">
        <v>60</v>
      </c>
      <c r="F905" s="2">
        <v>5</v>
      </c>
      <c r="G905" s="5">
        <v>0</v>
      </c>
      <c r="H905" s="2" t="s">
        <v>25</v>
      </c>
      <c r="I905" s="2" t="s">
        <v>26</v>
      </c>
      <c r="J905" s="2" t="s">
        <v>21</v>
      </c>
      <c r="K905">
        <f>VLOOKUP(E905,Products!$A$2:$E$23,5,0)</f>
        <v>449</v>
      </c>
      <c r="L905">
        <f>VLOOKUP(E905,Products!$A$2:$E$23,4,0)</f>
        <v>260</v>
      </c>
      <c r="M905" s="2">
        <f>K905*F905-Table1[[#This Row],[discount_amount]]</f>
        <v>2245</v>
      </c>
      <c r="N905">
        <f t="shared" si="29"/>
        <v>1300</v>
      </c>
      <c r="O905">
        <f t="shared" si="28"/>
        <v>945</v>
      </c>
      <c r="P905">
        <f>Table1[[#This Row],[Quantity]]*Table1[[#This Row],[unit_price]]*Table1[[#This Row],[Discount]]</f>
        <v>0</v>
      </c>
      <c r="Q905" t="str">
        <f>VLOOKUP(E905,Products!$A$2:$E$23,2,0)</f>
        <v>Desk Organizer</v>
      </c>
      <c r="R905" t="str">
        <f>VLOOKUP(Table1[[#This Row],[Product ID]],Products!$A$2:$E$23,3,0)</f>
        <v>Office Supplies</v>
      </c>
      <c r="S905" t="str">
        <f>VLOOKUP(C905,Customers!$A$2:$F$201,4,0)</f>
        <v>Chandigarh</v>
      </c>
      <c r="T905" t="str">
        <f>VLOOKUP(Table1[[#This Row],[Customer ID]],Customers!$A$2:$F$201,5,0)</f>
        <v>North</v>
      </c>
      <c r="U905" t="str">
        <f>VLOOKUP(Table1[[#This Row],[Customer ID]],Customers!$A$2:$F$201,6,0)</f>
        <v>Consumer</v>
      </c>
      <c r="V905" t="str">
        <f>TEXT(Table1[[#This Row],[Order Date]],"MMM")</f>
        <v>Jul</v>
      </c>
      <c r="W905" t="str">
        <f>TEXT(Table1[[#This Row],[Order Date]],"yyyy")</f>
        <v>2025</v>
      </c>
    </row>
    <row r="906" spans="1:23" x14ac:dyDescent="0.25">
      <c r="A906" s="2" t="s">
        <v>1152</v>
      </c>
      <c r="B906" s="4">
        <v>45853</v>
      </c>
      <c r="C906" s="2" t="s">
        <v>848</v>
      </c>
      <c r="D906" s="2" t="str">
        <f>TEXT(Table1[[#This Row],[Order Date]],"mmmm")</f>
        <v>July</v>
      </c>
      <c r="E906" s="2" t="s">
        <v>41</v>
      </c>
      <c r="F906" s="2">
        <v>1</v>
      </c>
      <c r="G906" s="5">
        <v>0.1</v>
      </c>
      <c r="H906" s="2" t="s">
        <v>25</v>
      </c>
      <c r="I906" s="2" t="s">
        <v>20</v>
      </c>
      <c r="J906" s="2" t="s">
        <v>21</v>
      </c>
      <c r="K906">
        <f>VLOOKUP(E906,Products!$A$2:$E$23,5,0)</f>
        <v>320</v>
      </c>
      <c r="L906">
        <f>VLOOKUP(E906,Products!$A$2:$E$23,4,0)</f>
        <v>220</v>
      </c>
      <c r="M906" s="2">
        <f>K906*F906-Table1[[#This Row],[discount_amount]]</f>
        <v>288</v>
      </c>
      <c r="N906">
        <f t="shared" si="29"/>
        <v>220</v>
      </c>
      <c r="O906">
        <f t="shared" si="28"/>
        <v>68</v>
      </c>
      <c r="P906">
        <f>Table1[[#This Row],[Quantity]]*Table1[[#This Row],[unit_price]]*Table1[[#This Row],[Discount]]</f>
        <v>32</v>
      </c>
      <c r="Q906" t="str">
        <f>VLOOKUP(E906,Products!$A$2:$E$23,2,0)</f>
        <v>A4 Paper Ream</v>
      </c>
      <c r="R906" t="str">
        <f>VLOOKUP(Table1[[#This Row],[Product ID]],Products!$A$2:$E$23,3,0)</f>
        <v>Office Supplies</v>
      </c>
      <c r="S906" t="str">
        <f>VLOOKUP(C906,Customers!$A$2:$F$201,4,0)</f>
        <v>West Bengal</v>
      </c>
      <c r="T906" t="str">
        <f>VLOOKUP(Table1[[#This Row],[Customer ID]],Customers!$A$2:$F$201,5,0)</f>
        <v>East</v>
      </c>
      <c r="U906" t="str">
        <f>VLOOKUP(Table1[[#This Row],[Customer ID]],Customers!$A$2:$F$201,6,0)</f>
        <v>Corporate</v>
      </c>
      <c r="V906" t="str">
        <f>TEXT(Table1[[#This Row],[Order Date]],"MMM")</f>
        <v>Jul</v>
      </c>
      <c r="W906" t="str">
        <f>TEXT(Table1[[#This Row],[Order Date]],"yyyy")</f>
        <v>2025</v>
      </c>
    </row>
    <row r="907" spans="1:23" x14ac:dyDescent="0.25">
      <c r="A907" s="2" t="s">
        <v>1153</v>
      </c>
      <c r="B907" s="4">
        <v>45854</v>
      </c>
      <c r="C907" s="2" t="s">
        <v>458</v>
      </c>
      <c r="D907" s="2" t="str">
        <f>TEXT(Table1[[#This Row],[Order Date]],"mmmm")</f>
        <v>July</v>
      </c>
      <c r="E907" s="2" t="s">
        <v>82</v>
      </c>
      <c r="F907" s="2">
        <v>5</v>
      </c>
      <c r="G907" s="5">
        <v>0</v>
      </c>
      <c r="H907" s="2" t="s">
        <v>25</v>
      </c>
      <c r="I907" s="2" t="s">
        <v>26</v>
      </c>
      <c r="J907" s="2" t="s">
        <v>21</v>
      </c>
      <c r="K907">
        <f>VLOOKUP(E907,Products!$A$2:$E$23,5,0)</f>
        <v>1799</v>
      </c>
      <c r="L907">
        <f>VLOOKUP(E907,Products!$A$2:$E$23,4,0)</f>
        <v>1100</v>
      </c>
      <c r="M907" s="2">
        <f>K907*F907-Table1[[#This Row],[discount_amount]]</f>
        <v>8995</v>
      </c>
      <c r="N907">
        <f t="shared" si="29"/>
        <v>5500</v>
      </c>
      <c r="O907">
        <f t="shared" si="28"/>
        <v>3495</v>
      </c>
      <c r="P907">
        <f>Table1[[#This Row],[Quantity]]*Table1[[#This Row],[unit_price]]*Table1[[#This Row],[Discount]]</f>
        <v>0</v>
      </c>
      <c r="Q907" t="str">
        <f>VLOOKUP(E907,Products!$A$2:$E$23,2,0)</f>
        <v>Webcam HD</v>
      </c>
      <c r="R907" t="str">
        <f>VLOOKUP(Table1[[#This Row],[Product ID]],Products!$A$2:$E$23,3,0)</f>
        <v>Electronics</v>
      </c>
      <c r="S907" t="str">
        <f>VLOOKUP(C907,Customers!$A$2:$F$201,4,0)</f>
        <v>Gujarat</v>
      </c>
      <c r="T907" t="str">
        <f>VLOOKUP(Table1[[#This Row],[Customer ID]],Customers!$A$2:$F$201,5,0)</f>
        <v>West</v>
      </c>
      <c r="U907" t="str">
        <f>VLOOKUP(Table1[[#This Row],[Customer ID]],Customers!$A$2:$F$201,6,0)</f>
        <v>Consumer</v>
      </c>
      <c r="V907" t="str">
        <f>TEXT(Table1[[#This Row],[Order Date]],"MMM")</f>
        <v>Jul</v>
      </c>
      <c r="W907" t="str">
        <f>TEXT(Table1[[#This Row],[Order Date]],"yyyy")</f>
        <v>2025</v>
      </c>
    </row>
    <row r="908" spans="1:23" x14ac:dyDescent="0.25">
      <c r="A908" s="2" t="s">
        <v>1154</v>
      </c>
      <c r="B908" s="4">
        <v>45855</v>
      </c>
      <c r="C908" s="2" t="s">
        <v>428</v>
      </c>
      <c r="D908" s="2" t="str">
        <f>TEXT(Table1[[#This Row],[Order Date]],"mmmm")</f>
        <v>July</v>
      </c>
      <c r="E908" s="2" t="s">
        <v>24</v>
      </c>
      <c r="F908" s="2">
        <v>6</v>
      </c>
      <c r="G908" s="5">
        <v>0.1</v>
      </c>
      <c r="H908" s="2" t="s">
        <v>19</v>
      </c>
      <c r="I908" s="2" t="s">
        <v>26</v>
      </c>
      <c r="J908" s="2" t="s">
        <v>21</v>
      </c>
      <c r="K908">
        <f>VLOOKUP(E908,Products!$A$2:$E$23,5,0)</f>
        <v>899</v>
      </c>
      <c r="L908">
        <f>VLOOKUP(E908,Products!$A$2:$E$23,4,0)</f>
        <v>500</v>
      </c>
      <c r="M908" s="2">
        <f>K908*F908-Table1[[#This Row],[discount_amount]]</f>
        <v>4854.6000000000004</v>
      </c>
      <c r="N908">
        <f t="shared" si="29"/>
        <v>3000</v>
      </c>
      <c r="O908">
        <f t="shared" si="28"/>
        <v>1854.6000000000004</v>
      </c>
      <c r="P908">
        <f>Table1[[#This Row],[Quantity]]*Table1[[#This Row],[unit_price]]*Table1[[#This Row],[Discount]]</f>
        <v>539.4</v>
      </c>
      <c r="Q908" t="str">
        <f>VLOOKUP(E908,Products!$A$2:$E$23,2,0)</f>
        <v>Monitor Stand</v>
      </c>
      <c r="R908" t="str">
        <f>VLOOKUP(Table1[[#This Row],[Product ID]],Products!$A$2:$E$23,3,0)</f>
        <v>Furniture</v>
      </c>
      <c r="S908" t="str">
        <f>VLOOKUP(C908,Customers!$A$2:$F$201,4,0)</f>
        <v>Madhya Pradesh</v>
      </c>
      <c r="T908" t="str">
        <f>VLOOKUP(Table1[[#This Row],[Customer ID]],Customers!$A$2:$F$201,5,0)</f>
        <v>Central</v>
      </c>
      <c r="U908" t="str">
        <f>VLOOKUP(Table1[[#This Row],[Customer ID]],Customers!$A$2:$F$201,6,0)</f>
        <v>Consumer</v>
      </c>
      <c r="V908" t="str">
        <f>TEXT(Table1[[#This Row],[Order Date]],"MMM")</f>
        <v>Jul</v>
      </c>
      <c r="W908" t="str">
        <f>TEXT(Table1[[#This Row],[Order Date]],"yyyy")</f>
        <v>2025</v>
      </c>
    </row>
    <row r="909" spans="1:23" x14ac:dyDescent="0.25">
      <c r="A909" s="2" t="s">
        <v>1155</v>
      </c>
      <c r="B909" s="4">
        <v>45856</v>
      </c>
      <c r="C909" s="2" t="s">
        <v>158</v>
      </c>
      <c r="D909" s="2" t="str">
        <f>TEXT(Table1[[#This Row],[Order Date]],"mmmm")</f>
        <v>July</v>
      </c>
      <c r="E909" s="2" t="s">
        <v>82</v>
      </c>
      <c r="F909" s="2">
        <v>2</v>
      </c>
      <c r="G909" s="5">
        <v>0</v>
      </c>
      <c r="H909" s="2" t="s">
        <v>19</v>
      </c>
      <c r="I909" s="2" t="s">
        <v>38</v>
      </c>
      <c r="J909" s="2" t="s">
        <v>42</v>
      </c>
      <c r="K909">
        <f>VLOOKUP(E909,Products!$A$2:$E$23,5,0)</f>
        <v>1799</v>
      </c>
      <c r="L909">
        <f>VLOOKUP(E909,Products!$A$2:$E$23,4,0)</f>
        <v>1100</v>
      </c>
      <c r="M909" s="2">
        <f>K909*F909-Table1[[#This Row],[discount_amount]]</f>
        <v>3598</v>
      </c>
      <c r="N909">
        <f t="shared" si="29"/>
        <v>2200</v>
      </c>
      <c r="O909">
        <f t="shared" si="28"/>
        <v>1398</v>
      </c>
      <c r="P909">
        <f>Table1[[#This Row],[Quantity]]*Table1[[#This Row],[unit_price]]*Table1[[#This Row],[Discount]]</f>
        <v>0</v>
      </c>
      <c r="Q909" t="str">
        <f>VLOOKUP(E909,Products!$A$2:$E$23,2,0)</f>
        <v>Webcam HD</v>
      </c>
      <c r="R909" t="str">
        <f>VLOOKUP(Table1[[#This Row],[Product ID]],Products!$A$2:$E$23,3,0)</f>
        <v>Electronics</v>
      </c>
      <c r="S909" t="str">
        <f>VLOOKUP(C909,Customers!$A$2:$F$201,4,0)</f>
        <v>Kerala</v>
      </c>
      <c r="T909" t="str">
        <f>VLOOKUP(Table1[[#This Row],[Customer ID]],Customers!$A$2:$F$201,5,0)</f>
        <v>South</v>
      </c>
      <c r="U909" t="str">
        <f>VLOOKUP(Table1[[#This Row],[Customer ID]],Customers!$A$2:$F$201,6,0)</f>
        <v>Consumer</v>
      </c>
      <c r="V909" t="str">
        <f>TEXT(Table1[[#This Row],[Order Date]],"MMM")</f>
        <v>Jul</v>
      </c>
      <c r="W909" t="str">
        <f>TEXT(Table1[[#This Row],[Order Date]],"yyyy")</f>
        <v>2025</v>
      </c>
    </row>
    <row r="910" spans="1:23" x14ac:dyDescent="0.25">
      <c r="A910" s="2" t="s">
        <v>1156</v>
      </c>
      <c r="B910" s="4">
        <v>45856</v>
      </c>
      <c r="C910" s="2" t="s">
        <v>533</v>
      </c>
      <c r="D910" s="2" t="str">
        <f>TEXT(Table1[[#This Row],[Order Date]],"mmmm")</f>
        <v>July</v>
      </c>
      <c r="E910" s="2" t="s">
        <v>135</v>
      </c>
      <c r="F910" s="2">
        <v>1</v>
      </c>
      <c r="G910" s="5">
        <v>0</v>
      </c>
      <c r="H910" s="2" t="s">
        <v>30</v>
      </c>
      <c r="I910" s="2" t="s">
        <v>20</v>
      </c>
      <c r="J910" s="2" t="s">
        <v>21</v>
      </c>
      <c r="K910">
        <f>VLOOKUP(E910,Products!$A$2:$E$23,5,0)</f>
        <v>220</v>
      </c>
      <c r="L910">
        <f>VLOOKUP(E910,Products!$A$2:$E$23,4,0)</f>
        <v>120</v>
      </c>
      <c r="M910" s="2">
        <f>K910*F910-Table1[[#This Row],[discount_amount]]</f>
        <v>220</v>
      </c>
      <c r="N910">
        <f t="shared" si="29"/>
        <v>120</v>
      </c>
      <c r="O910">
        <f t="shared" si="28"/>
        <v>100</v>
      </c>
      <c r="P910">
        <f>Table1[[#This Row],[Quantity]]*Table1[[#This Row],[unit_price]]*Table1[[#This Row],[Discount]]</f>
        <v>0</v>
      </c>
      <c r="Q910" t="str">
        <f>VLOOKUP(E910,Products!$A$2:$E$23,2,0)</f>
        <v>Stapler</v>
      </c>
      <c r="R910" t="str">
        <f>VLOOKUP(Table1[[#This Row],[Product ID]],Products!$A$2:$E$23,3,0)</f>
        <v>Office Supplies</v>
      </c>
      <c r="S910" t="str">
        <f>VLOOKUP(C910,Customers!$A$2:$F$201,4,0)</f>
        <v>Gujarat</v>
      </c>
      <c r="T910" t="str">
        <f>VLOOKUP(Table1[[#This Row],[Customer ID]],Customers!$A$2:$F$201,5,0)</f>
        <v>West</v>
      </c>
      <c r="U910" t="str">
        <f>VLOOKUP(Table1[[#This Row],[Customer ID]],Customers!$A$2:$F$201,6,0)</f>
        <v>Corporate</v>
      </c>
      <c r="V910" t="str">
        <f>TEXT(Table1[[#This Row],[Order Date]],"MMM")</f>
        <v>Jul</v>
      </c>
      <c r="W910" t="str">
        <f>TEXT(Table1[[#This Row],[Order Date]],"yyyy")</f>
        <v>2025</v>
      </c>
    </row>
    <row r="911" spans="1:23" x14ac:dyDescent="0.25">
      <c r="A911" s="2" t="s">
        <v>1157</v>
      </c>
      <c r="B911" s="4">
        <v>45856</v>
      </c>
      <c r="C911" s="2" t="s">
        <v>320</v>
      </c>
      <c r="D911" s="2" t="str">
        <f>TEXT(Table1[[#This Row],[Order Date]],"mmmm")</f>
        <v>July</v>
      </c>
      <c r="E911" s="2" t="s">
        <v>54</v>
      </c>
      <c r="F911" s="2">
        <v>5</v>
      </c>
      <c r="G911" s="5">
        <v>0.15</v>
      </c>
      <c r="H911" s="2" t="s">
        <v>25</v>
      </c>
      <c r="I911" s="2" t="s">
        <v>20</v>
      </c>
      <c r="J911" s="2" t="s">
        <v>94</v>
      </c>
      <c r="K911">
        <f>VLOOKUP(E911,Products!$A$2:$E$23,5,0)</f>
        <v>299</v>
      </c>
      <c r="L911">
        <f>VLOOKUP(E911,Products!$A$2:$E$23,4,0)</f>
        <v>180</v>
      </c>
      <c r="M911" s="2">
        <f>K911*F911-Table1[[#This Row],[discount_amount]]</f>
        <v>1270.75</v>
      </c>
      <c r="N911">
        <f t="shared" si="29"/>
        <v>900</v>
      </c>
      <c r="O911">
        <f t="shared" si="28"/>
        <v>370.75</v>
      </c>
      <c r="P911">
        <f>Table1[[#This Row],[Quantity]]*Table1[[#This Row],[unit_price]]*Table1[[#This Row],[Discount]]</f>
        <v>224.25</v>
      </c>
      <c r="Q911" t="str">
        <f>VLOOKUP(E911,Products!$A$2:$E$23,2,0)</f>
        <v>Notebook Pack of 5</v>
      </c>
      <c r="R911" t="str">
        <f>VLOOKUP(Table1[[#This Row],[Product ID]],Products!$A$2:$E$23,3,0)</f>
        <v>Office Supplies</v>
      </c>
      <c r="S911" t="str">
        <f>VLOOKUP(C911,Customers!$A$2:$F$201,4,0)</f>
        <v>Gujarat</v>
      </c>
      <c r="T911" t="str">
        <f>VLOOKUP(Table1[[#This Row],[Customer ID]],Customers!$A$2:$F$201,5,0)</f>
        <v>West</v>
      </c>
      <c r="U911" t="str">
        <f>VLOOKUP(Table1[[#This Row],[Customer ID]],Customers!$A$2:$F$201,6,0)</f>
        <v>Consumer</v>
      </c>
      <c r="V911" t="str">
        <f>TEXT(Table1[[#This Row],[Order Date]],"MMM")</f>
        <v>Jul</v>
      </c>
      <c r="W911" t="str">
        <f>TEXT(Table1[[#This Row],[Order Date]],"yyyy")</f>
        <v>2025</v>
      </c>
    </row>
    <row r="912" spans="1:23" x14ac:dyDescent="0.25">
      <c r="A912" s="2" t="s">
        <v>1158</v>
      </c>
      <c r="B912" s="4">
        <v>45857</v>
      </c>
      <c r="C912" s="2" t="s">
        <v>285</v>
      </c>
      <c r="D912" s="2" t="str">
        <f>TEXT(Table1[[#This Row],[Order Date]],"mmmm")</f>
        <v>July</v>
      </c>
      <c r="E912" s="2" t="s">
        <v>34</v>
      </c>
      <c r="F912" s="2">
        <v>4</v>
      </c>
      <c r="G912" s="5">
        <v>0.1</v>
      </c>
      <c r="H912" s="2" t="s">
        <v>25</v>
      </c>
      <c r="I912" s="2" t="s">
        <v>20</v>
      </c>
      <c r="J912" s="2" t="s">
        <v>94</v>
      </c>
      <c r="K912">
        <f>VLOOKUP(E912,Products!$A$2:$E$23,5,0)</f>
        <v>4599</v>
      </c>
      <c r="L912">
        <f>VLOOKUP(E912,Products!$A$2:$E$23,4,0)</f>
        <v>3000</v>
      </c>
      <c r="M912" s="2">
        <f>K912*F912-Table1[[#This Row],[discount_amount]]</f>
        <v>16556.400000000001</v>
      </c>
      <c r="N912">
        <f t="shared" si="29"/>
        <v>12000</v>
      </c>
      <c r="O912">
        <f t="shared" si="28"/>
        <v>4556.4000000000015</v>
      </c>
      <c r="P912">
        <f>Table1[[#This Row],[Quantity]]*Table1[[#This Row],[unit_price]]*Table1[[#This Row],[Discount]]</f>
        <v>1839.6000000000001</v>
      </c>
      <c r="Q912" t="str">
        <f>VLOOKUP(E912,Products!$A$2:$E$23,2,0)</f>
        <v>Filing Cabinet</v>
      </c>
      <c r="R912" t="str">
        <f>VLOOKUP(Table1[[#This Row],[Product ID]],Products!$A$2:$E$23,3,0)</f>
        <v>Furniture</v>
      </c>
      <c r="S912" t="str">
        <f>VLOOKUP(C912,Customers!$A$2:$F$201,4,0)</f>
        <v>Gujarat</v>
      </c>
      <c r="T912" t="str">
        <f>VLOOKUP(Table1[[#This Row],[Customer ID]],Customers!$A$2:$F$201,5,0)</f>
        <v>West</v>
      </c>
      <c r="U912" t="str">
        <f>VLOOKUP(Table1[[#This Row],[Customer ID]],Customers!$A$2:$F$201,6,0)</f>
        <v>Home Office</v>
      </c>
      <c r="V912" t="str">
        <f>TEXT(Table1[[#This Row],[Order Date]],"MMM")</f>
        <v>Jul</v>
      </c>
      <c r="W912" t="str">
        <f>TEXT(Table1[[#This Row],[Order Date]],"yyyy")</f>
        <v>2025</v>
      </c>
    </row>
    <row r="913" spans="1:23" x14ac:dyDescent="0.25">
      <c r="A913" s="2" t="s">
        <v>1159</v>
      </c>
      <c r="B913" s="4">
        <v>45857</v>
      </c>
      <c r="C913" s="2" t="s">
        <v>337</v>
      </c>
      <c r="D913" s="2" t="str">
        <f>TEXT(Table1[[#This Row],[Order Date]],"mmmm")</f>
        <v>July</v>
      </c>
      <c r="E913" s="2" t="s">
        <v>34</v>
      </c>
      <c r="F913" s="2">
        <v>2</v>
      </c>
      <c r="G913" s="5">
        <v>0</v>
      </c>
      <c r="H913" s="2" t="s">
        <v>30</v>
      </c>
      <c r="I913" s="2" t="s">
        <v>46</v>
      </c>
      <c r="J913" s="2" t="s">
        <v>21</v>
      </c>
      <c r="K913">
        <f>VLOOKUP(E913,Products!$A$2:$E$23,5,0)</f>
        <v>4599</v>
      </c>
      <c r="L913">
        <f>VLOOKUP(E913,Products!$A$2:$E$23,4,0)</f>
        <v>3000</v>
      </c>
      <c r="M913" s="2">
        <f>K913*F913-Table1[[#This Row],[discount_amount]]</f>
        <v>9198</v>
      </c>
      <c r="N913">
        <f t="shared" si="29"/>
        <v>6000</v>
      </c>
      <c r="O913">
        <f t="shared" si="28"/>
        <v>3198</v>
      </c>
      <c r="P913">
        <f>Table1[[#This Row],[Quantity]]*Table1[[#This Row],[unit_price]]*Table1[[#This Row],[Discount]]</f>
        <v>0</v>
      </c>
      <c r="Q913" t="str">
        <f>VLOOKUP(E913,Products!$A$2:$E$23,2,0)</f>
        <v>Filing Cabinet</v>
      </c>
      <c r="R913" t="str">
        <f>VLOOKUP(Table1[[#This Row],[Product ID]],Products!$A$2:$E$23,3,0)</f>
        <v>Furniture</v>
      </c>
      <c r="S913" t="str">
        <f>VLOOKUP(C913,Customers!$A$2:$F$201,4,0)</f>
        <v>Madhya Pradesh</v>
      </c>
      <c r="T913" t="str">
        <f>VLOOKUP(Table1[[#This Row],[Customer ID]],Customers!$A$2:$F$201,5,0)</f>
        <v>Central</v>
      </c>
      <c r="U913" t="str">
        <f>VLOOKUP(Table1[[#This Row],[Customer ID]],Customers!$A$2:$F$201,6,0)</f>
        <v>Corporate</v>
      </c>
      <c r="V913" t="str">
        <f>TEXT(Table1[[#This Row],[Order Date]],"MMM")</f>
        <v>Jul</v>
      </c>
      <c r="W913" t="str">
        <f>TEXT(Table1[[#This Row],[Order Date]],"yyyy")</f>
        <v>2025</v>
      </c>
    </row>
    <row r="914" spans="1:23" x14ac:dyDescent="0.25">
      <c r="A914" s="2" t="s">
        <v>1160</v>
      </c>
      <c r="B914" s="4">
        <v>45857</v>
      </c>
      <c r="C914" s="2" t="s">
        <v>96</v>
      </c>
      <c r="D914" s="2" t="str">
        <f>TEXT(Table1[[#This Row],[Order Date]],"mmmm")</f>
        <v>July</v>
      </c>
      <c r="E914" s="2" t="s">
        <v>49</v>
      </c>
      <c r="F914" s="2">
        <v>6</v>
      </c>
      <c r="G914" s="5">
        <v>0.05</v>
      </c>
      <c r="H914" s="2" t="s">
        <v>19</v>
      </c>
      <c r="I914" s="2" t="s">
        <v>31</v>
      </c>
      <c r="J914" s="2" t="s">
        <v>21</v>
      </c>
      <c r="K914">
        <f>VLOOKUP(E914,Products!$A$2:$E$23,5,0)</f>
        <v>700</v>
      </c>
      <c r="L914">
        <f>VLOOKUP(E914,Products!$A$2:$E$23,4,0)</f>
        <v>450</v>
      </c>
      <c r="M914" s="2">
        <f>K914*F914-Table1[[#This Row],[discount_amount]]</f>
        <v>3990</v>
      </c>
      <c r="N914">
        <f t="shared" si="29"/>
        <v>2700</v>
      </c>
      <c r="O914">
        <f t="shared" si="28"/>
        <v>1290</v>
      </c>
      <c r="P914">
        <f>Table1[[#This Row],[Quantity]]*Table1[[#This Row],[unit_price]]*Table1[[#This Row],[Discount]]</f>
        <v>210</v>
      </c>
      <c r="Q914" t="str">
        <f>VLOOKUP(E914,Products!$A$2:$E$23,2,0)</f>
        <v>Wireless Mouse</v>
      </c>
      <c r="R914" t="str">
        <f>VLOOKUP(Table1[[#This Row],[Product ID]],Products!$A$2:$E$23,3,0)</f>
        <v>Electronics</v>
      </c>
      <c r="S914" t="str">
        <f>VLOOKUP(C914,Customers!$A$2:$F$201,4,0)</f>
        <v>Odisha</v>
      </c>
      <c r="T914" t="str">
        <f>VLOOKUP(Table1[[#This Row],[Customer ID]],Customers!$A$2:$F$201,5,0)</f>
        <v>East</v>
      </c>
      <c r="U914" t="str">
        <f>VLOOKUP(Table1[[#This Row],[Customer ID]],Customers!$A$2:$F$201,6,0)</f>
        <v>Consumer</v>
      </c>
      <c r="V914" t="str">
        <f>TEXT(Table1[[#This Row],[Order Date]],"MMM")</f>
        <v>Jul</v>
      </c>
      <c r="W914" t="str">
        <f>TEXT(Table1[[#This Row],[Order Date]],"yyyy")</f>
        <v>2025</v>
      </c>
    </row>
    <row r="915" spans="1:23" x14ac:dyDescent="0.25">
      <c r="A915" s="2" t="s">
        <v>1161</v>
      </c>
      <c r="B915" s="4">
        <v>45858</v>
      </c>
      <c r="C915" s="2" t="s">
        <v>337</v>
      </c>
      <c r="D915" s="2" t="str">
        <f>TEXT(Table1[[#This Row],[Order Date]],"mmmm")</f>
        <v>July</v>
      </c>
      <c r="E915" s="2" t="s">
        <v>63</v>
      </c>
      <c r="F915" s="2">
        <v>3</v>
      </c>
      <c r="G915" s="5">
        <v>0.1</v>
      </c>
      <c r="H915" s="2" t="s">
        <v>19</v>
      </c>
      <c r="I915" s="2" t="s">
        <v>38</v>
      </c>
      <c r="J915" s="2" t="s">
        <v>21</v>
      </c>
      <c r="K915">
        <f>VLOOKUP(E915,Products!$A$2:$E$23,5,0)</f>
        <v>5499</v>
      </c>
      <c r="L915">
        <f>VLOOKUP(E915,Products!$A$2:$E$23,4,0)</f>
        <v>3500</v>
      </c>
      <c r="M915" s="2">
        <f>K915*F915-Table1[[#This Row],[discount_amount]]</f>
        <v>14847.3</v>
      </c>
      <c r="N915">
        <f t="shared" si="29"/>
        <v>10500</v>
      </c>
      <c r="O915">
        <f t="shared" si="28"/>
        <v>4347.2999999999993</v>
      </c>
      <c r="P915">
        <f>Table1[[#This Row],[Quantity]]*Table1[[#This Row],[unit_price]]*Table1[[#This Row],[Discount]]</f>
        <v>1649.7</v>
      </c>
      <c r="Q915" t="str">
        <f>VLOOKUP(E915,Products!$A$2:$E$23,2,0)</f>
        <v>Office Chair</v>
      </c>
      <c r="R915" t="str">
        <f>VLOOKUP(Table1[[#This Row],[Product ID]],Products!$A$2:$E$23,3,0)</f>
        <v>Furniture</v>
      </c>
      <c r="S915" t="str">
        <f>VLOOKUP(C915,Customers!$A$2:$F$201,4,0)</f>
        <v>Madhya Pradesh</v>
      </c>
      <c r="T915" t="str">
        <f>VLOOKUP(Table1[[#This Row],[Customer ID]],Customers!$A$2:$F$201,5,0)</f>
        <v>Central</v>
      </c>
      <c r="U915" t="str">
        <f>VLOOKUP(Table1[[#This Row],[Customer ID]],Customers!$A$2:$F$201,6,0)</f>
        <v>Corporate</v>
      </c>
      <c r="V915" t="str">
        <f>TEXT(Table1[[#This Row],[Order Date]],"MMM")</f>
        <v>Jul</v>
      </c>
      <c r="W915" t="str">
        <f>TEXT(Table1[[#This Row],[Order Date]],"yyyy")</f>
        <v>2025</v>
      </c>
    </row>
    <row r="916" spans="1:23" x14ac:dyDescent="0.25">
      <c r="A916" s="2" t="s">
        <v>1162</v>
      </c>
      <c r="B916" s="4">
        <v>45859</v>
      </c>
      <c r="C916" s="2" t="s">
        <v>310</v>
      </c>
      <c r="D916" s="2" t="str">
        <f>TEXT(Table1[[#This Row],[Order Date]],"mmmm")</f>
        <v>July</v>
      </c>
      <c r="E916" s="2" t="s">
        <v>155</v>
      </c>
      <c r="F916" s="2">
        <v>2</v>
      </c>
      <c r="G916" s="5">
        <v>0.1</v>
      </c>
      <c r="H916" s="2" t="s">
        <v>19</v>
      </c>
      <c r="I916" s="2" t="s">
        <v>20</v>
      </c>
      <c r="J916" s="2" t="s">
        <v>21</v>
      </c>
      <c r="K916">
        <f>VLOOKUP(E916,Products!$A$2:$E$23,5,0)</f>
        <v>1599</v>
      </c>
      <c r="L916">
        <f>VLOOKUP(E916,Products!$A$2:$E$23,4,0)</f>
        <v>900</v>
      </c>
      <c r="M916" s="2">
        <f>K916*F916-Table1[[#This Row],[discount_amount]]</f>
        <v>2878.2</v>
      </c>
      <c r="N916">
        <f t="shared" si="29"/>
        <v>1800</v>
      </c>
      <c r="O916">
        <f t="shared" si="28"/>
        <v>1078.1999999999998</v>
      </c>
      <c r="P916">
        <f>Table1[[#This Row],[Quantity]]*Table1[[#This Row],[unit_price]]*Table1[[#This Row],[Discount]]</f>
        <v>319.8</v>
      </c>
      <c r="Q916" t="str">
        <f>VLOOKUP(E916,Products!$A$2:$E$23,2,0)</f>
        <v>Headphones</v>
      </c>
      <c r="R916" t="str">
        <f>VLOOKUP(Table1[[#This Row],[Product ID]],Products!$A$2:$E$23,3,0)</f>
        <v>Electronics</v>
      </c>
      <c r="S916" t="str">
        <f>VLOOKUP(C916,Customers!$A$2:$F$201,4,0)</f>
        <v>Odisha</v>
      </c>
      <c r="T916" t="str">
        <f>VLOOKUP(Table1[[#This Row],[Customer ID]],Customers!$A$2:$F$201,5,0)</f>
        <v>East</v>
      </c>
      <c r="U916" t="str">
        <f>VLOOKUP(Table1[[#This Row],[Customer ID]],Customers!$A$2:$F$201,6,0)</f>
        <v>Consumer</v>
      </c>
      <c r="V916" t="str">
        <f>TEXT(Table1[[#This Row],[Order Date]],"MMM")</f>
        <v>Jul</v>
      </c>
      <c r="W916" t="str">
        <f>TEXT(Table1[[#This Row],[Order Date]],"yyyy")</f>
        <v>2025</v>
      </c>
    </row>
    <row r="917" spans="1:23" x14ac:dyDescent="0.25">
      <c r="A917" s="2" t="s">
        <v>1163</v>
      </c>
      <c r="B917" s="4">
        <v>45859</v>
      </c>
      <c r="C917" s="2" t="s">
        <v>719</v>
      </c>
      <c r="D917" s="2" t="str">
        <f>TEXT(Table1[[#This Row],[Order Date]],"mmmm")</f>
        <v>July</v>
      </c>
      <c r="E917" s="2" t="s">
        <v>49</v>
      </c>
      <c r="F917" s="2">
        <v>2</v>
      </c>
      <c r="G917" s="5">
        <v>0</v>
      </c>
      <c r="H917" s="2" t="s">
        <v>19</v>
      </c>
      <c r="I917" s="2" t="s">
        <v>38</v>
      </c>
      <c r="J917" s="2" t="s">
        <v>21</v>
      </c>
      <c r="K917">
        <f>VLOOKUP(E917,Products!$A$2:$E$23,5,0)</f>
        <v>700</v>
      </c>
      <c r="L917">
        <f>VLOOKUP(E917,Products!$A$2:$E$23,4,0)</f>
        <v>450</v>
      </c>
      <c r="M917" s="2">
        <f>K917*F917-Table1[[#This Row],[discount_amount]]</f>
        <v>1400</v>
      </c>
      <c r="N917">
        <f t="shared" si="29"/>
        <v>900</v>
      </c>
      <c r="O917">
        <f t="shared" si="28"/>
        <v>500</v>
      </c>
      <c r="P917">
        <f>Table1[[#This Row],[Quantity]]*Table1[[#This Row],[unit_price]]*Table1[[#This Row],[Discount]]</f>
        <v>0</v>
      </c>
      <c r="Q917" t="str">
        <f>VLOOKUP(E917,Products!$A$2:$E$23,2,0)</f>
        <v>Wireless Mouse</v>
      </c>
      <c r="R917" t="str">
        <f>VLOOKUP(Table1[[#This Row],[Product ID]],Products!$A$2:$E$23,3,0)</f>
        <v>Electronics</v>
      </c>
      <c r="S917" t="str">
        <f>VLOOKUP(C917,Customers!$A$2:$F$201,4,0)</f>
        <v>Gujarat</v>
      </c>
      <c r="T917" t="str">
        <f>VLOOKUP(Table1[[#This Row],[Customer ID]],Customers!$A$2:$F$201,5,0)</f>
        <v>West</v>
      </c>
      <c r="U917" t="str">
        <f>VLOOKUP(Table1[[#This Row],[Customer ID]],Customers!$A$2:$F$201,6,0)</f>
        <v>Corporate</v>
      </c>
      <c r="V917" t="str">
        <f>TEXT(Table1[[#This Row],[Order Date]],"MMM")</f>
        <v>Jul</v>
      </c>
      <c r="W917" t="str">
        <f>TEXT(Table1[[#This Row],[Order Date]],"yyyy")</f>
        <v>2025</v>
      </c>
    </row>
    <row r="918" spans="1:23" x14ac:dyDescent="0.25">
      <c r="A918" s="2" t="s">
        <v>1164</v>
      </c>
      <c r="B918" s="4">
        <v>45859</v>
      </c>
      <c r="C918" s="2" t="s">
        <v>464</v>
      </c>
      <c r="D918" s="2" t="str">
        <f>TEXT(Table1[[#This Row],[Order Date]],"mmmm")</f>
        <v>July</v>
      </c>
      <c r="E918" s="2" t="s">
        <v>24</v>
      </c>
      <c r="F918" s="2">
        <v>1</v>
      </c>
      <c r="G918" s="5">
        <v>0.05</v>
      </c>
      <c r="H918" s="2" t="s">
        <v>19</v>
      </c>
      <c r="I918" s="2" t="s">
        <v>20</v>
      </c>
      <c r="J918" s="2" t="s">
        <v>21</v>
      </c>
      <c r="K918">
        <f>VLOOKUP(E918,Products!$A$2:$E$23,5,0)</f>
        <v>899</v>
      </c>
      <c r="L918">
        <f>VLOOKUP(E918,Products!$A$2:$E$23,4,0)</f>
        <v>500</v>
      </c>
      <c r="M918" s="2">
        <f>K918*F918-Table1[[#This Row],[discount_amount]]</f>
        <v>854.05</v>
      </c>
      <c r="N918">
        <f t="shared" si="29"/>
        <v>500</v>
      </c>
      <c r="O918">
        <f t="shared" si="28"/>
        <v>354.04999999999995</v>
      </c>
      <c r="P918">
        <f>Table1[[#This Row],[Quantity]]*Table1[[#This Row],[unit_price]]*Table1[[#This Row],[Discount]]</f>
        <v>44.95</v>
      </c>
      <c r="Q918" t="str">
        <f>VLOOKUP(E918,Products!$A$2:$E$23,2,0)</f>
        <v>Monitor Stand</v>
      </c>
      <c r="R918" t="str">
        <f>VLOOKUP(Table1[[#This Row],[Product ID]],Products!$A$2:$E$23,3,0)</f>
        <v>Furniture</v>
      </c>
      <c r="S918" t="str">
        <f>VLOOKUP(C918,Customers!$A$2:$F$201,4,0)</f>
        <v>Madhya Pradesh</v>
      </c>
      <c r="T918" t="str">
        <f>VLOOKUP(Table1[[#This Row],[Customer ID]],Customers!$A$2:$F$201,5,0)</f>
        <v>Central</v>
      </c>
      <c r="U918" t="str">
        <f>VLOOKUP(Table1[[#This Row],[Customer ID]],Customers!$A$2:$F$201,6,0)</f>
        <v>Consumer</v>
      </c>
      <c r="V918" t="str">
        <f>TEXT(Table1[[#This Row],[Order Date]],"MMM")</f>
        <v>Jul</v>
      </c>
      <c r="W918" t="str">
        <f>TEXT(Table1[[#This Row],[Order Date]],"yyyy")</f>
        <v>2025</v>
      </c>
    </row>
    <row r="919" spans="1:23" x14ac:dyDescent="0.25">
      <c r="A919" s="2" t="s">
        <v>1165</v>
      </c>
      <c r="B919" s="4">
        <v>45859</v>
      </c>
      <c r="C919" s="2" t="s">
        <v>287</v>
      </c>
      <c r="D919" s="2" t="str">
        <f>TEXT(Table1[[#This Row],[Order Date]],"mmmm")</f>
        <v>July</v>
      </c>
      <c r="E919" s="2" t="s">
        <v>91</v>
      </c>
      <c r="F919" s="2">
        <v>10</v>
      </c>
      <c r="G919" s="5">
        <v>0.2</v>
      </c>
      <c r="H919" s="2" t="s">
        <v>19</v>
      </c>
      <c r="I919" s="2" t="s">
        <v>20</v>
      </c>
      <c r="J919" s="2" t="s">
        <v>21</v>
      </c>
      <c r="K919">
        <f>VLOOKUP(E919,Products!$A$2:$E$23,5,0)</f>
        <v>1199</v>
      </c>
      <c r="L919">
        <f>VLOOKUP(E919,Products!$A$2:$E$23,4,0)</f>
        <v>600</v>
      </c>
      <c r="M919" s="2">
        <f>K919*F919-Table1[[#This Row],[discount_amount]]</f>
        <v>9592</v>
      </c>
      <c r="N919">
        <f t="shared" si="29"/>
        <v>6000</v>
      </c>
      <c r="O919">
        <f t="shared" si="28"/>
        <v>3592</v>
      </c>
      <c r="P919">
        <f>Table1[[#This Row],[Quantity]]*Table1[[#This Row],[unit_price]]*Table1[[#This Row],[Discount]]</f>
        <v>2398</v>
      </c>
      <c r="Q919" t="str">
        <f>VLOOKUP(E919,Products!$A$2:$E$23,2,0)</f>
        <v>Formal Shirt</v>
      </c>
      <c r="R919" t="str">
        <f>VLOOKUP(Table1[[#This Row],[Product ID]],Products!$A$2:$E$23,3,0)</f>
        <v>Clothing</v>
      </c>
      <c r="S919" t="str">
        <f>VLOOKUP(C919,Customers!$A$2:$F$201,4,0)</f>
        <v>Kerala</v>
      </c>
      <c r="T919" t="str">
        <f>VLOOKUP(Table1[[#This Row],[Customer ID]],Customers!$A$2:$F$201,5,0)</f>
        <v>South</v>
      </c>
      <c r="U919" t="str">
        <f>VLOOKUP(Table1[[#This Row],[Customer ID]],Customers!$A$2:$F$201,6,0)</f>
        <v>Corporate</v>
      </c>
      <c r="V919" t="str">
        <f>TEXT(Table1[[#This Row],[Order Date]],"MMM")</f>
        <v>Jul</v>
      </c>
      <c r="W919" t="str">
        <f>TEXT(Table1[[#This Row],[Order Date]],"yyyy")</f>
        <v>2025</v>
      </c>
    </row>
    <row r="920" spans="1:23" x14ac:dyDescent="0.25">
      <c r="A920" s="2" t="s">
        <v>1166</v>
      </c>
      <c r="B920" s="4">
        <v>45861</v>
      </c>
      <c r="C920" s="2" t="s">
        <v>415</v>
      </c>
      <c r="D920" s="2" t="str">
        <f>TEXT(Table1[[#This Row],[Order Date]],"mmmm")</f>
        <v>July</v>
      </c>
      <c r="E920" s="2" t="s">
        <v>60</v>
      </c>
      <c r="F920" s="2">
        <v>6</v>
      </c>
      <c r="G920" s="5">
        <v>0</v>
      </c>
      <c r="H920" s="2" t="s">
        <v>30</v>
      </c>
      <c r="I920" s="2" t="s">
        <v>20</v>
      </c>
      <c r="J920" s="2" t="s">
        <v>21</v>
      </c>
      <c r="K920">
        <f>VLOOKUP(E920,Products!$A$2:$E$23,5,0)</f>
        <v>449</v>
      </c>
      <c r="L920">
        <f>VLOOKUP(E920,Products!$A$2:$E$23,4,0)</f>
        <v>260</v>
      </c>
      <c r="M920" s="2">
        <f>K920*F920-Table1[[#This Row],[discount_amount]]</f>
        <v>2694</v>
      </c>
      <c r="N920">
        <f t="shared" si="29"/>
        <v>1560</v>
      </c>
      <c r="O920">
        <f t="shared" si="28"/>
        <v>1134</v>
      </c>
      <c r="P920">
        <f>Table1[[#This Row],[Quantity]]*Table1[[#This Row],[unit_price]]*Table1[[#This Row],[Discount]]</f>
        <v>0</v>
      </c>
      <c r="Q920" t="str">
        <f>VLOOKUP(E920,Products!$A$2:$E$23,2,0)</f>
        <v>Desk Organizer</v>
      </c>
      <c r="R920" t="str">
        <f>VLOOKUP(Table1[[#This Row],[Product ID]],Products!$A$2:$E$23,3,0)</f>
        <v>Office Supplies</v>
      </c>
      <c r="S920" t="str">
        <f>VLOOKUP(C920,Customers!$A$2:$F$201,4,0)</f>
        <v>Tamil Nadu</v>
      </c>
      <c r="T920" t="str">
        <f>VLOOKUP(Table1[[#This Row],[Customer ID]],Customers!$A$2:$F$201,5,0)</f>
        <v>South</v>
      </c>
      <c r="U920" t="str">
        <f>VLOOKUP(Table1[[#This Row],[Customer ID]],Customers!$A$2:$F$201,6,0)</f>
        <v>Consumer</v>
      </c>
      <c r="V920" t="str">
        <f>TEXT(Table1[[#This Row],[Order Date]],"MMM")</f>
        <v>Jul</v>
      </c>
      <c r="W920" t="str">
        <f>TEXT(Table1[[#This Row],[Order Date]],"yyyy")</f>
        <v>2025</v>
      </c>
    </row>
    <row r="921" spans="1:23" x14ac:dyDescent="0.25">
      <c r="A921" s="2" t="s">
        <v>1167</v>
      </c>
      <c r="B921" s="4">
        <v>45861</v>
      </c>
      <c r="C921" s="2" t="s">
        <v>235</v>
      </c>
      <c r="D921" s="2" t="str">
        <f>TEXT(Table1[[#This Row],[Order Date]],"mmmm")</f>
        <v>July</v>
      </c>
      <c r="E921" s="2" t="s">
        <v>91</v>
      </c>
      <c r="F921" s="2">
        <v>10</v>
      </c>
      <c r="G921" s="5">
        <v>0</v>
      </c>
      <c r="H921" s="2" t="s">
        <v>19</v>
      </c>
      <c r="I921" s="2" t="s">
        <v>20</v>
      </c>
      <c r="J921" s="2" t="s">
        <v>79</v>
      </c>
      <c r="K921">
        <f>VLOOKUP(E921,Products!$A$2:$E$23,5,0)</f>
        <v>1199</v>
      </c>
      <c r="L921">
        <f>VLOOKUP(E921,Products!$A$2:$E$23,4,0)</f>
        <v>600</v>
      </c>
      <c r="M921" s="2">
        <f>K921*F921-Table1[[#This Row],[discount_amount]]</f>
        <v>11990</v>
      </c>
      <c r="N921">
        <f t="shared" si="29"/>
        <v>6000</v>
      </c>
      <c r="O921">
        <f t="shared" si="28"/>
        <v>5990</v>
      </c>
      <c r="P921">
        <f>Table1[[#This Row],[Quantity]]*Table1[[#This Row],[unit_price]]*Table1[[#This Row],[Discount]]</f>
        <v>0</v>
      </c>
      <c r="Q921" t="str">
        <f>VLOOKUP(E921,Products!$A$2:$E$23,2,0)</f>
        <v>Formal Shirt</v>
      </c>
      <c r="R921" t="str">
        <f>VLOOKUP(Table1[[#This Row],[Product ID]],Products!$A$2:$E$23,3,0)</f>
        <v>Clothing</v>
      </c>
      <c r="S921" t="str">
        <f>VLOOKUP(C921,Customers!$A$2:$F$201,4,0)</f>
        <v>Bihar</v>
      </c>
      <c r="T921" t="str">
        <f>VLOOKUP(Table1[[#This Row],[Customer ID]],Customers!$A$2:$F$201,5,0)</f>
        <v>East</v>
      </c>
      <c r="U921" t="str">
        <f>VLOOKUP(Table1[[#This Row],[Customer ID]],Customers!$A$2:$F$201,6,0)</f>
        <v>Home Office</v>
      </c>
      <c r="V921" t="str">
        <f>TEXT(Table1[[#This Row],[Order Date]],"MMM")</f>
        <v>Jul</v>
      </c>
      <c r="W921" t="str">
        <f>TEXT(Table1[[#This Row],[Order Date]],"yyyy")</f>
        <v>2025</v>
      </c>
    </row>
    <row r="922" spans="1:23" x14ac:dyDescent="0.25">
      <c r="A922" s="2" t="s">
        <v>1168</v>
      </c>
      <c r="B922" s="4">
        <v>45862</v>
      </c>
      <c r="C922" s="2" t="s">
        <v>72</v>
      </c>
      <c r="D922" s="2" t="str">
        <f>TEXT(Table1[[#This Row],[Order Date]],"mmmm")</f>
        <v>July</v>
      </c>
      <c r="E922" s="2" t="s">
        <v>155</v>
      </c>
      <c r="F922" s="2">
        <v>4</v>
      </c>
      <c r="G922" s="5">
        <v>0.05</v>
      </c>
      <c r="H922" s="2" t="s">
        <v>30</v>
      </c>
      <c r="I922" s="2" t="s">
        <v>26</v>
      </c>
      <c r="J922" s="2" t="s">
        <v>21</v>
      </c>
      <c r="K922">
        <f>VLOOKUP(E922,Products!$A$2:$E$23,5,0)</f>
        <v>1599</v>
      </c>
      <c r="L922">
        <f>VLOOKUP(E922,Products!$A$2:$E$23,4,0)</f>
        <v>900</v>
      </c>
      <c r="M922" s="2">
        <f>K922*F922-Table1[[#This Row],[discount_amount]]</f>
        <v>6076.2</v>
      </c>
      <c r="N922">
        <f t="shared" si="29"/>
        <v>3600</v>
      </c>
      <c r="O922">
        <f t="shared" si="28"/>
        <v>2476.1999999999998</v>
      </c>
      <c r="P922">
        <f>Table1[[#This Row],[Quantity]]*Table1[[#This Row],[unit_price]]*Table1[[#This Row],[Discount]]</f>
        <v>319.8</v>
      </c>
      <c r="Q922" t="str">
        <f>VLOOKUP(E922,Products!$A$2:$E$23,2,0)</f>
        <v>Headphones</v>
      </c>
      <c r="R922" t="str">
        <f>VLOOKUP(Table1[[#This Row],[Product ID]],Products!$A$2:$E$23,3,0)</f>
        <v>Electronics</v>
      </c>
      <c r="S922" t="str">
        <f>VLOOKUP(C922,Customers!$A$2:$F$201,4,0)</f>
        <v>Maharashtra</v>
      </c>
      <c r="T922" t="str">
        <f>VLOOKUP(Table1[[#This Row],[Customer ID]],Customers!$A$2:$F$201,5,0)</f>
        <v>West</v>
      </c>
      <c r="U922" t="str">
        <f>VLOOKUP(Table1[[#This Row],[Customer ID]],Customers!$A$2:$F$201,6,0)</f>
        <v>Consumer</v>
      </c>
      <c r="V922" t="str">
        <f>TEXT(Table1[[#This Row],[Order Date]],"MMM")</f>
        <v>Jul</v>
      </c>
      <c r="W922" t="str">
        <f>TEXT(Table1[[#This Row],[Order Date]],"yyyy")</f>
        <v>2025</v>
      </c>
    </row>
    <row r="923" spans="1:23" x14ac:dyDescent="0.25">
      <c r="A923" s="2" t="s">
        <v>1169</v>
      </c>
      <c r="B923" s="4">
        <v>45862</v>
      </c>
      <c r="C923" s="2" t="s">
        <v>197</v>
      </c>
      <c r="D923" s="2" t="str">
        <f>TEXT(Table1[[#This Row],[Order Date]],"mmmm")</f>
        <v>July</v>
      </c>
      <c r="E923" s="2" t="s">
        <v>63</v>
      </c>
      <c r="F923" s="2">
        <v>4</v>
      </c>
      <c r="G923" s="5">
        <v>0.05</v>
      </c>
      <c r="H923" s="2" t="s">
        <v>25</v>
      </c>
      <c r="I923" s="2" t="s">
        <v>26</v>
      </c>
      <c r="J923" s="2" t="s">
        <v>21</v>
      </c>
      <c r="K923">
        <f>VLOOKUP(E923,Products!$A$2:$E$23,5,0)</f>
        <v>5499</v>
      </c>
      <c r="L923">
        <f>VLOOKUP(E923,Products!$A$2:$E$23,4,0)</f>
        <v>3500</v>
      </c>
      <c r="M923" s="2">
        <f>K923*F923-Table1[[#This Row],[discount_amount]]</f>
        <v>20896.2</v>
      </c>
      <c r="N923">
        <f t="shared" si="29"/>
        <v>14000</v>
      </c>
      <c r="O923">
        <f t="shared" si="28"/>
        <v>6896.2000000000007</v>
      </c>
      <c r="P923">
        <f>Table1[[#This Row],[Quantity]]*Table1[[#This Row],[unit_price]]*Table1[[#This Row],[Discount]]</f>
        <v>1099.8</v>
      </c>
      <c r="Q923" t="str">
        <f>VLOOKUP(E923,Products!$A$2:$E$23,2,0)</f>
        <v>Office Chair</v>
      </c>
      <c r="R923" t="str">
        <f>VLOOKUP(Table1[[#This Row],[Product ID]],Products!$A$2:$E$23,3,0)</f>
        <v>Furniture</v>
      </c>
      <c r="S923" t="str">
        <f>VLOOKUP(C923,Customers!$A$2:$F$201,4,0)</f>
        <v>Madhya Pradesh</v>
      </c>
      <c r="T923" t="str">
        <f>VLOOKUP(Table1[[#This Row],[Customer ID]],Customers!$A$2:$F$201,5,0)</f>
        <v>Central</v>
      </c>
      <c r="U923" t="str">
        <f>VLOOKUP(Table1[[#This Row],[Customer ID]],Customers!$A$2:$F$201,6,0)</f>
        <v>Consumer</v>
      </c>
      <c r="V923" t="str">
        <f>TEXT(Table1[[#This Row],[Order Date]],"MMM")</f>
        <v>Jul</v>
      </c>
      <c r="W923" t="str">
        <f>TEXT(Table1[[#This Row],[Order Date]],"yyyy")</f>
        <v>2025</v>
      </c>
    </row>
    <row r="924" spans="1:23" x14ac:dyDescent="0.25">
      <c r="A924" s="2" t="s">
        <v>1170</v>
      </c>
      <c r="B924" s="4">
        <v>45863</v>
      </c>
      <c r="C924" s="2" t="s">
        <v>36</v>
      </c>
      <c r="D924" s="2" t="str">
        <f>TEXT(Table1[[#This Row],[Order Date]],"mmmm")</f>
        <v>July</v>
      </c>
      <c r="E924" s="2" t="s">
        <v>37</v>
      </c>
      <c r="F924" s="2">
        <v>6</v>
      </c>
      <c r="G924" s="5">
        <v>0</v>
      </c>
      <c r="H924" s="2" t="s">
        <v>25</v>
      </c>
      <c r="I924" s="2" t="s">
        <v>20</v>
      </c>
      <c r="J924" s="2" t="s">
        <v>21</v>
      </c>
      <c r="K924">
        <f>VLOOKUP(E924,Products!$A$2:$E$23,5,0)</f>
        <v>1799</v>
      </c>
      <c r="L924">
        <f>VLOOKUP(E924,Products!$A$2:$E$23,4,0)</f>
        <v>900</v>
      </c>
      <c r="M924" s="2">
        <f>K924*F924-Table1[[#This Row],[discount_amount]]</f>
        <v>10794</v>
      </c>
      <c r="N924">
        <f t="shared" si="29"/>
        <v>5400</v>
      </c>
      <c r="O924">
        <f t="shared" si="28"/>
        <v>5394</v>
      </c>
      <c r="P924">
        <f>Table1[[#This Row],[Quantity]]*Table1[[#This Row],[unit_price]]*Table1[[#This Row],[Discount]]</f>
        <v>0</v>
      </c>
      <c r="Q924" t="str">
        <f>VLOOKUP(E924,Products!$A$2:$E$23,2,0)</f>
        <v>Denim Jeans</v>
      </c>
      <c r="R924" t="str">
        <f>VLOOKUP(Table1[[#This Row],[Product ID]],Products!$A$2:$E$23,3,0)</f>
        <v>Clothing</v>
      </c>
      <c r="S924" t="str">
        <f>VLOOKUP(C924,Customers!$A$2:$F$201,4,0)</f>
        <v>Gujarat</v>
      </c>
      <c r="T924" t="str">
        <f>VLOOKUP(Table1[[#This Row],[Customer ID]],Customers!$A$2:$F$201,5,0)</f>
        <v>West</v>
      </c>
      <c r="U924" t="str">
        <f>VLOOKUP(Table1[[#This Row],[Customer ID]],Customers!$A$2:$F$201,6,0)</f>
        <v>Consumer</v>
      </c>
      <c r="V924" t="str">
        <f>TEXT(Table1[[#This Row],[Order Date]],"MMM")</f>
        <v>Jul</v>
      </c>
      <c r="W924" t="str">
        <f>TEXT(Table1[[#This Row],[Order Date]],"yyyy")</f>
        <v>2025</v>
      </c>
    </row>
    <row r="925" spans="1:23" x14ac:dyDescent="0.25">
      <c r="A925" s="2" t="s">
        <v>1171</v>
      </c>
      <c r="B925" s="4">
        <v>45863</v>
      </c>
      <c r="C925" s="2" t="s">
        <v>194</v>
      </c>
      <c r="D925" s="2" t="str">
        <f>TEXT(Table1[[#This Row],[Order Date]],"mmmm")</f>
        <v>July</v>
      </c>
      <c r="E925" s="2" t="s">
        <v>135</v>
      </c>
      <c r="F925" s="2">
        <v>4</v>
      </c>
      <c r="G925" s="5">
        <v>0.1</v>
      </c>
      <c r="H925" s="2" t="s">
        <v>30</v>
      </c>
      <c r="I925" s="2" t="s">
        <v>31</v>
      </c>
      <c r="J925" s="2" t="s">
        <v>21</v>
      </c>
      <c r="K925">
        <f>VLOOKUP(E925,Products!$A$2:$E$23,5,0)</f>
        <v>220</v>
      </c>
      <c r="L925">
        <f>VLOOKUP(E925,Products!$A$2:$E$23,4,0)</f>
        <v>120</v>
      </c>
      <c r="M925" s="2">
        <f>K925*F925-Table1[[#This Row],[discount_amount]]</f>
        <v>792</v>
      </c>
      <c r="N925">
        <f t="shared" si="29"/>
        <v>480</v>
      </c>
      <c r="O925">
        <f t="shared" si="28"/>
        <v>312</v>
      </c>
      <c r="P925">
        <f>Table1[[#This Row],[Quantity]]*Table1[[#This Row],[unit_price]]*Table1[[#This Row],[Discount]]</f>
        <v>88</v>
      </c>
      <c r="Q925" t="str">
        <f>VLOOKUP(E925,Products!$A$2:$E$23,2,0)</f>
        <v>Stapler</v>
      </c>
      <c r="R925" t="str">
        <f>VLOOKUP(Table1[[#This Row],[Product ID]],Products!$A$2:$E$23,3,0)</f>
        <v>Office Supplies</v>
      </c>
      <c r="S925" t="str">
        <f>VLOOKUP(C925,Customers!$A$2:$F$201,4,0)</f>
        <v>Telangana</v>
      </c>
      <c r="T925" t="str">
        <f>VLOOKUP(Table1[[#This Row],[Customer ID]],Customers!$A$2:$F$201,5,0)</f>
        <v>South</v>
      </c>
      <c r="U925" t="str">
        <f>VLOOKUP(Table1[[#This Row],[Customer ID]],Customers!$A$2:$F$201,6,0)</f>
        <v>Consumer</v>
      </c>
      <c r="V925" t="str">
        <f>TEXT(Table1[[#This Row],[Order Date]],"MMM")</f>
        <v>Jul</v>
      </c>
      <c r="W925" t="str">
        <f>TEXT(Table1[[#This Row],[Order Date]],"yyyy")</f>
        <v>2025</v>
      </c>
    </row>
    <row r="926" spans="1:23" x14ac:dyDescent="0.25">
      <c r="A926" s="2" t="s">
        <v>1172</v>
      </c>
      <c r="B926" s="4">
        <v>45864</v>
      </c>
      <c r="C926" s="2" t="s">
        <v>636</v>
      </c>
      <c r="D926" s="2" t="str">
        <f>TEXT(Table1[[#This Row],[Order Date]],"mmmm")</f>
        <v>July</v>
      </c>
      <c r="E926" s="2" t="s">
        <v>63</v>
      </c>
      <c r="F926" s="2">
        <v>1</v>
      </c>
      <c r="G926" s="5">
        <v>0.1</v>
      </c>
      <c r="H926" s="2" t="s">
        <v>30</v>
      </c>
      <c r="I926" s="2" t="s">
        <v>46</v>
      </c>
      <c r="J926" s="2" t="s">
        <v>21</v>
      </c>
      <c r="K926">
        <f>VLOOKUP(E926,Products!$A$2:$E$23,5,0)</f>
        <v>5499</v>
      </c>
      <c r="L926">
        <f>VLOOKUP(E926,Products!$A$2:$E$23,4,0)</f>
        <v>3500</v>
      </c>
      <c r="M926" s="2">
        <f>K926*F926-Table1[[#This Row],[discount_amount]]</f>
        <v>4949.1000000000004</v>
      </c>
      <c r="N926">
        <f t="shared" si="29"/>
        <v>3500</v>
      </c>
      <c r="O926">
        <f t="shared" si="28"/>
        <v>1449.1000000000004</v>
      </c>
      <c r="P926">
        <f>Table1[[#This Row],[Quantity]]*Table1[[#This Row],[unit_price]]*Table1[[#This Row],[Discount]]</f>
        <v>549.9</v>
      </c>
      <c r="Q926" t="str">
        <f>VLOOKUP(E926,Products!$A$2:$E$23,2,0)</f>
        <v>Office Chair</v>
      </c>
      <c r="R926" t="str">
        <f>VLOOKUP(Table1[[#This Row],[Product ID]],Products!$A$2:$E$23,3,0)</f>
        <v>Furniture</v>
      </c>
      <c r="S926" t="str">
        <f>VLOOKUP(C926,Customers!$A$2:$F$201,4,0)</f>
        <v>Rajasthan</v>
      </c>
      <c r="T926" t="str">
        <f>VLOOKUP(Table1[[#This Row],[Customer ID]],Customers!$A$2:$F$201,5,0)</f>
        <v>North</v>
      </c>
      <c r="U926" t="str">
        <f>VLOOKUP(Table1[[#This Row],[Customer ID]],Customers!$A$2:$F$201,6,0)</f>
        <v>Home Office</v>
      </c>
      <c r="V926" t="str">
        <f>TEXT(Table1[[#This Row],[Order Date]],"MMM")</f>
        <v>Jul</v>
      </c>
      <c r="W926" t="str">
        <f>TEXT(Table1[[#This Row],[Order Date]],"yyyy")</f>
        <v>2025</v>
      </c>
    </row>
    <row r="927" spans="1:23" x14ac:dyDescent="0.25">
      <c r="A927" s="2" t="s">
        <v>1173</v>
      </c>
      <c r="B927" s="4">
        <v>45864</v>
      </c>
      <c r="C927" s="2" t="s">
        <v>269</v>
      </c>
      <c r="D927" s="2" t="str">
        <f>TEXT(Table1[[#This Row],[Order Date]],"mmmm")</f>
        <v>July</v>
      </c>
      <c r="E927" s="2" t="s">
        <v>37</v>
      </c>
      <c r="F927" s="2">
        <v>1</v>
      </c>
      <c r="G927" s="5">
        <v>0.1</v>
      </c>
      <c r="H927" s="2" t="s">
        <v>19</v>
      </c>
      <c r="I927" s="2" t="s">
        <v>26</v>
      </c>
      <c r="J927" s="2" t="s">
        <v>94</v>
      </c>
      <c r="K927">
        <f>VLOOKUP(E927,Products!$A$2:$E$23,5,0)</f>
        <v>1799</v>
      </c>
      <c r="L927">
        <f>VLOOKUP(E927,Products!$A$2:$E$23,4,0)</f>
        <v>900</v>
      </c>
      <c r="M927" s="2">
        <f>K927*F927-Table1[[#This Row],[discount_amount]]</f>
        <v>1619.1</v>
      </c>
      <c r="N927">
        <f t="shared" si="29"/>
        <v>900</v>
      </c>
      <c r="O927">
        <f t="shared" si="28"/>
        <v>719.09999999999991</v>
      </c>
      <c r="P927">
        <f>Table1[[#This Row],[Quantity]]*Table1[[#This Row],[unit_price]]*Table1[[#This Row],[Discount]]</f>
        <v>179.9</v>
      </c>
      <c r="Q927" t="str">
        <f>VLOOKUP(E927,Products!$A$2:$E$23,2,0)</f>
        <v>Denim Jeans</v>
      </c>
      <c r="R927" t="str">
        <f>VLOOKUP(Table1[[#This Row],[Product ID]],Products!$A$2:$E$23,3,0)</f>
        <v>Clothing</v>
      </c>
      <c r="S927" t="str">
        <f>VLOOKUP(C927,Customers!$A$2:$F$201,4,0)</f>
        <v>Delhi</v>
      </c>
      <c r="T927" t="str">
        <f>VLOOKUP(Table1[[#This Row],[Customer ID]],Customers!$A$2:$F$201,5,0)</f>
        <v>North</v>
      </c>
      <c r="U927" t="str">
        <f>VLOOKUP(Table1[[#This Row],[Customer ID]],Customers!$A$2:$F$201,6,0)</f>
        <v>Corporate</v>
      </c>
      <c r="V927" t="str">
        <f>TEXT(Table1[[#This Row],[Order Date]],"MMM")</f>
        <v>Jul</v>
      </c>
      <c r="W927" t="str">
        <f>TEXT(Table1[[#This Row],[Order Date]],"yyyy")</f>
        <v>2025</v>
      </c>
    </row>
    <row r="928" spans="1:23" x14ac:dyDescent="0.25">
      <c r="A928" s="2" t="s">
        <v>1174</v>
      </c>
      <c r="B928" s="4">
        <v>45866</v>
      </c>
      <c r="C928" s="2" t="s">
        <v>96</v>
      </c>
      <c r="D928" s="2" t="str">
        <f>TEXT(Table1[[#This Row],[Order Date]],"mmmm")</f>
        <v>July</v>
      </c>
      <c r="E928" s="2" t="s">
        <v>73</v>
      </c>
      <c r="F928" s="2">
        <v>10</v>
      </c>
      <c r="G928" s="5">
        <v>0</v>
      </c>
      <c r="H928" s="2" t="s">
        <v>19</v>
      </c>
      <c r="I928" s="2" t="s">
        <v>26</v>
      </c>
      <c r="J928" s="2" t="s">
        <v>21</v>
      </c>
      <c r="K928">
        <f>VLOOKUP(E928,Products!$A$2:$E$23,5,0)</f>
        <v>6499</v>
      </c>
      <c r="L928">
        <f>VLOOKUP(E928,Products!$A$2:$E$23,4,0)</f>
        <v>4200</v>
      </c>
      <c r="M928" s="2">
        <f>K928*F928-Table1[[#This Row],[discount_amount]]</f>
        <v>64990</v>
      </c>
      <c r="N928">
        <f t="shared" si="29"/>
        <v>42000</v>
      </c>
      <c r="O928">
        <f t="shared" si="28"/>
        <v>22990</v>
      </c>
      <c r="P928">
        <f>Table1[[#This Row],[Quantity]]*Table1[[#This Row],[unit_price]]*Table1[[#This Row],[Discount]]</f>
        <v>0</v>
      </c>
      <c r="Q928" t="str">
        <f>VLOOKUP(E928,Products!$A$2:$E$23,2,0)</f>
        <v>Study Table</v>
      </c>
      <c r="R928" t="str">
        <f>VLOOKUP(Table1[[#This Row],[Product ID]],Products!$A$2:$E$23,3,0)</f>
        <v>Furniture</v>
      </c>
      <c r="S928" t="str">
        <f>VLOOKUP(C928,Customers!$A$2:$F$201,4,0)</f>
        <v>Odisha</v>
      </c>
      <c r="T928" t="str">
        <f>VLOOKUP(Table1[[#This Row],[Customer ID]],Customers!$A$2:$F$201,5,0)</f>
        <v>East</v>
      </c>
      <c r="U928" t="str">
        <f>VLOOKUP(Table1[[#This Row],[Customer ID]],Customers!$A$2:$F$201,6,0)</f>
        <v>Consumer</v>
      </c>
      <c r="V928" t="str">
        <f>TEXT(Table1[[#This Row],[Order Date]],"MMM")</f>
        <v>Jul</v>
      </c>
      <c r="W928" t="str">
        <f>TEXT(Table1[[#This Row],[Order Date]],"yyyy")</f>
        <v>2025</v>
      </c>
    </row>
    <row r="929" spans="1:23" x14ac:dyDescent="0.25">
      <c r="A929" s="2" t="s">
        <v>1175</v>
      </c>
      <c r="B929" s="4">
        <v>45866</v>
      </c>
      <c r="C929" s="2" t="s">
        <v>626</v>
      </c>
      <c r="D929" s="2" t="str">
        <f>TEXT(Table1[[#This Row],[Order Date]],"mmmm")</f>
        <v>July</v>
      </c>
      <c r="E929" s="2" t="s">
        <v>45</v>
      </c>
      <c r="F929" s="2">
        <v>2</v>
      </c>
      <c r="G929" s="5">
        <v>0.1</v>
      </c>
      <c r="H929" s="2" t="s">
        <v>30</v>
      </c>
      <c r="I929" s="2" t="s">
        <v>38</v>
      </c>
      <c r="J929" s="2" t="s">
        <v>79</v>
      </c>
      <c r="K929">
        <f>VLOOKUP(E929,Products!$A$2:$E$23,5,0)</f>
        <v>899</v>
      </c>
      <c r="L929">
        <f>VLOOKUP(E929,Products!$A$2:$E$23,4,0)</f>
        <v>450</v>
      </c>
      <c r="M929" s="2">
        <f>K929*F929-Table1[[#This Row],[discount_amount]]</f>
        <v>1618.2</v>
      </c>
      <c r="N929">
        <f t="shared" si="29"/>
        <v>900</v>
      </c>
      <c r="O929">
        <f t="shared" si="28"/>
        <v>718.2</v>
      </c>
      <c r="P929">
        <f>Table1[[#This Row],[Quantity]]*Table1[[#This Row],[unit_price]]*Table1[[#This Row],[Discount]]</f>
        <v>179.8</v>
      </c>
      <c r="Q929" t="str">
        <f>VLOOKUP(E929,Products!$A$2:$E$23,2,0)</f>
        <v>Track Pants</v>
      </c>
      <c r="R929" t="str">
        <f>VLOOKUP(Table1[[#This Row],[Product ID]],Products!$A$2:$E$23,3,0)</f>
        <v>Clothing</v>
      </c>
      <c r="S929" t="str">
        <f>VLOOKUP(C929,Customers!$A$2:$F$201,4,0)</f>
        <v>Madhya Pradesh</v>
      </c>
      <c r="T929" t="str">
        <f>VLOOKUP(Table1[[#This Row],[Customer ID]],Customers!$A$2:$F$201,5,0)</f>
        <v>Central</v>
      </c>
      <c r="U929" t="str">
        <f>VLOOKUP(Table1[[#This Row],[Customer ID]],Customers!$A$2:$F$201,6,0)</f>
        <v>Corporate</v>
      </c>
      <c r="V929" t="str">
        <f>TEXT(Table1[[#This Row],[Order Date]],"MMM")</f>
        <v>Jul</v>
      </c>
      <c r="W929" t="str">
        <f>TEXT(Table1[[#This Row],[Order Date]],"yyyy")</f>
        <v>2025</v>
      </c>
    </row>
    <row r="930" spans="1:23" x14ac:dyDescent="0.25">
      <c r="A930" s="2" t="s">
        <v>1176</v>
      </c>
      <c r="B930" s="4">
        <v>45867</v>
      </c>
      <c r="C930" s="2" t="s">
        <v>301</v>
      </c>
      <c r="D930" s="2" t="str">
        <f>TEXT(Table1[[#This Row],[Order Date]],"mmmm")</f>
        <v>July</v>
      </c>
      <c r="E930" s="2" t="s">
        <v>24</v>
      </c>
      <c r="F930" s="2">
        <v>1</v>
      </c>
      <c r="G930" s="5">
        <v>0.05</v>
      </c>
      <c r="H930" s="2" t="s">
        <v>30</v>
      </c>
      <c r="I930" s="2" t="s">
        <v>20</v>
      </c>
      <c r="J930" s="2" t="s">
        <v>21</v>
      </c>
      <c r="K930">
        <f>VLOOKUP(E930,Products!$A$2:$E$23,5,0)</f>
        <v>899</v>
      </c>
      <c r="L930">
        <f>VLOOKUP(E930,Products!$A$2:$E$23,4,0)</f>
        <v>500</v>
      </c>
      <c r="M930" s="2">
        <f>K930*F930-Table1[[#This Row],[discount_amount]]</f>
        <v>854.05</v>
      </c>
      <c r="N930">
        <f t="shared" si="29"/>
        <v>500</v>
      </c>
      <c r="O930">
        <f t="shared" si="28"/>
        <v>354.04999999999995</v>
      </c>
      <c r="P930">
        <f>Table1[[#This Row],[Quantity]]*Table1[[#This Row],[unit_price]]*Table1[[#This Row],[Discount]]</f>
        <v>44.95</v>
      </c>
      <c r="Q930" t="str">
        <f>VLOOKUP(E930,Products!$A$2:$E$23,2,0)</f>
        <v>Monitor Stand</v>
      </c>
      <c r="R930" t="str">
        <f>VLOOKUP(Table1[[#This Row],[Product ID]],Products!$A$2:$E$23,3,0)</f>
        <v>Furniture</v>
      </c>
      <c r="S930" t="str">
        <f>VLOOKUP(C930,Customers!$A$2:$F$201,4,0)</f>
        <v>Chandigarh</v>
      </c>
      <c r="T930" t="str">
        <f>VLOOKUP(Table1[[#This Row],[Customer ID]],Customers!$A$2:$F$201,5,0)</f>
        <v>North</v>
      </c>
      <c r="U930" t="str">
        <f>VLOOKUP(Table1[[#This Row],[Customer ID]],Customers!$A$2:$F$201,6,0)</f>
        <v>Home Office</v>
      </c>
      <c r="V930" t="str">
        <f>TEXT(Table1[[#This Row],[Order Date]],"MMM")</f>
        <v>Jul</v>
      </c>
      <c r="W930" t="str">
        <f>TEXT(Table1[[#This Row],[Order Date]],"yyyy")</f>
        <v>2025</v>
      </c>
    </row>
    <row r="931" spans="1:23" x14ac:dyDescent="0.25">
      <c r="A931" s="2" t="s">
        <v>1177</v>
      </c>
      <c r="B931" s="4">
        <v>45867</v>
      </c>
      <c r="C931" s="2" t="s">
        <v>587</v>
      </c>
      <c r="D931" s="2" t="str">
        <f>TEXT(Table1[[#This Row],[Order Date]],"mmmm")</f>
        <v>July</v>
      </c>
      <c r="E931" s="2" t="s">
        <v>18</v>
      </c>
      <c r="F931" s="2">
        <v>4</v>
      </c>
      <c r="G931" s="5">
        <v>0.1</v>
      </c>
      <c r="H931" s="2" t="s">
        <v>25</v>
      </c>
      <c r="I931" s="2" t="s">
        <v>26</v>
      </c>
      <c r="J931" s="2" t="s">
        <v>21</v>
      </c>
      <c r="K931">
        <f>VLOOKUP(E931,Products!$A$2:$E$23,5,0)</f>
        <v>4299</v>
      </c>
      <c r="L931">
        <f>VLOOKUP(E931,Products!$A$2:$E$23,4,0)</f>
        <v>2800</v>
      </c>
      <c r="M931" s="2">
        <f>K931*F931-Table1[[#This Row],[discount_amount]]</f>
        <v>15476.4</v>
      </c>
      <c r="N931">
        <f t="shared" si="29"/>
        <v>11200</v>
      </c>
      <c r="O931">
        <f t="shared" si="28"/>
        <v>4276.3999999999996</v>
      </c>
      <c r="P931">
        <f>Table1[[#This Row],[Quantity]]*Table1[[#This Row],[unit_price]]*Table1[[#This Row],[Discount]]</f>
        <v>1719.6000000000001</v>
      </c>
      <c r="Q931" t="str">
        <f>VLOOKUP(E931,Products!$A$2:$E$23,2,0)</f>
        <v>Bookshelf</v>
      </c>
      <c r="R931" t="str">
        <f>VLOOKUP(Table1[[#This Row],[Product ID]],Products!$A$2:$E$23,3,0)</f>
        <v>Furniture</v>
      </c>
      <c r="S931" t="str">
        <f>VLOOKUP(C931,Customers!$A$2:$F$201,4,0)</f>
        <v>Karnataka</v>
      </c>
      <c r="T931" t="str">
        <f>VLOOKUP(Table1[[#This Row],[Customer ID]],Customers!$A$2:$F$201,5,0)</f>
        <v>South</v>
      </c>
      <c r="U931" t="str">
        <f>VLOOKUP(Table1[[#This Row],[Customer ID]],Customers!$A$2:$F$201,6,0)</f>
        <v>Corporate</v>
      </c>
      <c r="V931" t="str">
        <f>TEXT(Table1[[#This Row],[Order Date]],"MMM")</f>
        <v>Jul</v>
      </c>
      <c r="W931" t="str">
        <f>TEXT(Table1[[#This Row],[Order Date]],"yyyy")</f>
        <v>2025</v>
      </c>
    </row>
    <row r="932" spans="1:23" x14ac:dyDescent="0.25">
      <c r="A932" s="2" t="s">
        <v>1178</v>
      </c>
      <c r="B932" s="4">
        <v>45868</v>
      </c>
      <c r="C932" s="2" t="s">
        <v>339</v>
      </c>
      <c r="D932" s="2" t="str">
        <f>TEXT(Table1[[#This Row],[Order Date]],"mmmm")</f>
        <v>July</v>
      </c>
      <c r="E932" s="2" t="s">
        <v>66</v>
      </c>
      <c r="F932" s="2">
        <v>10</v>
      </c>
      <c r="G932" s="5">
        <v>0.05</v>
      </c>
      <c r="H932" s="2" t="s">
        <v>30</v>
      </c>
      <c r="I932" s="2" t="s">
        <v>20</v>
      </c>
      <c r="J932" s="2" t="s">
        <v>21</v>
      </c>
      <c r="K932">
        <f>VLOOKUP(E932,Products!$A$2:$E$23,5,0)</f>
        <v>1299</v>
      </c>
      <c r="L932">
        <f>VLOOKUP(E932,Products!$A$2:$E$23,4,0)</f>
        <v>800</v>
      </c>
      <c r="M932" s="2">
        <f>K932*F932-Table1[[#This Row],[discount_amount]]</f>
        <v>12340.5</v>
      </c>
      <c r="N932">
        <f t="shared" si="29"/>
        <v>8000</v>
      </c>
      <c r="O932">
        <f t="shared" si="28"/>
        <v>4340.5</v>
      </c>
      <c r="P932">
        <f>Table1[[#This Row],[Quantity]]*Table1[[#This Row],[unit_price]]*Table1[[#This Row],[Discount]]</f>
        <v>649.5</v>
      </c>
      <c r="Q932" t="str">
        <f>VLOOKUP(E932,Products!$A$2:$E$23,2,0)</f>
        <v>Power Bank 10000mAh</v>
      </c>
      <c r="R932" t="str">
        <f>VLOOKUP(Table1[[#This Row],[Product ID]],Products!$A$2:$E$23,3,0)</f>
        <v>Electronics</v>
      </c>
      <c r="S932" t="str">
        <f>VLOOKUP(C932,Customers!$A$2:$F$201,4,0)</f>
        <v>Tamil Nadu</v>
      </c>
      <c r="T932" t="str">
        <f>VLOOKUP(Table1[[#This Row],[Customer ID]],Customers!$A$2:$F$201,5,0)</f>
        <v>South</v>
      </c>
      <c r="U932" t="str">
        <f>VLOOKUP(Table1[[#This Row],[Customer ID]],Customers!$A$2:$F$201,6,0)</f>
        <v>Corporate</v>
      </c>
      <c r="V932" t="str">
        <f>TEXT(Table1[[#This Row],[Order Date]],"MMM")</f>
        <v>Jul</v>
      </c>
      <c r="W932" t="str">
        <f>TEXT(Table1[[#This Row],[Order Date]],"yyyy")</f>
        <v>2025</v>
      </c>
    </row>
    <row r="933" spans="1:23" x14ac:dyDescent="0.25">
      <c r="A933" s="2" t="s">
        <v>1179</v>
      </c>
      <c r="B933" s="4">
        <v>45869</v>
      </c>
      <c r="C933" s="2" t="s">
        <v>333</v>
      </c>
      <c r="D933" s="2" t="str">
        <f>TEXT(Table1[[#This Row],[Order Date]],"mmmm")</f>
        <v>July</v>
      </c>
      <c r="E933" s="2" t="s">
        <v>54</v>
      </c>
      <c r="F933" s="2">
        <v>1</v>
      </c>
      <c r="G933" s="5">
        <v>0.2</v>
      </c>
      <c r="H933" s="2" t="s">
        <v>25</v>
      </c>
      <c r="I933" s="2" t="s">
        <v>38</v>
      </c>
      <c r="J933" s="2" t="s">
        <v>21</v>
      </c>
      <c r="K933">
        <f>VLOOKUP(E933,Products!$A$2:$E$23,5,0)</f>
        <v>299</v>
      </c>
      <c r="L933">
        <f>VLOOKUP(E933,Products!$A$2:$E$23,4,0)</f>
        <v>180</v>
      </c>
      <c r="M933" s="2">
        <f>K933*F933-Table1[[#This Row],[discount_amount]]</f>
        <v>239.2</v>
      </c>
      <c r="N933">
        <f t="shared" si="29"/>
        <v>180</v>
      </c>
      <c r="O933">
        <f t="shared" si="28"/>
        <v>59.199999999999989</v>
      </c>
      <c r="P933">
        <f>Table1[[#This Row],[Quantity]]*Table1[[#This Row],[unit_price]]*Table1[[#This Row],[Discount]]</f>
        <v>59.800000000000004</v>
      </c>
      <c r="Q933" t="str">
        <f>VLOOKUP(E933,Products!$A$2:$E$23,2,0)</f>
        <v>Notebook Pack of 5</v>
      </c>
      <c r="R933" t="str">
        <f>VLOOKUP(Table1[[#This Row],[Product ID]],Products!$A$2:$E$23,3,0)</f>
        <v>Office Supplies</v>
      </c>
      <c r="S933" t="str">
        <f>VLOOKUP(C933,Customers!$A$2:$F$201,4,0)</f>
        <v>Rajasthan</v>
      </c>
      <c r="T933" t="str">
        <f>VLOOKUP(Table1[[#This Row],[Customer ID]],Customers!$A$2:$F$201,5,0)</f>
        <v>North</v>
      </c>
      <c r="U933" t="str">
        <f>VLOOKUP(Table1[[#This Row],[Customer ID]],Customers!$A$2:$F$201,6,0)</f>
        <v>Corporate</v>
      </c>
      <c r="V933" t="str">
        <f>TEXT(Table1[[#This Row],[Order Date]],"MMM")</f>
        <v>Jul</v>
      </c>
      <c r="W933" t="str">
        <f>TEXT(Table1[[#This Row],[Order Date]],"yyyy")</f>
        <v>2025</v>
      </c>
    </row>
    <row r="934" spans="1:23" x14ac:dyDescent="0.25">
      <c r="A934" s="2" t="s">
        <v>1180</v>
      </c>
      <c r="B934" s="4">
        <v>45870</v>
      </c>
      <c r="C934" s="2" t="s">
        <v>93</v>
      </c>
      <c r="D934" s="2" t="str">
        <f>TEXT(Table1[[#This Row],[Order Date]],"mmmm")</f>
        <v>August</v>
      </c>
      <c r="E934" s="2" t="s">
        <v>121</v>
      </c>
      <c r="F934" s="2">
        <v>10</v>
      </c>
      <c r="G934" s="5">
        <v>0</v>
      </c>
      <c r="H934" s="2" t="s">
        <v>30</v>
      </c>
      <c r="I934" s="2" t="s">
        <v>26</v>
      </c>
      <c r="J934" s="2" t="s">
        <v>21</v>
      </c>
      <c r="K934">
        <f>VLOOKUP(E934,Products!$A$2:$E$23,5,0)</f>
        <v>499</v>
      </c>
      <c r="L934">
        <f>VLOOKUP(E934,Products!$A$2:$E$23,4,0)</f>
        <v>250</v>
      </c>
      <c r="M934" s="2">
        <f>K934*F934-Table1[[#This Row],[discount_amount]]</f>
        <v>4990</v>
      </c>
      <c r="N934">
        <f t="shared" si="29"/>
        <v>2500</v>
      </c>
      <c r="O934">
        <f t="shared" si="28"/>
        <v>2490</v>
      </c>
      <c r="P934">
        <f>Table1[[#This Row],[Quantity]]*Table1[[#This Row],[unit_price]]*Table1[[#This Row],[Discount]]</f>
        <v>0</v>
      </c>
      <c r="Q934" t="str">
        <f>VLOOKUP(E934,Products!$A$2:$E$23,2,0)</f>
        <v>Cotton T-Shirt</v>
      </c>
      <c r="R934" t="str">
        <f>VLOOKUP(Table1[[#This Row],[Product ID]],Products!$A$2:$E$23,3,0)</f>
        <v>Clothing</v>
      </c>
      <c r="S934" t="str">
        <f>VLOOKUP(C934,Customers!$A$2:$F$201,4,0)</f>
        <v>Gujarat</v>
      </c>
      <c r="T934" t="str">
        <f>VLOOKUP(Table1[[#This Row],[Customer ID]],Customers!$A$2:$F$201,5,0)</f>
        <v>West</v>
      </c>
      <c r="U934" t="str">
        <f>VLOOKUP(Table1[[#This Row],[Customer ID]],Customers!$A$2:$F$201,6,0)</f>
        <v>Consumer</v>
      </c>
      <c r="V934" t="str">
        <f>TEXT(Table1[[#This Row],[Order Date]],"MMM")</f>
        <v>Aug</v>
      </c>
      <c r="W934" t="str">
        <f>TEXT(Table1[[#This Row],[Order Date]],"yyyy")</f>
        <v>2025</v>
      </c>
    </row>
    <row r="935" spans="1:23" x14ac:dyDescent="0.25">
      <c r="A935" s="2" t="s">
        <v>1181</v>
      </c>
      <c r="B935" s="4">
        <v>45870</v>
      </c>
      <c r="C935" s="2" t="s">
        <v>28</v>
      </c>
      <c r="D935" s="2" t="str">
        <f>TEXT(Table1[[#This Row],[Order Date]],"mmmm")</f>
        <v>August</v>
      </c>
      <c r="E935" s="2" t="s">
        <v>82</v>
      </c>
      <c r="F935" s="2">
        <v>3</v>
      </c>
      <c r="G935" s="5">
        <v>0.1</v>
      </c>
      <c r="H935" s="2" t="s">
        <v>19</v>
      </c>
      <c r="I935" s="2" t="s">
        <v>38</v>
      </c>
      <c r="J935" s="2" t="s">
        <v>21</v>
      </c>
      <c r="K935">
        <f>VLOOKUP(E935,Products!$A$2:$E$23,5,0)</f>
        <v>1799</v>
      </c>
      <c r="L935">
        <f>VLOOKUP(E935,Products!$A$2:$E$23,4,0)</f>
        <v>1100</v>
      </c>
      <c r="M935" s="2">
        <f>K935*F935-Table1[[#This Row],[discount_amount]]</f>
        <v>4857.3</v>
      </c>
      <c r="N935">
        <f t="shared" si="29"/>
        <v>3300</v>
      </c>
      <c r="O935">
        <f t="shared" si="28"/>
        <v>1557.3000000000002</v>
      </c>
      <c r="P935">
        <f>Table1[[#This Row],[Quantity]]*Table1[[#This Row],[unit_price]]*Table1[[#This Row],[Discount]]</f>
        <v>539.70000000000005</v>
      </c>
      <c r="Q935" t="str">
        <f>VLOOKUP(E935,Products!$A$2:$E$23,2,0)</f>
        <v>Webcam HD</v>
      </c>
      <c r="R935" t="str">
        <f>VLOOKUP(Table1[[#This Row],[Product ID]],Products!$A$2:$E$23,3,0)</f>
        <v>Electronics</v>
      </c>
      <c r="S935" t="str">
        <f>VLOOKUP(C935,Customers!$A$2:$F$201,4,0)</f>
        <v>Maharashtra</v>
      </c>
      <c r="T935" t="str">
        <f>VLOOKUP(Table1[[#This Row],[Customer ID]],Customers!$A$2:$F$201,5,0)</f>
        <v>West</v>
      </c>
      <c r="U935" t="str">
        <f>VLOOKUP(Table1[[#This Row],[Customer ID]],Customers!$A$2:$F$201,6,0)</f>
        <v>Consumer</v>
      </c>
      <c r="V935" t="str">
        <f>TEXT(Table1[[#This Row],[Order Date]],"MMM")</f>
        <v>Aug</v>
      </c>
      <c r="W935" t="str">
        <f>TEXT(Table1[[#This Row],[Order Date]],"yyyy")</f>
        <v>2025</v>
      </c>
    </row>
    <row r="936" spans="1:23" x14ac:dyDescent="0.25">
      <c r="A936" s="2" t="s">
        <v>1182</v>
      </c>
      <c r="B936" s="4">
        <v>45871</v>
      </c>
      <c r="C936" s="2" t="s">
        <v>166</v>
      </c>
      <c r="D936" s="2" t="str">
        <f>TEXT(Table1[[#This Row],[Order Date]],"mmmm")</f>
        <v>August</v>
      </c>
      <c r="E936" s="2" t="s">
        <v>66</v>
      </c>
      <c r="F936" s="2">
        <v>4</v>
      </c>
      <c r="G936" s="5">
        <v>0</v>
      </c>
      <c r="H936" s="2" t="s">
        <v>30</v>
      </c>
      <c r="I936" s="2" t="s">
        <v>20</v>
      </c>
      <c r="J936" s="2" t="s">
        <v>21</v>
      </c>
      <c r="K936">
        <f>VLOOKUP(E936,Products!$A$2:$E$23,5,0)</f>
        <v>1299</v>
      </c>
      <c r="L936">
        <f>VLOOKUP(E936,Products!$A$2:$E$23,4,0)</f>
        <v>800</v>
      </c>
      <c r="M936" s="2">
        <f>K936*F936-Table1[[#This Row],[discount_amount]]</f>
        <v>5196</v>
      </c>
      <c r="N936">
        <f t="shared" si="29"/>
        <v>3200</v>
      </c>
      <c r="O936">
        <f t="shared" si="28"/>
        <v>1996</v>
      </c>
      <c r="P936">
        <f>Table1[[#This Row],[Quantity]]*Table1[[#This Row],[unit_price]]*Table1[[#This Row],[Discount]]</f>
        <v>0</v>
      </c>
      <c r="Q936" t="str">
        <f>VLOOKUP(E936,Products!$A$2:$E$23,2,0)</f>
        <v>Power Bank 10000mAh</v>
      </c>
      <c r="R936" t="str">
        <f>VLOOKUP(Table1[[#This Row],[Product ID]],Products!$A$2:$E$23,3,0)</f>
        <v>Electronics</v>
      </c>
      <c r="S936" t="str">
        <f>VLOOKUP(C936,Customers!$A$2:$F$201,4,0)</f>
        <v>Gujarat</v>
      </c>
      <c r="T936" t="str">
        <f>VLOOKUP(Table1[[#This Row],[Customer ID]],Customers!$A$2:$F$201,5,0)</f>
        <v>West</v>
      </c>
      <c r="U936" t="str">
        <f>VLOOKUP(Table1[[#This Row],[Customer ID]],Customers!$A$2:$F$201,6,0)</f>
        <v>Consumer</v>
      </c>
      <c r="V936" t="str">
        <f>TEXT(Table1[[#This Row],[Order Date]],"MMM")</f>
        <v>Aug</v>
      </c>
      <c r="W936" t="str">
        <f>TEXT(Table1[[#This Row],[Order Date]],"yyyy")</f>
        <v>2025</v>
      </c>
    </row>
    <row r="937" spans="1:23" x14ac:dyDescent="0.25">
      <c r="A937" s="2" t="s">
        <v>1183</v>
      </c>
      <c r="B937" s="4">
        <v>45871</v>
      </c>
      <c r="C937" s="2" t="s">
        <v>81</v>
      </c>
      <c r="D937" s="2" t="str">
        <f>TEXT(Table1[[#This Row],[Order Date]],"mmmm")</f>
        <v>August</v>
      </c>
      <c r="E937" s="2" t="s">
        <v>135</v>
      </c>
      <c r="F937" s="2">
        <v>1</v>
      </c>
      <c r="G937" s="5">
        <v>0</v>
      </c>
      <c r="H937" s="2" t="s">
        <v>19</v>
      </c>
      <c r="I937" s="2" t="s">
        <v>26</v>
      </c>
      <c r="J937" s="2" t="s">
        <v>21</v>
      </c>
      <c r="K937">
        <f>VLOOKUP(E937,Products!$A$2:$E$23,5,0)</f>
        <v>220</v>
      </c>
      <c r="L937">
        <f>VLOOKUP(E937,Products!$A$2:$E$23,4,0)</f>
        <v>120</v>
      </c>
      <c r="M937" s="2">
        <f>K937*F937-Table1[[#This Row],[discount_amount]]</f>
        <v>220</v>
      </c>
      <c r="N937">
        <f t="shared" si="29"/>
        <v>120</v>
      </c>
      <c r="O937">
        <f t="shared" si="28"/>
        <v>100</v>
      </c>
      <c r="P937">
        <f>Table1[[#This Row],[Quantity]]*Table1[[#This Row],[unit_price]]*Table1[[#This Row],[Discount]]</f>
        <v>0</v>
      </c>
      <c r="Q937" t="str">
        <f>VLOOKUP(E937,Products!$A$2:$E$23,2,0)</f>
        <v>Stapler</v>
      </c>
      <c r="R937" t="str">
        <f>VLOOKUP(Table1[[#This Row],[Product ID]],Products!$A$2:$E$23,3,0)</f>
        <v>Office Supplies</v>
      </c>
      <c r="S937" t="str">
        <f>VLOOKUP(C937,Customers!$A$2:$F$201,4,0)</f>
        <v>Chandigarh</v>
      </c>
      <c r="T937" t="str">
        <f>VLOOKUP(Table1[[#This Row],[Customer ID]],Customers!$A$2:$F$201,5,0)</f>
        <v>North</v>
      </c>
      <c r="U937" t="str">
        <f>VLOOKUP(Table1[[#This Row],[Customer ID]],Customers!$A$2:$F$201,6,0)</f>
        <v>Consumer</v>
      </c>
      <c r="V937" t="str">
        <f>TEXT(Table1[[#This Row],[Order Date]],"MMM")</f>
        <v>Aug</v>
      </c>
      <c r="W937" t="str">
        <f>TEXT(Table1[[#This Row],[Order Date]],"yyyy")</f>
        <v>2025</v>
      </c>
    </row>
    <row r="938" spans="1:23" x14ac:dyDescent="0.25">
      <c r="A938" s="2" t="s">
        <v>1184</v>
      </c>
      <c r="B938" s="4">
        <v>45871</v>
      </c>
      <c r="C938" s="2" t="s">
        <v>243</v>
      </c>
      <c r="D938" s="2" t="str">
        <f>TEXT(Table1[[#This Row],[Order Date]],"mmmm")</f>
        <v>August</v>
      </c>
      <c r="E938" s="2" t="s">
        <v>60</v>
      </c>
      <c r="F938" s="2">
        <v>1</v>
      </c>
      <c r="G938" s="5">
        <v>0</v>
      </c>
      <c r="H938" s="2" t="s">
        <v>19</v>
      </c>
      <c r="I938" s="2" t="s">
        <v>26</v>
      </c>
      <c r="J938" s="2" t="s">
        <v>21</v>
      </c>
      <c r="K938">
        <f>VLOOKUP(E938,Products!$A$2:$E$23,5,0)</f>
        <v>449</v>
      </c>
      <c r="L938">
        <f>VLOOKUP(E938,Products!$A$2:$E$23,4,0)</f>
        <v>260</v>
      </c>
      <c r="M938" s="2">
        <f>K938*F938-Table1[[#This Row],[discount_amount]]</f>
        <v>449</v>
      </c>
      <c r="N938">
        <f t="shared" si="29"/>
        <v>260</v>
      </c>
      <c r="O938">
        <f t="shared" si="28"/>
        <v>189</v>
      </c>
      <c r="P938">
        <f>Table1[[#This Row],[Quantity]]*Table1[[#This Row],[unit_price]]*Table1[[#This Row],[Discount]]</f>
        <v>0</v>
      </c>
      <c r="Q938" t="str">
        <f>VLOOKUP(E938,Products!$A$2:$E$23,2,0)</f>
        <v>Desk Organizer</v>
      </c>
      <c r="R938" t="str">
        <f>VLOOKUP(Table1[[#This Row],[Product ID]],Products!$A$2:$E$23,3,0)</f>
        <v>Office Supplies</v>
      </c>
      <c r="S938" t="str">
        <f>VLOOKUP(C938,Customers!$A$2:$F$201,4,0)</f>
        <v>Maharashtra</v>
      </c>
      <c r="T938" t="str">
        <f>VLOOKUP(Table1[[#This Row],[Customer ID]],Customers!$A$2:$F$201,5,0)</f>
        <v>Central</v>
      </c>
      <c r="U938" t="str">
        <f>VLOOKUP(Table1[[#This Row],[Customer ID]],Customers!$A$2:$F$201,6,0)</f>
        <v>Home Office</v>
      </c>
      <c r="V938" t="str">
        <f>TEXT(Table1[[#This Row],[Order Date]],"MMM")</f>
        <v>Aug</v>
      </c>
      <c r="W938" t="str">
        <f>TEXT(Table1[[#This Row],[Order Date]],"yyyy")</f>
        <v>2025</v>
      </c>
    </row>
    <row r="939" spans="1:23" x14ac:dyDescent="0.25">
      <c r="A939" s="2" t="s">
        <v>1185</v>
      </c>
      <c r="B939" s="4">
        <v>45873</v>
      </c>
      <c r="C939" s="2" t="s">
        <v>353</v>
      </c>
      <c r="D939" s="2" t="str">
        <f>TEXT(Table1[[#This Row],[Order Date]],"mmmm")</f>
        <v>August</v>
      </c>
      <c r="E939" s="2" t="s">
        <v>57</v>
      </c>
      <c r="F939" s="2">
        <v>2</v>
      </c>
      <c r="G939" s="5">
        <v>0</v>
      </c>
      <c r="H939" s="2" t="s">
        <v>19</v>
      </c>
      <c r="I939" s="2" t="s">
        <v>46</v>
      </c>
      <c r="J939" s="2" t="s">
        <v>21</v>
      </c>
      <c r="K939">
        <f>VLOOKUP(E939,Products!$A$2:$E$23,5,0)</f>
        <v>1599</v>
      </c>
      <c r="L939">
        <f>VLOOKUP(E939,Products!$A$2:$E$23,4,0)</f>
        <v>800</v>
      </c>
      <c r="M939" s="2">
        <f>K939*F939-Table1[[#This Row],[discount_amount]]</f>
        <v>3198</v>
      </c>
      <c r="N939">
        <f t="shared" si="29"/>
        <v>1600</v>
      </c>
      <c r="O939">
        <f t="shared" si="28"/>
        <v>1598</v>
      </c>
      <c r="P939">
        <f>Table1[[#This Row],[Quantity]]*Table1[[#This Row],[unit_price]]*Table1[[#This Row],[Discount]]</f>
        <v>0</v>
      </c>
      <c r="Q939" t="str">
        <f>VLOOKUP(E939,Products!$A$2:$E$23,2,0)</f>
        <v>Hoodie</v>
      </c>
      <c r="R939" t="str">
        <f>VLOOKUP(Table1[[#This Row],[Product ID]],Products!$A$2:$E$23,3,0)</f>
        <v>Clothing</v>
      </c>
      <c r="S939" t="str">
        <f>VLOOKUP(C939,Customers!$A$2:$F$201,4,0)</f>
        <v>Maharashtra</v>
      </c>
      <c r="T939" t="str">
        <f>VLOOKUP(Table1[[#This Row],[Customer ID]],Customers!$A$2:$F$201,5,0)</f>
        <v>West</v>
      </c>
      <c r="U939" t="str">
        <f>VLOOKUP(Table1[[#This Row],[Customer ID]],Customers!$A$2:$F$201,6,0)</f>
        <v>Corporate</v>
      </c>
      <c r="V939" t="str">
        <f>TEXT(Table1[[#This Row],[Order Date]],"MMM")</f>
        <v>Aug</v>
      </c>
      <c r="W939" t="str">
        <f>TEXT(Table1[[#This Row],[Order Date]],"yyyy")</f>
        <v>2025</v>
      </c>
    </row>
    <row r="940" spans="1:23" x14ac:dyDescent="0.25">
      <c r="A940" s="2" t="s">
        <v>1186</v>
      </c>
      <c r="B940" s="4">
        <v>45874</v>
      </c>
      <c r="C940" s="2" t="s">
        <v>639</v>
      </c>
      <c r="D940" s="2" t="str">
        <f>TEXT(Table1[[#This Row],[Order Date]],"mmmm")</f>
        <v>August</v>
      </c>
      <c r="E940" s="2" t="s">
        <v>66</v>
      </c>
      <c r="F940" s="2">
        <v>5</v>
      </c>
      <c r="G940" s="5">
        <v>0.15</v>
      </c>
      <c r="H940" s="2" t="s">
        <v>25</v>
      </c>
      <c r="I940" s="2" t="s">
        <v>26</v>
      </c>
      <c r="J940" s="2" t="s">
        <v>79</v>
      </c>
      <c r="K940">
        <f>VLOOKUP(E940,Products!$A$2:$E$23,5,0)</f>
        <v>1299</v>
      </c>
      <c r="L940">
        <f>VLOOKUP(E940,Products!$A$2:$E$23,4,0)</f>
        <v>800</v>
      </c>
      <c r="M940" s="2">
        <f>K940*F940-Table1[[#This Row],[discount_amount]]</f>
        <v>5520.75</v>
      </c>
      <c r="N940">
        <f t="shared" si="29"/>
        <v>4000</v>
      </c>
      <c r="O940">
        <f t="shared" si="28"/>
        <v>1520.75</v>
      </c>
      <c r="P940">
        <f>Table1[[#This Row],[Quantity]]*Table1[[#This Row],[unit_price]]*Table1[[#This Row],[Discount]]</f>
        <v>974.25</v>
      </c>
      <c r="Q940" t="str">
        <f>VLOOKUP(E940,Products!$A$2:$E$23,2,0)</f>
        <v>Power Bank 10000mAh</v>
      </c>
      <c r="R940" t="str">
        <f>VLOOKUP(Table1[[#This Row],[Product ID]],Products!$A$2:$E$23,3,0)</f>
        <v>Electronics</v>
      </c>
      <c r="S940" t="str">
        <f>VLOOKUP(C940,Customers!$A$2:$F$201,4,0)</f>
        <v>Madhya Pradesh</v>
      </c>
      <c r="T940" t="str">
        <f>VLOOKUP(Table1[[#This Row],[Customer ID]],Customers!$A$2:$F$201,5,0)</f>
        <v>Central</v>
      </c>
      <c r="U940" t="str">
        <f>VLOOKUP(Table1[[#This Row],[Customer ID]],Customers!$A$2:$F$201,6,0)</f>
        <v>Consumer</v>
      </c>
      <c r="V940" t="str">
        <f>TEXT(Table1[[#This Row],[Order Date]],"MMM")</f>
        <v>Aug</v>
      </c>
      <c r="W940" t="str">
        <f>TEXT(Table1[[#This Row],[Order Date]],"yyyy")</f>
        <v>2025</v>
      </c>
    </row>
    <row r="941" spans="1:23" x14ac:dyDescent="0.25">
      <c r="A941" s="2" t="s">
        <v>1187</v>
      </c>
      <c r="B941" s="4">
        <v>45874</v>
      </c>
      <c r="C941" s="2" t="s">
        <v>366</v>
      </c>
      <c r="D941" s="2" t="str">
        <f>TEXT(Table1[[#This Row],[Order Date]],"mmmm")</f>
        <v>August</v>
      </c>
      <c r="E941" s="2" t="s">
        <v>49</v>
      </c>
      <c r="F941" s="2">
        <v>2</v>
      </c>
      <c r="G941" s="5">
        <v>0.1</v>
      </c>
      <c r="H941" s="2" t="s">
        <v>25</v>
      </c>
      <c r="I941" s="2" t="s">
        <v>38</v>
      </c>
      <c r="J941" s="2" t="s">
        <v>21</v>
      </c>
      <c r="K941">
        <f>VLOOKUP(E941,Products!$A$2:$E$23,5,0)</f>
        <v>700</v>
      </c>
      <c r="L941">
        <f>VLOOKUP(E941,Products!$A$2:$E$23,4,0)</f>
        <v>450</v>
      </c>
      <c r="M941" s="2">
        <f>K941*F941-Table1[[#This Row],[discount_amount]]</f>
        <v>1260</v>
      </c>
      <c r="N941">
        <f t="shared" si="29"/>
        <v>900</v>
      </c>
      <c r="O941">
        <f t="shared" si="28"/>
        <v>360</v>
      </c>
      <c r="P941">
        <f>Table1[[#This Row],[Quantity]]*Table1[[#This Row],[unit_price]]*Table1[[#This Row],[Discount]]</f>
        <v>140</v>
      </c>
      <c r="Q941" t="str">
        <f>VLOOKUP(E941,Products!$A$2:$E$23,2,0)</f>
        <v>Wireless Mouse</v>
      </c>
      <c r="R941" t="str">
        <f>VLOOKUP(Table1[[#This Row],[Product ID]],Products!$A$2:$E$23,3,0)</f>
        <v>Electronics</v>
      </c>
      <c r="S941" t="str">
        <f>VLOOKUP(C941,Customers!$A$2:$F$201,4,0)</f>
        <v>Bihar</v>
      </c>
      <c r="T941" t="str">
        <f>VLOOKUP(Table1[[#This Row],[Customer ID]],Customers!$A$2:$F$201,5,0)</f>
        <v>East</v>
      </c>
      <c r="U941" t="str">
        <f>VLOOKUP(Table1[[#This Row],[Customer ID]],Customers!$A$2:$F$201,6,0)</f>
        <v>Home Office</v>
      </c>
      <c r="V941" t="str">
        <f>TEXT(Table1[[#This Row],[Order Date]],"MMM")</f>
        <v>Aug</v>
      </c>
      <c r="W941" t="str">
        <f>TEXT(Table1[[#This Row],[Order Date]],"yyyy")</f>
        <v>2025</v>
      </c>
    </row>
    <row r="942" spans="1:23" x14ac:dyDescent="0.25">
      <c r="A942" s="2" t="s">
        <v>1188</v>
      </c>
      <c r="B942" s="4">
        <v>45876</v>
      </c>
      <c r="C942" s="2" t="s">
        <v>783</v>
      </c>
      <c r="D942" s="2" t="str">
        <f>TEXT(Table1[[#This Row],[Order Date]],"mmmm")</f>
        <v>August</v>
      </c>
      <c r="E942" s="2" t="s">
        <v>29</v>
      </c>
      <c r="F942" s="2">
        <v>4</v>
      </c>
      <c r="G942" s="5">
        <v>0.05</v>
      </c>
      <c r="H942" s="2" t="s">
        <v>19</v>
      </c>
      <c r="I942" s="2" t="s">
        <v>38</v>
      </c>
      <c r="J942" s="2" t="s">
        <v>21</v>
      </c>
      <c r="K942">
        <f>VLOOKUP(E942,Products!$A$2:$E$23,5,0)</f>
        <v>599</v>
      </c>
      <c r="L942">
        <f>VLOOKUP(E942,Products!$A$2:$E$23,4,0)</f>
        <v>350</v>
      </c>
      <c r="M942" s="2">
        <f>K942*F942-Table1[[#This Row],[discount_amount]]</f>
        <v>2276.1999999999998</v>
      </c>
      <c r="N942">
        <f t="shared" si="29"/>
        <v>1400</v>
      </c>
      <c r="O942">
        <f t="shared" si="28"/>
        <v>876.19999999999982</v>
      </c>
      <c r="P942">
        <f>Table1[[#This Row],[Quantity]]*Table1[[#This Row],[unit_price]]*Table1[[#This Row],[Discount]]</f>
        <v>119.80000000000001</v>
      </c>
      <c r="Q942" t="str">
        <f>VLOOKUP(E942,Products!$A$2:$E$23,2,0)</f>
        <v>USB Flash Drive 64GB</v>
      </c>
      <c r="R942" t="str">
        <f>VLOOKUP(Table1[[#This Row],[Product ID]],Products!$A$2:$E$23,3,0)</f>
        <v>Electronics</v>
      </c>
      <c r="S942" t="str">
        <f>VLOOKUP(C942,Customers!$A$2:$F$201,4,0)</f>
        <v>Chandigarh</v>
      </c>
      <c r="T942" t="str">
        <f>VLOOKUP(Table1[[#This Row],[Customer ID]],Customers!$A$2:$F$201,5,0)</f>
        <v>North</v>
      </c>
      <c r="U942" t="str">
        <f>VLOOKUP(Table1[[#This Row],[Customer ID]],Customers!$A$2:$F$201,6,0)</f>
        <v>Consumer</v>
      </c>
      <c r="V942" t="str">
        <f>TEXT(Table1[[#This Row],[Order Date]],"MMM")</f>
        <v>Aug</v>
      </c>
      <c r="W942" t="str">
        <f>TEXT(Table1[[#This Row],[Order Date]],"yyyy")</f>
        <v>2025</v>
      </c>
    </row>
    <row r="943" spans="1:23" x14ac:dyDescent="0.25">
      <c r="A943" s="2" t="s">
        <v>1189</v>
      </c>
      <c r="B943" s="4">
        <v>45876</v>
      </c>
      <c r="C943" s="2" t="s">
        <v>228</v>
      </c>
      <c r="D943" s="2" t="str">
        <f>TEXT(Table1[[#This Row],[Order Date]],"mmmm")</f>
        <v>August</v>
      </c>
      <c r="E943" s="2" t="s">
        <v>118</v>
      </c>
      <c r="F943" s="2">
        <v>1</v>
      </c>
      <c r="G943" s="5">
        <v>0.1</v>
      </c>
      <c r="H943" s="2" t="s">
        <v>25</v>
      </c>
      <c r="I943" s="2" t="s">
        <v>38</v>
      </c>
      <c r="J943" s="2" t="s">
        <v>21</v>
      </c>
      <c r="K943">
        <f>VLOOKUP(E943,Products!$A$2:$E$23,5,0)</f>
        <v>150</v>
      </c>
      <c r="L943">
        <f>VLOOKUP(E943,Products!$A$2:$E$23,4,0)</f>
        <v>90</v>
      </c>
      <c r="M943" s="2">
        <f>K943*F943-Table1[[#This Row],[discount_amount]]</f>
        <v>135</v>
      </c>
      <c r="N943">
        <f t="shared" si="29"/>
        <v>90</v>
      </c>
      <c r="O943">
        <f t="shared" si="28"/>
        <v>45</v>
      </c>
      <c r="P943">
        <f>Table1[[#This Row],[Quantity]]*Table1[[#This Row],[unit_price]]*Table1[[#This Row],[Discount]]</f>
        <v>15</v>
      </c>
      <c r="Q943" t="str">
        <f>VLOOKUP(E943,Products!$A$2:$E$23,2,0)</f>
        <v>Gel Pen Box</v>
      </c>
      <c r="R943" t="str">
        <f>VLOOKUP(Table1[[#This Row],[Product ID]],Products!$A$2:$E$23,3,0)</f>
        <v>Office Supplies</v>
      </c>
      <c r="S943" t="str">
        <f>VLOOKUP(C943,Customers!$A$2:$F$201,4,0)</f>
        <v>Odisha</v>
      </c>
      <c r="T943" t="str">
        <f>VLOOKUP(Table1[[#This Row],[Customer ID]],Customers!$A$2:$F$201,5,0)</f>
        <v>East</v>
      </c>
      <c r="U943" t="str">
        <f>VLOOKUP(Table1[[#This Row],[Customer ID]],Customers!$A$2:$F$201,6,0)</f>
        <v>Consumer</v>
      </c>
      <c r="V943" t="str">
        <f>TEXT(Table1[[#This Row],[Order Date]],"MMM")</f>
        <v>Aug</v>
      </c>
      <c r="W943" t="str">
        <f>TEXT(Table1[[#This Row],[Order Date]],"yyyy")</f>
        <v>2025</v>
      </c>
    </row>
    <row r="944" spans="1:23" x14ac:dyDescent="0.25">
      <c r="A944" s="2" t="s">
        <v>1190</v>
      </c>
      <c r="B944" s="4">
        <v>45877</v>
      </c>
      <c r="C944" s="2" t="s">
        <v>347</v>
      </c>
      <c r="D944" s="2" t="str">
        <f>TEXT(Table1[[#This Row],[Order Date]],"mmmm")</f>
        <v>August</v>
      </c>
      <c r="E944" s="2" t="s">
        <v>57</v>
      </c>
      <c r="F944" s="2">
        <v>10</v>
      </c>
      <c r="G944" s="5">
        <v>0.2</v>
      </c>
      <c r="H944" s="2" t="s">
        <v>25</v>
      </c>
      <c r="I944" s="2" t="s">
        <v>31</v>
      </c>
      <c r="J944" s="2" t="s">
        <v>21</v>
      </c>
      <c r="K944">
        <f>VLOOKUP(E944,Products!$A$2:$E$23,5,0)</f>
        <v>1599</v>
      </c>
      <c r="L944">
        <f>VLOOKUP(E944,Products!$A$2:$E$23,4,0)</f>
        <v>800</v>
      </c>
      <c r="M944" s="2">
        <f>K944*F944-Table1[[#This Row],[discount_amount]]</f>
        <v>12792</v>
      </c>
      <c r="N944">
        <f t="shared" si="29"/>
        <v>8000</v>
      </c>
      <c r="O944">
        <f t="shared" si="28"/>
        <v>4792</v>
      </c>
      <c r="P944">
        <f>Table1[[#This Row],[Quantity]]*Table1[[#This Row],[unit_price]]*Table1[[#This Row],[Discount]]</f>
        <v>3198</v>
      </c>
      <c r="Q944" t="str">
        <f>VLOOKUP(E944,Products!$A$2:$E$23,2,0)</f>
        <v>Hoodie</v>
      </c>
      <c r="R944" t="str">
        <f>VLOOKUP(Table1[[#This Row],[Product ID]],Products!$A$2:$E$23,3,0)</f>
        <v>Clothing</v>
      </c>
      <c r="S944" t="str">
        <f>VLOOKUP(C944,Customers!$A$2:$F$201,4,0)</f>
        <v>Madhya Pradesh</v>
      </c>
      <c r="T944" t="str">
        <f>VLOOKUP(Table1[[#This Row],[Customer ID]],Customers!$A$2:$F$201,5,0)</f>
        <v>Central</v>
      </c>
      <c r="U944" t="str">
        <f>VLOOKUP(Table1[[#This Row],[Customer ID]],Customers!$A$2:$F$201,6,0)</f>
        <v>Home Office</v>
      </c>
      <c r="V944" t="str">
        <f>TEXT(Table1[[#This Row],[Order Date]],"MMM")</f>
        <v>Aug</v>
      </c>
      <c r="W944" t="str">
        <f>TEXT(Table1[[#This Row],[Order Date]],"yyyy")</f>
        <v>2025</v>
      </c>
    </row>
    <row r="945" spans="1:23" x14ac:dyDescent="0.25">
      <c r="A945" s="2" t="s">
        <v>1191</v>
      </c>
      <c r="B945" s="4">
        <v>45877</v>
      </c>
      <c r="C945" s="2" t="s">
        <v>108</v>
      </c>
      <c r="D945" s="2" t="str">
        <f>TEXT(Table1[[#This Row],[Order Date]],"mmmm")</f>
        <v>August</v>
      </c>
      <c r="E945" s="2" t="s">
        <v>34</v>
      </c>
      <c r="F945" s="2">
        <v>4</v>
      </c>
      <c r="G945" s="5">
        <v>0.15</v>
      </c>
      <c r="H945" s="2" t="s">
        <v>19</v>
      </c>
      <c r="I945" s="2" t="s">
        <v>31</v>
      </c>
      <c r="J945" s="2" t="s">
        <v>21</v>
      </c>
      <c r="K945">
        <f>VLOOKUP(E945,Products!$A$2:$E$23,5,0)</f>
        <v>4599</v>
      </c>
      <c r="L945">
        <f>VLOOKUP(E945,Products!$A$2:$E$23,4,0)</f>
        <v>3000</v>
      </c>
      <c r="M945" s="2">
        <f>K945*F945-Table1[[#This Row],[discount_amount]]</f>
        <v>15636.6</v>
      </c>
      <c r="N945">
        <f t="shared" si="29"/>
        <v>12000</v>
      </c>
      <c r="O945">
        <f t="shared" si="28"/>
        <v>3636.6000000000004</v>
      </c>
      <c r="P945">
        <f>Table1[[#This Row],[Quantity]]*Table1[[#This Row],[unit_price]]*Table1[[#This Row],[Discount]]</f>
        <v>2759.4</v>
      </c>
      <c r="Q945" t="str">
        <f>VLOOKUP(E945,Products!$A$2:$E$23,2,0)</f>
        <v>Filing Cabinet</v>
      </c>
      <c r="R945" t="str">
        <f>VLOOKUP(Table1[[#This Row],[Product ID]],Products!$A$2:$E$23,3,0)</f>
        <v>Furniture</v>
      </c>
      <c r="S945" t="str">
        <f>VLOOKUP(C945,Customers!$A$2:$F$201,4,0)</f>
        <v>West Bengal</v>
      </c>
      <c r="T945" t="str">
        <f>VLOOKUP(Table1[[#This Row],[Customer ID]],Customers!$A$2:$F$201,5,0)</f>
        <v>East</v>
      </c>
      <c r="U945" t="str">
        <f>VLOOKUP(Table1[[#This Row],[Customer ID]],Customers!$A$2:$F$201,6,0)</f>
        <v>Corporate</v>
      </c>
      <c r="V945" t="str">
        <f>TEXT(Table1[[#This Row],[Order Date]],"MMM")</f>
        <v>Aug</v>
      </c>
      <c r="W945" t="str">
        <f>TEXT(Table1[[#This Row],[Order Date]],"yyyy")</f>
        <v>2025</v>
      </c>
    </row>
    <row r="946" spans="1:23" x14ac:dyDescent="0.25">
      <c r="A946" s="2" t="s">
        <v>1192</v>
      </c>
      <c r="B946" s="4">
        <v>45877</v>
      </c>
      <c r="C946" s="2" t="s">
        <v>140</v>
      </c>
      <c r="D946" s="2" t="str">
        <f>TEXT(Table1[[#This Row],[Order Date]],"mmmm")</f>
        <v>August</v>
      </c>
      <c r="E946" s="2" t="s">
        <v>37</v>
      </c>
      <c r="F946" s="2">
        <v>5</v>
      </c>
      <c r="G946" s="5">
        <v>0.05</v>
      </c>
      <c r="H946" s="2" t="s">
        <v>25</v>
      </c>
      <c r="I946" s="2" t="s">
        <v>31</v>
      </c>
      <c r="J946" s="2" t="s">
        <v>21</v>
      </c>
      <c r="K946">
        <f>VLOOKUP(E946,Products!$A$2:$E$23,5,0)</f>
        <v>1799</v>
      </c>
      <c r="L946">
        <f>VLOOKUP(E946,Products!$A$2:$E$23,4,0)</f>
        <v>900</v>
      </c>
      <c r="M946" s="2">
        <f>K946*F946-Table1[[#This Row],[discount_amount]]</f>
        <v>8545.25</v>
      </c>
      <c r="N946">
        <f t="shared" si="29"/>
        <v>4500</v>
      </c>
      <c r="O946">
        <f t="shared" si="28"/>
        <v>4045.25</v>
      </c>
      <c r="P946">
        <f>Table1[[#This Row],[Quantity]]*Table1[[#This Row],[unit_price]]*Table1[[#This Row],[Discount]]</f>
        <v>449.75</v>
      </c>
      <c r="Q946" t="str">
        <f>VLOOKUP(E946,Products!$A$2:$E$23,2,0)</f>
        <v>Denim Jeans</v>
      </c>
      <c r="R946" t="str">
        <f>VLOOKUP(Table1[[#This Row],[Product ID]],Products!$A$2:$E$23,3,0)</f>
        <v>Clothing</v>
      </c>
      <c r="S946" t="str">
        <f>VLOOKUP(C946,Customers!$A$2:$F$201,4,0)</f>
        <v>Gujarat</v>
      </c>
      <c r="T946" t="str">
        <f>VLOOKUP(Table1[[#This Row],[Customer ID]],Customers!$A$2:$F$201,5,0)</f>
        <v>West</v>
      </c>
      <c r="U946" t="str">
        <f>VLOOKUP(Table1[[#This Row],[Customer ID]],Customers!$A$2:$F$201,6,0)</f>
        <v>Consumer</v>
      </c>
      <c r="V946" t="str">
        <f>TEXT(Table1[[#This Row],[Order Date]],"MMM")</f>
        <v>Aug</v>
      </c>
      <c r="W946" t="str">
        <f>TEXT(Table1[[#This Row],[Order Date]],"yyyy")</f>
        <v>2025</v>
      </c>
    </row>
    <row r="947" spans="1:23" x14ac:dyDescent="0.25">
      <c r="A947" s="2" t="s">
        <v>1193</v>
      </c>
      <c r="B947" s="4">
        <v>45879</v>
      </c>
      <c r="C947" s="2" t="s">
        <v>713</v>
      </c>
      <c r="D947" s="2" t="str">
        <f>TEXT(Table1[[#This Row],[Order Date]],"mmmm")</f>
        <v>August</v>
      </c>
      <c r="E947" s="2" t="s">
        <v>37</v>
      </c>
      <c r="F947" s="2">
        <v>6</v>
      </c>
      <c r="G947" s="5">
        <v>0.1</v>
      </c>
      <c r="H947" s="2" t="s">
        <v>25</v>
      </c>
      <c r="I947" s="2" t="s">
        <v>20</v>
      </c>
      <c r="J947" s="2" t="s">
        <v>79</v>
      </c>
      <c r="K947">
        <f>VLOOKUP(E947,Products!$A$2:$E$23,5,0)</f>
        <v>1799</v>
      </c>
      <c r="L947">
        <f>VLOOKUP(E947,Products!$A$2:$E$23,4,0)</f>
        <v>900</v>
      </c>
      <c r="M947" s="2">
        <f>K947*F947-Table1[[#This Row],[discount_amount]]</f>
        <v>9714.6</v>
      </c>
      <c r="N947">
        <f t="shared" si="29"/>
        <v>5400</v>
      </c>
      <c r="O947">
        <f t="shared" si="28"/>
        <v>4314.6000000000004</v>
      </c>
      <c r="P947">
        <f>Table1[[#This Row],[Quantity]]*Table1[[#This Row],[unit_price]]*Table1[[#This Row],[Discount]]</f>
        <v>1079.4000000000001</v>
      </c>
      <c r="Q947" t="str">
        <f>VLOOKUP(E947,Products!$A$2:$E$23,2,0)</f>
        <v>Denim Jeans</v>
      </c>
      <c r="R947" t="str">
        <f>VLOOKUP(Table1[[#This Row],[Product ID]],Products!$A$2:$E$23,3,0)</f>
        <v>Clothing</v>
      </c>
      <c r="S947" t="str">
        <f>VLOOKUP(C947,Customers!$A$2:$F$201,4,0)</f>
        <v>Gujarat</v>
      </c>
      <c r="T947" t="str">
        <f>VLOOKUP(Table1[[#This Row],[Customer ID]],Customers!$A$2:$F$201,5,0)</f>
        <v>West</v>
      </c>
      <c r="U947" t="str">
        <f>VLOOKUP(Table1[[#This Row],[Customer ID]],Customers!$A$2:$F$201,6,0)</f>
        <v>Consumer</v>
      </c>
      <c r="V947" t="str">
        <f>TEXT(Table1[[#This Row],[Order Date]],"MMM")</f>
        <v>Aug</v>
      </c>
      <c r="W947" t="str">
        <f>TEXT(Table1[[#This Row],[Order Date]],"yyyy")</f>
        <v>2025</v>
      </c>
    </row>
    <row r="948" spans="1:23" x14ac:dyDescent="0.25">
      <c r="A948" s="2" t="s">
        <v>1194</v>
      </c>
      <c r="B948" s="4">
        <v>45879</v>
      </c>
      <c r="C948" s="2" t="s">
        <v>407</v>
      </c>
      <c r="D948" s="2" t="str">
        <f>TEXT(Table1[[#This Row],[Order Date]],"mmmm")</f>
        <v>August</v>
      </c>
      <c r="E948" s="2" t="s">
        <v>63</v>
      </c>
      <c r="F948" s="2">
        <v>1</v>
      </c>
      <c r="G948" s="5">
        <v>0</v>
      </c>
      <c r="H948" s="2" t="s">
        <v>25</v>
      </c>
      <c r="I948" s="2" t="s">
        <v>46</v>
      </c>
      <c r="J948" s="2" t="s">
        <v>21</v>
      </c>
      <c r="K948">
        <f>VLOOKUP(E948,Products!$A$2:$E$23,5,0)</f>
        <v>5499</v>
      </c>
      <c r="L948">
        <f>VLOOKUP(E948,Products!$A$2:$E$23,4,0)</f>
        <v>3500</v>
      </c>
      <c r="M948" s="2">
        <f>K948*F948-Table1[[#This Row],[discount_amount]]</f>
        <v>5499</v>
      </c>
      <c r="N948">
        <f t="shared" si="29"/>
        <v>3500</v>
      </c>
      <c r="O948">
        <f t="shared" si="28"/>
        <v>1999</v>
      </c>
      <c r="P948">
        <f>Table1[[#This Row],[Quantity]]*Table1[[#This Row],[unit_price]]*Table1[[#This Row],[Discount]]</f>
        <v>0</v>
      </c>
      <c r="Q948" t="str">
        <f>VLOOKUP(E948,Products!$A$2:$E$23,2,0)</f>
        <v>Office Chair</v>
      </c>
      <c r="R948" t="str">
        <f>VLOOKUP(Table1[[#This Row],[Product ID]],Products!$A$2:$E$23,3,0)</f>
        <v>Furniture</v>
      </c>
      <c r="S948" t="str">
        <f>VLOOKUP(C948,Customers!$A$2:$F$201,4,0)</f>
        <v>Maharashtra</v>
      </c>
      <c r="T948" t="str">
        <f>VLOOKUP(Table1[[#This Row],[Customer ID]],Customers!$A$2:$F$201,5,0)</f>
        <v>West</v>
      </c>
      <c r="U948" t="str">
        <f>VLOOKUP(Table1[[#This Row],[Customer ID]],Customers!$A$2:$F$201,6,0)</f>
        <v>Consumer</v>
      </c>
      <c r="V948" t="str">
        <f>TEXT(Table1[[#This Row],[Order Date]],"MMM")</f>
        <v>Aug</v>
      </c>
      <c r="W948" t="str">
        <f>TEXT(Table1[[#This Row],[Order Date]],"yyyy")</f>
        <v>2025</v>
      </c>
    </row>
    <row r="949" spans="1:23" x14ac:dyDescent="0.25">
      <c r="A949" s="2" t="s">
        <v>1195</v>
      </c>
      <c r="B949" s="4">
        <v>45879</v>
      </c>
      <c r="C949" s="2" t="s">
        <v>591</v>
      </c>
      <c r="D949" s="2" t="str">
        <f>TEXT(Table1[[#This Row],[Order Date]],"mmmm")</f>
        <v>August</v>
      </c>
      <c r="E949" s="2" t="s">
        <v>60</v>
      </c>
      <c r="F949" s="2">
        <v>3</v>
      </c>
      <c r="G949" s="5">
        <v>0</v>
      </c>
      <c r="H949" s="2" t="s">
        <v>19</v>
      </c>
      <c r="I949" s="2" t="s">
        <v>31</v>
      </c>
      <c r="J949" s="2" t="s">
        <v>21</v>
      </c>
      <c r="K949">
        <f>VLOOKUP(E949,Products!$A$2:$E$23,5,0)</f>
        <v>449</v>
      </c>
      <c r="L949">
        <f>VLOOKUP(E949,Products!$A$2:$E$23,4,0)</f>
        <v>260</v>
      </c>
      <c r="M949" s="2">
        <f>K949*F949-Table1[[#This Row],[discount_amount]]</f>
        <v>1347</v>
      </c>
      <c r="N949">
        <f t="shared" si="29"/>
        <v>780</v>
      </c>
      <c r="O949">
        <f t="shared" si="28"/>
        <v>567</v>
      </c>
      <c r="P949">
        <f>Table1[[#This Row],[Quantity]]*Table1[[#This Row],[unit_price]]*Table1[[#This Row],[Discount]]</f>
        <v>0</v>
      </c>
      <c r="Q949" t="str">
        <f>VLOOKUP(E949,Products!$A$2:$E$23,2,0)</f>
        <v>Desk Organizer</v>
      </c>
      <c r="R949" t="str">
        <f>VLOOKUP(Table1[[#This Row],[Product ID]],Products!$A$2:$E$23,3,0)</f>
        <v>Office Supplies</v>
      </c>
      <c r="S949" t="str">
        <f>VLOOKUP(C949,Customers!$A$2:$F$201,4,0)</f>
        <v>West Bengal</v>
      </c>
      <c r="T949" t="str">
        <f>VLOOKUP(Table1[[#This Row],[Customer ID]],Customers!$A$2:$F$201,5,0)</f>
        <v>East</v>
      </c>
      <c r="U949" t="str">
        <f>VLOOKUP(Table1[[#This Row],[Customer ID]],Customers!$A$2:$F$201,6,0)</f>
        <v>Corporate</v>
      </c>
      <c r="V949" t="str">
        <f>TEXT(Table1[[#This Row],[Order Date]],"MMM")</f>
        <v>Aug</v>
      </c>
      <c r="W949" t="str">
        <f>TEXT(Table1[[#This Row],[Order Date]],"yyyy")</f>
        <v>2025</v>
      </c>
    </row>
    <row r="950" spans="1:23" x14ac:dyDescent="0.25">
      <c r="A950" s="2" t="s">
        <v>1196</v>
      </c>
      <c r="B950" s="4">
        <v>45880</v>
      </c>
      <c r="C950" s="2" t="s">
        <v>333</v>
      </c>
      <c r="D950" s="2" t="str">
        <f>TEXT(Table1[[#This Row],[Order Date]],"mmmm")</f>
        <v>August</v>
      </c>
      <c r="E950" s="2" t="s">
        <v>24</v>
      </c>
      <c r="F950" s="2">
        <v>2</v>
      </c>
      <c r="G950" s="5">
        <v>0</v>
      </c>
      <c r="H950" s="2" t="s">
        <v>25</v>
      </c>
      <c r="I950" s="2" t="s">
        <v>31</v>
      </c>
      <c r="J950" s="2" t="s">
        <v>79</v>
      </c>
      <c r="K950">
        <f>VLOOKUP(E950,Products!$A$2:$E$23,5,0)</f>
        <v>899</v>
      </c>
      <c r="L950">
        <f>VLOOKUP(E950,Products!$A$2:$E$23,4,0)</f>
        <v>500</v>
      </c>
      <c r="M950" s="2">
        <f>K950*F950-Table1[[#This Row],[discount_amount]]</f>
        <v>1798</v>
      </c>
      <c r="N950">
        <f t="shared" si="29"/>
        <v>1000</v>
      </c>
      <c r="O950">
        <f t="shared" si="28"/>
        <v>798</v>
      </c>
      <c r="P950">
        <f>Table1[[#This Row],[Quantity]]*Table1[[#This Row],[unit_price]]*Table1[[#This Row],[Discount]]</f>
        <v>0</v>
      </c>
      <c r="Q950" t="str">
        <f>VLOOKUP(E950,Products!$A$2:$E$23,2,0)</f>
        <v>Monitor Stand</v>
      </c>
      <c r="R950" t="str">
        <f>VLOOKUP(Table1[[#This Row],[Product ID]],Products!$A$2:$E$23,3,0)</f>
        <v>Furniture</v>
      </c>
      <c r="S950" t="str">
        <f>VLOOKUP(C950,Customers!$A$2:$F$201,4,0)</f>
        <v>Rajasthan</v>
      </c>
      <c r="T950" t="str">
        <f>VLOOKUP(Table1[[#This Row],[Customer ID]],Customers!$A$2:$F$201,5,0)</f>
        <v>North</v>
      </c>
      <c r="U950" t="str">
        <f>VLOOKUP(Table1[[#This Row],[Customer ID]],Customers!$A$2:$F$201,6,0)</f>
        <v>Corporate</v>
      </c>
      <c r="V950" t="str">
        <f>TEXT(Table1[[#This Row],[Order Date]],"MMM")</f>
        <v>Aug</v>
      </c>
      <c r="W950" t="str">
        <f>TEXT(Table1[[#This Row],[Order Date]],"yyyy")</f>
        <v>2025</v>
      </c>
    </row>
    <row r="951" spans="1:23" x14ac:dyDescent="0.25">
      <c r="A951" s="2" t="s">
        <v>1197</v>
      </c>
      <c r="B951" s="4">
        <v>45880</v>
      </c>
      <c r="C951" s="2" t="s">
        <v>221</v>
      </c>
      <c r="D951" s="2" t="str">
        <f>TEXT(Table1[[#This Row],[Order Date]],"mmmm")</f>
        <v>August</v>
      </c>
      <c r="E951" s="2" t="s">
        <v>18</v>
      </c>
      <c r="F951" s="2">
        <v>3</v>
      </c>
      <c r="G951" s="5">
        <v>0.1</v>
      </c>
      <c r="H951" s="2" t="s">
        <v>30</v>
      </c>
      <c r="I951" s="2" t="s">
        <v>38</v>
      </c>
      <c r="J951" s="2" t="s">
        <v>42</v>
      </c>
      <c r="K951">
        <f>VLOOKUP(E951,Products!$A$2:$E$23,5,0)</f>
        <v>4299</v>
      </c>
      <c r="L951">
        <f>VLOOKUP(E951,Products!$A$2:$E$23,4,0)</f>
        <v>2800</v>
      </c>
      <c r="M951" s="2">
        <f>K951*F951-Table1[[#This Row],[discount_amount]]</f>
        <v>11607.3</v>
      </c>
      <c r="N951">
        <f t="shared" si="29"/>
        <v>8400</v>
      </c>
      <c r="O951">
        <f t="shared" si="28"/>
        <v>3207.2999999999993</v>
      </c>
      <c r="P951">
        <f>Table1[[#This Row],[Quantity]]*Table1[[#This Row],[unit_price]]*Table1[[#This Row],[Discount]]</f>
        <v>1289.7</v>
      </c>
      <c r="Q951" t="str">
        <f>VLOOKUP(E951,Products!$A$2:$E$23,2,0)</f>
        <v>Bookshelf</v>
      </c>
      <c r="R951" t="str">
        <f>VLOOKUP(Table1[[#This Row],[Product ID]],Products!$A$2:$E$23,3,0)</f>
        <v>Furniture</v>
      </c>
      <c r="S951" t="str">
        <f>VLOOKUP(C951,Customers!$A$2:$F$201,4,0)</f>
        <v>Madhya Pradesh</v>
      </c>
      <c r="T951" t="str">
        <f>VLOOKUP(Table1[[#This Row],[Customer ID]],Customers!$A$2:$F$201,5,0)</f>
        <v>Central</v>
      </c>
      <c r="U951" t="str">
        <f>VLOOKUP(Table1[[#This Row],[Customer ID]],Customers!$A$2:$F$201,6,0)</f>
        <v>Home Office</v>
      </c>
      <c r="V951" t="str">
        <f>TEXT(Table1[[#This Row],[Order Date]],"MMM")</f>
        <v>Aug</v>
      </c>
      <c r="W951" t="str">
        <f>TEXT(Table1[[#This Row],[Order Date]],"yyyy")</f>
        <v>2025</v>
      </c>
    </row>
    <row r="952" spans="1:23" x14ac:dyDescent="0.25">
      <c r="A952" s="2" t="s">
        <v>1198</v>
      </c>
      <c r="B952" s="4">
        <v>45881</v>
      </c>
      <c r="C952" s="2" t="s">
        <v>237</v>
      </c>
      <c r="D952" s="2" t="str">
        <f>TEXT(Table1[[#This Row],[Order Date]],"mmmm")</f>
        <v>August</v>
      </c>
      <c r="E952" s="2" t="s">
        <v>41</v>
      </c>
      <c r="F952" s="2">
        <v>10</v>
      </c>
      <c r="G952" s="5">
        <v>0</v>
      </c>
      <c r="H952" s="2" t="s">
        <v>25</v>
      </c>
      <c r="I952" s="2" t="s">
        <v>38</v>
      </c>
      <c r="J952" s="2" t="s">
        <v>21</v>
      </c>
      <c r="K952">
        <f>VLOOKUP(E952,Products!$A$2:$E$23,5,0)</f>
        <v>320</v>
      </c>
      <c r="L952">
        <f>VLOOKUP(E952,Products!$A$2:$E$23,4,0)</f>
        <v>220</v>
      </c>
      <c r="M952" s="2">
        <f>K952*F952-Table1[[#This Row],[discount_amount]]</f>
        <v>3200</v>
      </c>
      <c r="N952">
        <f t="shared" si="29"/>
        <v>2200</v>
      </c>
      <c r="O952">
        <f t="shared" si="28"/>
        <v>1000</v>
      </c>
      <c r="P952">
        <f>Table1[[#This Row],[Quantity]]*Table1[[#This Row],[unit_price]]*Table1[[#This Row],[Discount]]</f>
        <v>0</v>
      </c>
      <c r="Q952" t="str">
        <f>VLOOKUP(E952,Products!$A$2:$E$23,2,0)</f>
        <v>A4 Paper Ream</v>
      </c>
      <c r="R952" t="str">
        <f>VLOOKUP(Table1[[#This Row],[Product ID]],Products!$A$2:$E$23,3,0)</f>
        <v>Office Supplies</v>
      </c>
      <c r="S952" t="str">
        <f>VLOOKUP(C952,Customers!$A$2:$F$201,4,0)</f>
        <v>Madhya Pradesh</v>
      </c>
      <c r="T952" t="str">
        <f>VLOOKUP(Table1[[#This Row],[Customer ID]],Customers!$A$2:$F$201,5,0)</f>
        <v>Central</v>
      </c>
      <c r="U952" t="str">
        <f>VLOOKUP(Table1[[#This Row],[Customer ID]],Customers!$A$2:$F$201,6,0)</f>
        <v>Consumer</v>
      </c>
      <c r="V952" t="str">
        <f>TEXT(Table1[[#This Row],[Order Date]],"MMM")</f>
        <v>Aug</v>
      </c>
      <c r="W952" t="str">
        <f>TEXT(Table1[[#This Row],[Order Date]],"yyyy")</f>
        <v>2025</v>
      </c>
    </row>
    <row r="953" spans="1:23" x14ac:dyDescent="0.25">
      <c r="A953" s="2" t="s">
        <v>1199</v>
      </c>
      <c r="B953" s="4">
        <v>45881</v>
      </c>
      <c r="C953" s="2" t="s">
        <v>171</v>
      </c>
      <c r="D953" s="2" t="str">
        <f>TEXT(Table1[[#This Row],[Order Date]],"mmmm")</f>
        <v>August</v>
      </c>
      <c r="E953" s="2" t="s">
        <v>54</v>
      </c>
      <c r="F953" s="2">
        <v>1</v>
      </c>
      <c r="G953" s="5">
        <v>0.05</v>
      </c>
      <c r="H953" s="2" t="s">
        <v>25</v>
      </c>
      <c r="I953" s="2" t="s">
        <v>31</v>
      </c>
      <c r="J953" s="2" t="s">
        <v>42</v>
      </c>
      <c r="K953">
        <f>VLOOKUP(E953,Products!$A$2:$E$23,5,0)</f>
        <v>299</v>
      </c>
      <c r="L953">
        <f>VLOOKUP(E953,Products!$A$2:$E$23,4,0)</f>
        <v>180</v>
      </c>
      <c r="M953" s="2">
        <f>K953*F953-Table1[[#This Row],[discount_amount]]</f>
        <v>284.05</v>
      </c>
      <c r="N953">
        <f t="shared" si="29"/>
        <v>180</v>
      </c>
      <c r="O953">
        <f t="shared" si="28"/>
        <v>104.05000000000001</v>
      </c>
      <c r="P953">
        <f>Table1[[#This Row],[Quantity]]*Table1[[#This Row],[unit_price]]*Table1[[#This Row],[Discount]]</f>
        <v>14.950000000000001</v>
      </c>
      <c r="Q953" t="str">
        <f>VLOOKUP(E953,Products!$A$2:$E$23,2,0)</f>
        <v>Notebook Pack of 5</v>
      </c>
      <c r="R953" t="str">
        <f>VLOOKUP(Table1[[#This Row],[Product ID]],Products!$A$2:$E$23,3,0)</f>
        <v>Office Supplies</v>
      </c>
      <c r="S953" t="str">
        <f>VLOOKUP(C953,Customers!$A$2:$F$201,4,0)</f>
        <v>Delhi</v>
      </c>
      <c r="T953" t="str">
        <f>VLOOKUP(Table1[[#This Row],[Customer ID]],Customers!$A$2:$F$201,5,0)</f>
        <v>North</v>
      </c>
      <c r="U953" t="str">
        <f>VLOOKUP(Table1[[#This Row],[Customer ID]],Customers!$A$2:$F$201,6,0)</f>
        <v>Consumer</v>
      </c>
      <c r="V953" t="str">
        <f>TEXT(Table1[[#This Row],[Order Date]],"MMM")</f>
        <v>Aug</v>
      </c>
      <c r="W953" t="str">
        <f>TEXT(Table1[[#This Row],[Order Date]],"yyyy")</f>
        <v>2025</v>
      </c>
    </row>
    <row r="954" spans="1:23" x14ac:dyDescent="0.25">
      <c r="A954" s="2" t="s">
        <v>1200</v>
      </c>
      <c r="B954" s="4">
        <v>45882</v>
      </c>
      <c r="C954" s="2" t="s">
        <v>347</v>
      </c>
      <c r="D954" s="2" t="str">
        <f>TEXT(Table1[[#This Row],[Order Date]],"mmmm")</f>
        <v>August</v>
      </c>
      <c r="E954" s="2" t="s">
        <v>91</v>
      </c>
      <c r="F954" s="2">
        <v>10</v>
      </c>
      <c r="G954" s="5">
        <v>0.1</v>
      </c>
      <c r="H954" s="2" t="s">
        <v>19</v>
      </c>
      <c r="I954" s="2" t="s">
        <v>26</v>
      </c>
      <c r="J954" s="2" t="s">
        <v>21</v>
      </c>
      <c r="K954">
        <f>VLOOKUP(E954,Products!$A$2:$E$23,5,0)</f>
        <v>1199</v>
      </c>
      <c r="L954">
        <f>VLOOKUP(E954,Products!$A$2:$E$23,4,0)</f>
        <v>600</v>
      </c>
      <c r="M954" s="2">
        <f>K954*F954-Table1[[#This Row],[discount_amount]]</f>
        <v>10791</v>
      </c>
      <c r="N954">
        <f t="shared" si="29"/>
        <v>6000</v>
      </c>
      <c r="O954">
        <f t="shared" si="28"/>
        <v>4791</v>
      </c>
      <c r="P954">
        <f>Table1[[#This Row],[Quantity]]*Table1[[#This Row],[unit_price]]*Table1[[#This Row],[Discount]]</f>
        <v>1199</v>
      </c>
      <c r="Q954" t="str">
        <f>VLOOKUP(E954,Products!$A$2:$E$23,2,0)</f>
        <v>Formal Shirt</v>
      </c>
      <c r="R954" t="str">
        <f>VLOOKUP(Table1[[#This Row],[Product ID]],Products!$A$2:$E$23,3,0)</f>
        <v>Clothing</v>
      </c>
      <c r="S954" t="str">
        <f>VLOOKUP(C954,Customers!$A$2:$F$201,4,0)</f>
        <v>Madhya Pradesh</v>
      </c>
      <c r="T954" t="str">
        <f>VLOOKUP(Table1[[#This Row],[Customer ID]],Customers!$A$2:$F$201,5,0)</f>
        <v>Central</v>
      </c>
      <c r="U954" t="str">
        <f>VLOOKUP(Table1[[#This Row],[Customer ID]],Customers!$A$2:$F$201,6,0)</f>
        <v>Home Office</v>
      </c>
      <c r="V954" t="str">
        <f>TEXT(Table1[[#This Row],[Order Date]],"MMM")</f>
        <v>Aug</v>
      </c>
      <c r="W954" t="str">
        <f>TEXT(Table1[[#This Row],[Order Date]],"yyyy")</f>
        <v>2025</v>
      </c>
    </row>
    <row r="955" spans="1:23" x14ac:dyDescent="0.25">
      <c r="A955" s="2" t="s">
        <v>1201</v>
      </c>
      <c r="B955" s="4">
        <v>45882</v>
      </c>
      <c r="C955" s="2" t="s">
        <v>36</v>
      </c>
      <c r="D955" s="2" t="str">
        <f>TEXT(Table1[[#This Row],[Order Date]],"mmmm")</f>
        <v>August</v>
      </c>
      <c r="E955" s="2" t="s">
        <v>45</v>
      </c>
      <c r="F955" s="2">
        <v>2</v>
      </c>
      <c r="G955" s="5">
        <v>0.1</v>
      </c>
      <c r="H955" s="2" t="s">
        <v>30</v>
      </c>
      <c r="I955" s="2" t="s">
        <v>38</v>
      </c>
      <c r="J955" s="2" t="s">
        <v>21</v>
      </c>
      <c r="K955">
        <f>VLOOKUP(E955,Products!$A$2:$E$23,5,0)</f>
        <v>899</v>
      </c>
      <c r="L955">
        <f>VLOOKUP(E955,Products!$A$2:$E$23,4,0)</f>
        <v>450</v>
      </c>
      <c r="M955" s="2">
        <f>K955*F955-Table1[[#This Row],[discount_amount]]</f>
        <v>1618.2</v>
      </c>
      <c r="N955">
        <f t="shared" si="29"/>
        <v>900</v>
      </c>
      <c r="O955">
        <f t="shared" si="28"/>
        <v>718.2</v>
      </c>
      <c r="P955">
        <f>Table1[[#This Row],[Quantity]]*Table1[[#This Row],[unit_price]]*Table1[[#This Row],[Discount]]</f>
        <v>179.8</v>
      </c>
      <c r="Q955" t="str">
        <f>VLOOKUP(E955,Products!$A$2:$E$23,2,0)</f>
        <v>Track Pants</v>
      </c>
      <c r="R955" t="str">
        <f>VLOOKUP(Table1[[#This Row],[Product ID]],Products!$A$2:$E$23,3,0)</f>
        <v>Clothing</v>
      </c>
      <c r="S955" t="str">
        <f>VLOOKUP(C955,Customers!$A$2:$F$201,4,0)</f>
        <v>Gujarat</v>
      </c>
      <c r="T955" t="str">
        <f>VLOOKUP(Table1[[#This Row],[Customer ID]],Customers!$A$2:$F$201,5,0)</f>
        <v>West</v>
      </c>
      <c r="U955" t="str">
        <f>VLOOKUP(Table1[[#This Row],[Customer ID]],Customers!$A$2:$F$201,6,0)</f>
        <v>Consumer</v>
      </c>
      <c r="V955" t="str">
        <f>TEXT(Table1[[#This Row],[Order Date]],"MMM")</f>
        <v>Aug</v>
      </c>
      <c r="W955" t="str">
        <f>TEXT(Table1[[#This Row],[Order Date]],"yyyy")</f>
        <v>2025</v>
      </c>
    </row>
    <row r="956" spans="1:23" x14ac:dyDescent="0.25">
      <c r="A956" s="2" t="s">
        <v>1202</v>
      </c>
      <c r="B956" s="4">
        <v>45883</v>
      </c>
      <c r="C956" s="2" t="s">
        <v>86</v>
      </c>
      <c r="D956" s="2" t="str">
        <f>TEXT(Table1[[#This Row],[Order Date]],"mmmm")</f>
        <v>August</v>
      </c>
      <c r="E956" s="2" t="s">
        <v>24</v>
      </c>
      <c r="F956" s="2">
        <v>2</v>
      </c>
      <c r="G956" s="5">
        <v>0.1</v>
      </c>
      <c r="H956" s="2" t="s">
        <v>30</v>
      </c>
      <c r="I956" s="2" t="s">
        <v>46</v>
      </c>
      <c r="J956" s="2" t="s">
        <v>21</v>
      </c>
      <c r="K956">
        <f>VLOOKUP(E956,Products!$A$2:$E$23,5,0)</f>
        <v>899</v>
      </c>
      <c r="L956">
        <f>VLOOKUP(E956,Products!$A$2:$E$23,4,0)</f>
        <v>500</v>
      </c>
      <c r="M956" s="2">
        <f>K956*F956-Table1[[#This Row],[discount_amount]]</f>
        <v>1618.2</v>
      </c>
      <c r="N956">
        <f t="shared" si="29"/>
        <v>1000</v>
      </c>
      <c r="O956">
        <f t="shared" si="28"/>
        <v>618.20000000000005</v>
      </c>
      <c r="P956">
        <f>Table1[[#This Row],[Quantity]]*Table1[[#This Row],[unit_price]]*Table1[[#This Row],[Discount]]</f>
        <v>179.8</v>
      </c>
      <c r="Q956" t="str">
        <f>VLOOKUP(E956,Products!$A$2:$E$23,2,0)</f>
        <v>Monitor Stand</v>
      </c>
      <c r="R956" t="str">
        <f>VLOOKUP(Table1[[#This Row],[Product ID]],Products!$A$2:$E$23,3,0)</f>
        <v>Furniture</v>
      </c>
      <c r="S956" t="str">
        <f>VLOOKUP(C956,Customers!$A$2:$F$201,4,0)</f>
        <v>Delhi</v>
      </c>
      <c r="T956" t="str">
        <f>VLOOKUP(Table1[[#This Row],[Customer ID]],Customers!$A$2:$F$201,5,0)</f>
        <v>North</v>
      </c>
      <c r="U956" t="str">
        <f>VLOOKUP(Table1[[#This Row],[Customer ID]],Customers!$A$2:$F$201,6,0)</f>
        <v>Consumer</v>
      </c>
      <c r="V956" t="str">
        <f>TEXT(Table1[[#This Row],[Order Date]],"MMM")</f>
        <v>Aug</v>
      </c>
      <c r="W956" t="str">
        <f>TEXT(Table1[[#This Row],[Order Date]],"yyyy")</f>
        <v>2025</v>
      </c>
    </row>
    <row r="957" spans="1:23" x14ac:dyDescent="0.25">
      <c r="A957" s="2" t="s">
        <v>1203</v>
      </c>
      <c r="B957" s="4">
        <v>45885</v>
      </c>
      <c r="C957" s="2" t="s">
        <v>76</v>
      </c>
      <c r="D957" s="2" t="str">
        <f>TEXT(Table1[[#This Row],[Order Date]],"mmmm")</f>
        <v>August</v>
      </c>
      <c r="E957" s="2" t="s">
        <v>135</v>
      </c>
      <c r="F957" s="2">
        <v>1</v>
      </c>
      <c r="G957" s="5">
        <v>0</v>
      </c>
      <c r="H957" s="2" t="s">
        <v>30</v>
      </c>
      <c r="I957" s="2" t="s">
        <v>20</v>
      </c>
      <c r="J957" s="2" t="s">
        <v>21</v>
      </c>
      <c r="K957">
        <f>VLOOKUP(E957,Products!$A$2:$E$23,5,0)</f>
        <v>220</v>
      </c>
      <c r="L957">
        <f>VLOOKUP(E957,Products!$A$2:$E$23,4,0)</f>
        <v>120</v>
      </c>
      <c r="M957" s="2">
        <f>K957*F957-Table1[[#This Row],[discount_amount]]</f>
        <v>220</v>
      </c>
      <c r="N957">
        <f t="shared" si="29"/>
        <v>120</v>
      </c>
      <c r="O957">
        <f t="shared" si="28"/>
        <v>100</v>
      </c>
      <c r="P957">
        <f>Table1[[#This Row],[Quantity]]*Table1[[#This Row],[unit_price]]*Table1[[#This Row],[Discount]]</f>
        <v>0</v>
      </c>
      <c r="Q957" t="str">
        <f>VLOOKUP(E957,Products!$A$2:$E$23,2,0)</f>
        <v>Stapler</v>
      </c>
      <c r="R957" t="str">
        <f>VLOOKUP(Table1[[#This Row],[Product ID]],Products!$A$2:$E$23,3,0)</f>
        <v>Office Supplies</v>
      </c>
      <c r="S957" t="str">
        <f>VLOOKUP(C957,Customers!$A$2:$F$201,4,0)</f>
        <v>West Bengal</v>
      </c>
      <c r="T957" t="str">
        <f>VLOOKUP(Table1[[#This Row],[Customer ID]],Customers!$A$2:$F$201,5,0)</f>
        <v>East</v>
      </c>
      <c r="U957" t="str">
        <f>VLOOKUP(Table1[[#This Row],[Customer ID]],Customers!$A$2:$F$201,6,0)</f>
        <v>Corporate</v>
      </c>
      <c r="V957" t="str">
        <f>TEXT(Table1[[#This Row],[Order Date]],"MMM")</f>
        <v>Aug</v>
      </c>
      <c r="W957" t="str">
        <f>TEXT(Table1[[#This Row],[Order Date]],"yyyy")</f>
        <v>2025</v>
      </c>
    </row>
    <row r="958" spans="1:23" x14ac:dyDescent="0.25">
      <c r="A958" s="2" t="s">
        <v>1204</v>
      </c>
      <c r="B958" s="4">
        <v>45885</v>
      </c>
      <c r="C958" s="2" t="s">
        <v>615</v>
      </c>
      <c r="D958" s="2" t="str">
        <f>TEXT(Table1[[#This Row],[Order Date]],"mmmm")</f>
        <v>August</v>
      </c>
      <c r="E958" s="2" t="s">
        <v>63</v>
      </c>
      <c r="F958" s="2">
        <v>1</v>
      </c>
      <c r="G958" s="5">
        <v>0</v>
      </c>
      <c r="H958" s="2" t="s">
        <v>25</v>
      </c>
      <c r="I958" s="2" t="s">
        <v>31</v>
      </c>
      <c r="J958" s="2" t="s">
        <v>21</v>
      </c>
      <c r="K958">
        <f>VLOOKUP(E958,Products!$A$2:$E$23,5,0)</f>
        <v>5499</v>
      </c>
      <c r="L958">
        <f>VLOOKUP(E958,Products!$A$2:$E$23,4,0)</f>
        <v>3500</v>
      </c>
      <c r="M958" s="2">
        <f>K958*F958-Table1[[#This Row],[discount_amount]]</f>
        <v>5499</v>
      </c>
      <c r="N958">
        <f t="shared" si="29"/>
        <v>3500</v>
      </c>
      <c r="O958">
        <f t="shared" si="28"/>
        <v>1999</v>
      </c>
      <c r="P958">
        <f>Table1[[#This Row],[Quantity]]*Table1[[#This Row],[unit_price]]*Table1[[#This Row],[Discount]]</f>
        <v>0</v>
      </c>
      <c r="Q958" t="str">
        <f>VLOOKUP(E958,Products!$A$2:$E$23,2,0)</f>
        <v>Office Chair</v>
      </c>
      <c r="R958" t="str">
        <f>VLOOKUP(Table1[[#This Row],[Product ID]],Products!$A$2:$E$23,3,0)</f>
        <v>Furniture</v>
      </c>
      <c r="S958" t="str">
        <f>VLOOKUP(C958,Customers!$A$2:$F$201,4,0)</f>
        <v>Delhi</v>
      </c>
      <c r="T958" t="str">
        <f>VLOOKUP(Table1[[#This Row],[Customer ID]],Customers!$A$2:$F$201,5,0)</f>
        <v>North</v>
      </c>
      <c r="U958" t="str">
        <f>VLOOKUP(Table1[[#This Row],[Customer ID]],Customers!$A$2:$F$201,6,0)</f>
        <v>Corporate</v>
      </c>
      <c r="V958" t="str">
        <f>TEXT(Table1[[#This Row],[Order Date]],"MMM")</f>
        <v>Aug</v>
      </c>
      <c r="W958" t="str">
        <f>TEXT(Table1[[#This Row],[Order Date]],"yyyy")</f>
        <v>2025</v>
      </c>
    </row>
    <row r="959" spans="1:23" x14ac:dyDescent="0.25">
      <c r="A959" s="2" t="s">
        <v>1205</v>
      </c>
      <c r="B959" s="4">
        <v>45885</v>
      </c>
      <c r="C959" s="2" t="s">
        <v>905</v>
      </c>
      <c r="D959" s="2" t="str">
        <f>TEXT(Table1[[#This Row],[Order Date]],"mmmm")</f>
        <v>August</v>
      </c>
      <c r="E959" s="2" t="s">
        <v>60</v>
      </c>
      <c r="F959" s="2">
        <v>5</v>
      </c>
      <c r="G959" s="5">
        <v>0.15</v>
      </c>
      <c r="H959" s="2" t="s">
        <v>25</v>
      </c>
      <c r="I959" s="2" t="s">
        <v>20</v>
      </c>
      <c r="J959" s="2" t="s">
        <v>21</v>
      </c>
      <c r="K959">
        <f>VLOOKUP(E959,Products!$A$2:$E$23,5,0)</f>
        <v>449</v>
      </c>
      <c r="L959">
        <f>VLOOKUP(E959,Products!$A$2:$E$23,4,0)</f>
        <v>260</v>
      </c>
      <c r="M959" s="2">
        <f>K959*F959-Table1[[#This Row],[discount_amount]]</f>
        <v>1908.25</v>
      </c>
      <c r="N959">
        <f t="shared" si="29"/>
        <v>1300</v>
      </c>
      <c r="O959">
        <f t="shared" si="28"/>
        <v>608.25</v>
      </c>
      <c r="P959">
        <f>Table1[[#This Row],[Quantity]]*Table1[[#This Row],[unit_price]]*Table1[[#This Row],[Discount]]</f>
        <v>336.75</v>
      </c>
      <c r="Q959" t="str">
        <f>VLOOKUP(E959,Products!$A$2:$E$23,2,0)</f>
        <v>Desk Organizer</v>
      </c>
      <c r="R959" t="str">
        <f>VLOOKUP(Table1[[#This Row],[Product ID]],Products!$A$2:$E$23,3,0)</f>
        <v>Office Supplies</v>
      </c>
      <c r="S959" t="str">
        <f>VLOOKUP(C959,Customers!$A$2:$F$201,4,0)</f>
        <v>Chandigarh</v>
      </c>
      <c r="T959" t="str">
        <f>VLOOKUP(Table1[[#This Row],[Customer ID]],Customers!$A$2:$F$201,5,0)</f>
        <v>North</v>
      </c>
      <c r="U959" t="str">
        <f>VLOOKUP(Table1[[#This Row],[Customer ID]],Customers!$A$2:$F$201,6,0)</f>
        <v>Consumer</v>
      </c>
      <c r="V959" t="str">
        <f>TEXT(Table1[[#This Row],[Order Date]],"MMM")</f>
        <v>Aug</v>
      </c>
      <c r="W959" t="str">
        <f>TEXT(Table1[[#This Row],[Order Date]],"yyyy")</f>
        <v>2025</v>
      </c>
    </row>
    <row r="960" spans="1:23" x14ac:dyDescent="0.25">
      <c r="A960" s="2" t="s">
        <v>1206</v>
      </c>
      <c r="B960" s="4">
        <v>45886</v>
      </c>
      <c r="C960" s="2" t="s">
        <v>339</v>
      </c>
      <c r="D960" s="2" t="str">
        <f>TEXT(Table1[[#This Row],[Order Date]],"mmmm")</f>
        <v>August</v>
      </c>
      <c r="E960" s="2" t="s">
        <v>54</v>
      </c>
      <c r="F960" s="2">
        <v>6</v>
      </c>
      <c r="G960" s="5">
        <v>0.1</v>
      </c>
      <c r="H960" s="2" t="s">
        <v>30</v>
      </c>
      <c r="I960" s="2" t="s">
        <v>46</v>
      </c>
      <c r="J960" s="2" t="s">
        <v>21</v>
      </c>
      <c r="K960">
        <f>VLOOKUP(E960,Products!$A$2:$E$23,5,0)</f>
        <v>299</v>
      </c>
      <c r="L960">
        <f>VLOOKUP(E960,Products!$A$2:$E$23,4,0)</f>
        <v>180</v>
      </c>
      <c r="M960" s="2">
        <f>K960*F960-Table1[[#This Row],[discount_amount]]</f>
        <v>1614.6</v>
      </c>
      <c r="N960">
        <f t="shared" si="29"/>
        <v>1080</v>
      </c>
      <c r="O960">
        <f t="shared" si="28"/>
        <v>534.59999999999991</v>
      </c>
      <c r="P960">
        <f>Table1[[#This Row],[Quantity]]*Table1[[#This Row],[unit_price]]*Table1[[#This Row],[Discount]]</f>
        <v>179.4</v>
      </c>
      <c r="Q960" t="str">
        <f>VLOOKUP(E960,Products!$A$2:$E$23,2,0)</f>
        <v>Notebook Pack of 5</v>
      </c>
      <c r="R960" t="str">
        <f>VLOOKUP(Table1[[#This Row],[Product ID]],Products!$A$2:$E$23,3,0)</f>
        <v>Office Supplies</v>
      </c>
      <c r="S960" t="str">
        <f>VLOOKUP(C960,Customers!$A$2:$F$201,4,0)</f>
        <v>Tamil Nadu</v>
      </c>
      <c r="T960" t="str">
        <f>VLOOKUP(Table1[[#This Row],[Customer ID]],Customers!$A$2:$F$201,5,0)</f>
        <v>South</v>
      </c>
      <c r="U960" t="str">
        <f>VLOOKUP(Table1[[#This Row],[Customer ID]],Customers!$A$2:$F$201,6,0)</f>
        <v>Corporate</v>
      </c>
      <c r="V960" t="str">
        <f>TEXT(Table1[[#This Row],[Order Date]],"MMM")</f>
        <v>Aug</v>
      </c>
      <c r="W960" t="str">
        <f>TEXT(Table1[[#This Row],[Order Date]],"yyyy")</f>
        <v>2025</v>
      </c>
    </row>
    <row r="961" spans="1:23" x14ac:dyDescent="0.25">
      <c r="A961" s="2" t="s">
        <v>1207</v>
      </c>
      <c r="B961" s="4">
        <v>45887</v>
      </c>
      <c r="C961" s="2" t="s">
        <v>88</v>
      </c>
      <c r="D961" s="2" t="str">
        <f>TEXT(Table1[[#This Row],[Order Date]],"mmmm")</f>
        <v>August</v>
      </c>
      <c r="E961" s="2" t="s">
        <v>60</v>
      </c>
      <c r="F961" s="2">
        <v>6</v>
      </c>
      <c r="G961" s="5">
        <v>0.1</v>
      </c>
      <c r="H961" s="2" t="s">
        <v>25</v>
      </c>
      <c r="I961" s="2" t="s">
        <v>31</v>
      </c>
      <c r="J961" s="2" t="s">
        <v>21</v>
      </c>
      <c r="K961">
        <f>VLOOKUP(E961,Products!$A$2:$E$23,5,0)</f>
        <v>449</v>
      </c>
      <c r="L961">
        <f>VLOOKUP(E961,Products!$A$2:$E$23,4,0)</f>
        <v>260</v>
      </c>
      <c r="M961" s="2">
        <f>K961*F961-Table1[[#This Row],[discount_amount]]</f>
        <v>2424.6</v>
      </c>
      <c r="N961">
        <f t="shared" si="29"/>
        <v>1560</v>
      </c>
      <c r="O961">
        <f t="shared" si="28"/>
        <v>864.59999999999991</v>
      </c>
      <c r="P961">
        <f>Table1[[#This Row],[Quantity]]*Table1[[#This Row],[unit_price]]*Table1[[#This Row],[Discount]]</f>
        <v>269.40000000000003</v>
      </c>
      <c r="Q961" t="str">
        <f>VLOOKUP(E961,Products!$A$2:$E$23,2,0)</f>
        <v>Desk Organizer</v>
      </c>
      <c r="R961" t="str">
        <f>VLOOKUP(Table1[[#This Row],[Product ID]],Products!$A$2:$E$23,3,0)</f>
        <v>Office Supplies</v>
      </c>
      <c r="S961" t="str">
        <f>VLOOKUP(C961,Customers!$A$2:$F$201,4,0)</f>
        <v>Gujarat</v>
      </c>
      <c r="T961" t="str">
        <f>VLOOKUP(Table1[[#This Row],[Customer ID]],Customers!$A$2:$F$201,5,0)</f>
        <v>West</v>
      </c>
      <c r="U961" t="str">
        <f>VLOOKUP(Table1[[#This Row],[Customer ID]],Customers!$A$2:$F$201,6,0)</f>
        <v>Consumer</v>
      </c>
      <c r="V961" t="str">
        <f>TEXT(Table1[[#This Row],[Order Date]],"MMM")</f>
        <v>Aug</v>
      </c>
      <c r="W961" t="str">
        <f>TEXT(Table1[[#This Row],[Order Date]],"yyyy")</f>
        <v>2025</v>
      </c>
    </row>
    <row r="962" spans="1:23" x14ac:dyDescent="0.25">
      <c r="A962" s="2" t="s">
        <v>1208</v>
      </c>
      <c r="B962" s="4">
        <v>45888</v>
      </c>
      <c r="C962" s="2" t="s">
        <v>183</v>
      </c>
      <c r="D962" s="2" t="str">
        <f>TEXT(Table1[[#This Row],[Order Date]],"mmmm")</f>
        <v>August</v>
      </c>
      <c r="E962" s="2" t="s">
        <v>60</v>
      </c>
      <c r="F962" s="2">
        <v>2</v>
      </c>
      <c r="G962" s="5">
        <v>0.05</v>
      </c>
      <c r="H962" s="2" t="s">
        <v>30</v>
      </c>
      <c r="I962" s="2" t="s">
        <v>31</v>
      </c>
      <c r="J962" s="2" t="s">
        <v>21</v>
      </c>
      <c r="K962">
        <f>VLOOKUP(E962,Products!$A$2:$E$23,5,0)</f>
        <v>449</v>
      </c>
      <c r="L962">
        <f>VLOOKUP(E962,Products!$A$2:$E$23,4,0)</f>
        <v>260</v>
      </c>
      <c r="M962" s="2">
        <f>K962*F962-Table1[[#This Row],[discount_amount]]</f>
        <v>853.1</v>
      </c>
      <c r="N962">
        <f t="shared" si="29"/>
        <v>520</v>
      </c>
      <c r="O962">
        <f t="shared" ref="O962:O1025" si="30">M962-N962</f>
        <v>333.1</v>
      </c>
      <c r="P962">
        <f>Table1[[#This Row],[Quantity]]*Table1[[#This Row],[unit_price]]*Table1[[#This Row],[Discount]]</f>
        <v>44.900000000000006</v>
      </c>
      <c r="Q962" t="str">
        <f>VLOOKUP(E962,Products!$A$2:$E$23,2,0)</f>
        <v>Desk Organizer</v>
      </c>
      <c r="R962" t="str">
        <f>VLOOKUP(Table1[[#This Row],[Product ID]],Products!$A$2:$E$23,3,0)</f>
        <v>Office Supplies</v>
      </c>
      <c r="S962" t="str">
        <f>VLOOKUP(C962,Customers!$A$2:$F$201,4,0)</f>
        <v>Madhya Pradesh</v>
      </c>
      <c r="T962" t="str">
        <f>VLOOKUP(Table1[[#This Row],[Customer ID]],Customers!$A$2:$F$201,5,0)</f>
        <v>Central</v>
      </c>
      <c r="U962" t="str">
        <f>VLOOKUP(Table1[[#This Row],[Customer ID]],Customers!$A$2:$F$201,6,0)</f>
        <v>Corporate</v>
      </c>
      <c r="V962" t="str">
        <f>TEXT(Table1[[#This Row],[Order Date]],"MMM")</f>
        <v>Aug</v>
      </c>
      <c r="W962" t="str">
        <f>TEXT(Table1[[#This Row],[Order Date]],"yyyy")</f>
        <v>2025</v>
      </c>
    </row>
    <row r="963" spans="1:23" x14ac:dyDescent="0.25">
      <c r="A963" s="2" t="s">
        <v>1209</v>
      </c>
      <c r="B963" s="4">
        <v>45889</v>
      </c>
      <c r="C963" s="2" t="s">
        <v>183</v>
      </c>
      <c r="D963" s="2" t="str">
        <f>TEXT(Table1[[#This Row],[Order Date]],"mmmm")</f>
        <v>August</v>
      </c>
      <c r="E963" s="2" t="s">
        <v>41</v>
      </c>
      <c r="F963" s="2">
        <v>5</v>
      </c>
      <c r="G963" s="5">
        <v>0</v>
      </c>
      <c r="H963" s="2" t="s">
        <v>19</v>
      </c>
      <c r="I963" s="2" t="s">
        <v>38</v>
      </c>
      <c r="J963" s="2" t="s">
        <v>21</v>
      </c>
      <c r="K963">
        <f>VLOOKUP(E963,Products!$A$2:$E$23,5,0)</f>
        <v>320</v>
      </c>
      <c r="L963">
        <f>VLOOKUP(E963,Products!$A$2:$E$23,4,0)</f>
        <v>220</v>
      </c>
      <c r="M963" s="2">
        <f>K963*F963-Table1[[#This Row],[discount_amount]]</f>
        <v>1600</v>
      </c>
      <c r="N963">
        <f t="shared" ref="N963:N1026" si="31">F963*L963</f>
        <v>1100</v>
      </c>
      <c r="O963">
        <f t="shared" si="30"/>
        <v>500</v>
      </c>
      <c r="P963">
        <f>Table1[[#This Row],[Quantity]]*Table1[[#This Row],[unit_price]]*Table1[[#This Row],[Discount]]</f>
        <v>0</v>
      </c>
      <c r="Q963" t="str">
        <f>VLOOKUP(E963,Products!$A$2:$E$23,2,0)</f>
        <v>A4 Paper Ream</v>
      </c>
      <c r="R963" t="str">
        <f>VLOOKUP(Table1[[#This Row],[Product ID]],Products!$A$2:$E$23,3,0)</f>
        <v>Office Supplies</v>
      </c>
      <c r="S963" t="str">
        <f>VLOOKUP(C963,Customers!$A$2:$F$201,4,0)</f>
        <v>Madhya Pradesh</v>
      </c>
      <c r="T963" t="str">
        <f>VLOOKUP(Table1[[#This Row],[Customer ID]],Customers!$A$2:$F$201,5,0)</f>
        <v>Central</v>
      </c>
      <c r="U963" t="str">
        <f>VLOOKUP(Table1[[#This Row],[Customer ID]],Customers!$A$2:$F$201,6,0)</f>
        <v>Corporate</v>
      </c>
      <c r="V963" t="str">
        <f>TEXT(Table1[[#This Row],[Order Date]],"MMM")</f>
        <v>Aug</v>
      </c>
      <c r="W963" t="str">
        <f>TEXT(Table1[[#This Row],[Order Date]],"yyyy")</f>
        <v>2025</v>
      </c>
    </row>
    <row r="964" spans="1:23" x14ac:dyDescent="0.25">
      <c r="A964" s="2" t="s">
        <v>1210</v>
      </c>
      <c r="B964" s="4">
        <v>45890</v>
      </c>
      <c r="C964" s="2" t="s">
        <v>84</v>
      </c>
      <c r="D964" s="2" t="str">
        <f>TEXT(Table1[[#This Row],[Order Date]],"mmmm")</f>
        <v>August</v>
      </c>
      <c r="E964" s="2" t="s">
        <v>60</v>
      </c>
      <c r="F964" s="2">
        <v>1</v>
      </c>
      <c r="G964" s="5">
        <v>0</v>
      </c>
      <c r="H964" s="2" t="s">
        <v>19</v>
      </c>
      <c r="I964" s="2" t="s">
        <v>26</v>
      </c>
      <c r="J964" s="2" t="s">
        <v>42</v>
      </c>
      <c r="K964">
        <f>VLOOKUP(E964,Products!$A$2:$E$23,5,0)</f>
        <v>449</v>
      </c>
      <c r="L964">
        <f>VLOOKUP(E964,Products!$A$2:$E$23,4,0)</f>
        <v>260</v>
      </c>
      <c r="M964" s="2">
        <f>K964*F964-Table1[[#This Row],[discount_amount]]</f>
        <v>449</v>
      </c>
      <c r="N964">
        <f t="shared" si="31"/>
        <v>260</v>
      </c>
      <c r="O964">
        <f t="shared" si="30"/>
        <v>189</v>
      </c>
      <c r="P964">
        <f>Table1[[#This Row],[Quantity]]*Table1[[#This Row],[unit_price]]*Table1[[#This Row],[Discount]]</f>
        <v>0</v>
      </c>
      <c r="Q964" t="str">
        <f>VLOOKUP(E964,Products!$A$2:$E$23,2,0)</f>
        <v>Desk Organizer</v>
      </c>
      <c r="R964" t="str">
        <f>VLOOKUP(Table1[[#This Row],[Product ID]],Products!$A$2:$E$23,3,0)</f>
        <v>Office Supplies</v>
      </c>
      <c r="S964" t="str">
        <f>VLOOKUP(C964,Customers!$A$2:$F$201,4,0)</f>
        <v>Uttar Pradesh</v>
      </c>
      <c r="T964" t="str">
        <f>VLOOKUP(Table1[[#This Row],[Customer ID]],Customers!$A$2:$F$201,5,0)</f>
        <v>North</v>
      </c>
      <c r="U964" t="str">
        <f>VLOOKUP(Table1[[#This Row],[Customer ID]],Customers!$A$2:$F$201,6,0)</f>
        <v>Consumer</v>
      </c>
      <c r="V964" t="str">
        <f>TEXT(Table1[[#This Row],[Order Date]],"MMM")</f>
        <v>Aug</v>
      </c>
      <c r="W964" t="str">
        <f>TEXT(Table1[[#This Row],[Order Date]],"yyyy")</f>
        <v>2025</v>
      </c>
    </row>
    <row r="965" spans="1:23" x14ac:dyDescent="0.25">
      <c r="A965" s="2" t="s">
        <v>1211</v>
      </c>
      <c r="B965" s="4">
        <v>45891</v>
      </c>
      <c r="C965" s="2" t="s">
        <v>313</v>
      </c>
      <c r="D965" s="2" t="str">
        <f>TEXT(Table1[[#This Row],[Order Date]],"mmmm")</f>
        <v>August</v>
      </c>
      <c r="E965" s="2" t="s">
        <v>111</v>
      </c>
      <c r="F965" s="2">
        <v>2</v>
      </c>
      <c r="G965" s="5">
        <v>0</v>
      </c>
      <c r="H965" s="2" t="s">
        <v>30</v>
      </c>
      <c r="I965" s="2" t="s">
        <v>26</v>
      </c>
      <c r="J965" s="2" t="s">
        <v>21</v>
      </c>
      <c r="K965">
        <f>VLOOKUP(E965,Products!$A$2:$E$23,5,0)</f>
        <v>240</v>
      </c>
      <c r="L965">
        <f>VLOOKUP(E965,Products!$A$2:$E$23,4,0)</f>
        <v>140</v>
      </c>
      <c r="M965" s="2">
        <f>K965*F965-Table1[[#This Row],[discount_amount]]</f>
        <v>480</v>
      </c>
      <c r="N965">
        <f t="shared" si="31"/>
        <v>280</v>
      </c>
      <c r="O965">
        <f t="shared" si="30"/>
        <v>200</v>
      </c>
      <c r="P965">
        <f>Table1[[#This Row],[Quantity]]*Table1[[#This Row],[unit_price]]*Table1[[#This Row],[Discount]]</f>
        <v>0</v>
      </c>
      <c r="Q965" t="str">
        <f>VLOOKUP(E965,Products!$A$2:$E$23,2,0)</f>
        <v>Whiteboard Marker Set</v>
      </c>
      <c r="R965" t="str">
        <f>VLOOKUP(Table1[[#This Row],[Product ID]],Products!$A$2:$E$23,3,0)</f>
        <v>Office Supplies</v>
      </c>
      <c r="S965" t="str">
        <f>VLOOKUP(C965,Customers!$A$2:$F$201,4,0)</f>
        <v>Kerala</v>
      </c>
      <c r="T965" t="str">
        <f>VLOOKUP(Table1[[#This Row],[Customer ID]],Customers!$A$2:$F$201,5,0)</f>
        <v>South</v>
      </c>
      <c r="U965" t="str">
        <f>VLOOKUP(Table1[[#This Row],[Customer ID]],Customers!$A$2:$F$201,6,0)</f>
        <v>Consumer</v>
      </c>
      <c r="V965" t="str">
        <f>TEXT(Table1[[#This Row],[Order Date]],"MMM")</f>
        <v>Aug</v>
      </c>
      <c r="W965" t="str">
        <f>TEXT(Table1[[#This Row],[Order Date]],"yyyy")</f>
        <v>2025</v>
      </c>
    </row>
    <row r="966" spans="1:23" x14ac:dyDescent="0.25">
      <c r="A966" s="2" t="s">
        <v>1212</v>
      </c>
      <c r="B966" s="4">
        <v>45891</v>
      </c>
      <c r="C966" s="2" t="s">
        <v>113</v>
      </c>
      <c r="D966" s="2" t="str">
        <f>TEXT(Table1[[#This Row],[Order Date]],"mmmm")</f>
        <v>August</v>
      </c>
      <c r="E966" s="2" t="s">
        <v>34</v>
      </c>
      <c r="F966" s="2">
        <v>2</v>
      </c>
      <c r="G966" s="5">
        <v>0.1</v>
      </c>
      <c r="H966" s="2" t="s">
        <v>30</v>
      </c>
      <c r="I966" s="2" t="s">
        <v>31</v>
      </c>
      <c r="J966" s="2" t="s">
        <v>21</v>
      </c>
      <c r="K966">
        <f>VLOOKUP(E966,Products!$A$2:$E$23,5,0)</f>
        <v>4599</v>
      </c>
      <c r="L966">
        <f>VLOOKUP(E966,Products!$A$2:$E$23,4,0)</f>
        <v>3000</v>
      </c>
      <c r="M966" s="2">
        <f>K966*F966-Table1[[#This Row],[discount_amount]]</f>
        <v>8278.2000000000007</v>
      </c>
      <c r="N966">
        <f t="shared" si="31"/>
        <v>6000</v>
      </c>
      <c r="O966">
        <f t="shared" si="30"/>
        <v>2278.2000000000007</v>
      </c>
      <c r="P966">
        <f>Table1[[#This Row],[Quantity]]*Table1[[#This Row],[unit_price]]*Table1[[#This Row],[Discount]]</f>
        <v>919.80000000000007</v>
      </c>
      <c r="Q966" t="str">
        <f>VLOOKUP(E966,Products!$A$2:$E$23,2,0)</f>
        <v>Filing Cabinet</v>
      </c>
      <c r="R966" t="str">
        <f>VLOOKUP(Table1[[#This Row],[Product ID]],Products!$A$2:$E$23,3,0)</f>
        <v>Furniture</v>
      </c>
      <c r="S966" t="str">
        <f>VLOOKUP(C966,Customers!$A$2:$F$201,4,0)</f>
        <v>Gujarat</v>
      </c>
      <c r="T966" t="str">
        <f>VLOOKUP(Table1[[#This Row],[Customer ID]],Customers!$A$2:$F$201,5,0)</f>
        <v>West</v>
      </c>
      <c r="U966" t="str">
        <f>VLOOKUP(Table1[[#This Row],[Customer ID]],Customers!$A$2:$F$201,6,0)</f>
        <v>Consumer</v>
      </c>
      <c r="V966" t="str">
        <f>TEXT(Table1[[#This Row],[Order Date]],"MMM")</f>
        <v>Aug</v>
      </c>
      <c r="W966" t="str">
        <f>TEXT(Table1[[#This Row],[Order Date]],"yyyy")</f>
        <v>2025</v>
      </c>
    </row>
    <row r="967" spans="1:23" x14ac:dyDescent="0.25">
      <c r="A967" s="2" t="s">
        <v>1213</v>
      </c>
      <c r="B967" s="4">
        <v>45892</v>
      </c>
      <c r="C967" s="2" t="s">
        <v>209</v>
      </c>
      <c r="D967" s="2" t="str">
        <f>TEXT(Table1[[#This Row],[Order Date]],"mmmm")</f>
        <v>August</v>
      </c>
      <c r="E967" s="2" t="s">
        <v>41</v>
      </c>
      <c r="F967" s="2">
        <v>1</v>
      </c>
      <c r="G967" s="5">
        <v>0.05</v>
      </c>
      <c r="H967" s="2" t="s">
        <v>25</v>
      </c>
      <c r="I967" s="2" t="s">
        <v>20</v>
      </c>
      <c r="J967" s="2" t="s">
        <v>21</v>
      </c>
      <c r="K967">
        <f>VLOOKUP(E967,Products!$A$2:$E$23,5,0)</f>
        <v>320</v>
      </c>
      <c r="L967">
        <f>VLOOKUP(E967,Products!$A$2:$E$23,4,0)</f>
        <v>220</v>
      </c>
      <c r="M967" s="2">
        <f>K967*F967-Table1[[#This Row],[discount_amount]]</f>
        <v>304</v>
      </c>
      <c r="N967">
        <f t="shared" si="31"/>
        <v>220</v>
      </c>
      <c r="O967">
        <f t="shared" si="30"/>
        <v>84</v>
      </c>
      <c r="P967">
        <f>Table1[[#This Row],[Quantity]]*Table1[[#This Row],[unit_price]]*Table1[[#This Row],[Discount]]</f>
        <v>16</v>
      </c>
      <c r="Q967" t="str">
        <f>VLOOKUP(E967,Products!$A$2:$E$23,2,0)</f>
        <v>A4 Paper Ream</v>
      </c>
      <c r="R967" t="str">
        <f>VLOOKUP(Table1[[#This Row],[Product ID]],Products!$A$2:$E$23,3,0)</f>
        <v>Office Supplies</v>
      </c>
      <c r="S967" t="str">
        <f>VLOOKUP(C967,Customers!$A$2:$F$201,4,0)</f>
        <v>Chandigarh</v>
      </c>
      <c r="T967" t="str">
        <f>VLOOKUP(Table1[[#This Row],[Customer ID]],Customers!$A$2:$F$201,5,0)</f>
        <v>North</v>
      </c>
      <c r="U967" t="str">
        <f>VLOOKUP(Table1[[#This Row],[Customer ID]],Customers!$A$2:$F$201,6,0)</f>
        <v>Corporate</v>
      </c>
      <c r="V967" t="str">
        <f>TEXT(Table1[[#This Row],[Order Date]],"MMM")</f>
        <v>Aug</v>
      </c>
      <c r="W967" t="str">
        <f>TEXT(Table1[[#This Row],[Order Date]],"yyyy")</f>
        <v>2025</v>
      </c>
    </row>
    <row r="968" spans="1:23" x14ac:dyDescent="0.25">
      <c r="A968" s="2" t="s">
        <v>1214</v>
      </c>
      <c r="B968" s="4">
        <v>45892</v>
      </c>
      <c r="C968" s="2" t="s">
        <v>295</v>
      </c>
      <c r="D968" s="2" t="str">
        <f>TEXT(Table1[[#This Row],[Order Date]],"mmmm")</f>
        <v>August</v>
      </c>
      <c r="E968" s="2" t="s">
        <v>24</v>
      </c>
      <c r="F968" s="2">
        <v>6</v>
      </c>
      <c r="G968" s="5">
        <v>0.1</v>
      </c>
      <c r="H968" s="2" t="s">
        <v>30</v>
      </c>
      <c r="I968" s="2" t="s">
        <v>46</v>
      </c>
      <c r="J968" s="2" t="s">
        <v>21</v>
      </c>
      <c r="K968">
        <f>VLOOKUP(E968,Products!$A$2:$E$23,5,0)</f>
        <v>899</v>
      </c>
      <c r="L968">
        <f>VLOOKUP(E968,Products!$A$2:$E$23,4,0)</f>
        <v>500</v>
      </c>
      <c r="M968" s="2">
        <f>K968*F968-Table1[[#This Row],[discount_amount]]</f>
        <v>4854.6000000000004</v>
      </c>
      <c r="N968">
        <f t="shared" si="31"/>
        <v>3000</v>
      </c>
      <c r="O968">
        <f t="shared" si="30"/>
        <v>1854.6000000000004</v>
      </c>
      <c r="P968">
        <f>Table1[[#This Row],[Quantity]]*Table1[[#This Row],[unit_price]]*Table1[[#This Row],[Discount]]</f>
        <v>539.4</v>
      </c>
      <c r="Q968" t="str">
        <f>VLOOKUP(E968,Products!$A$2:$E$23,2,0)</f>
        <v>Monitor Stand</v>
      </c>
      <c r="R968" t="str">
        <f>VLOOKUP(Table1[[#This Row],[Product ID]],Products!$A$2:$E$23,3,0)</f>
        <v>Furniture</v>
      </c>
      <c r="S968" t="str">
        <f>VLOOKUP(C968,Customers!$A$2:$F$201,4,0)</f>
        <v>Gujarat</v>
      </c>
      <c r="T968" t="str">
        <f>VLOOKUP(Table1[[#This Row],[Customer ID]],Customers!$A$2:$F$201,5,0)</f>
        <v>West</v>
      </c>
      <c r="U968" t="str">
        <f>VLOOKUP(Table1[[#This Row],[Customer ID]],Customers!$A$2:$F$201,6,0)</f>
        <v>Corporate</v>
      </c>
      <c r="V968" t="str">
        <f>TEXT(Table1[[#This Row],[Order Date]],"MMM")</f>
        <v>Aug</v>
      </c>
      <c r="W968" t="str">
        <f>TEXT(Table1[[#This Row],[Order Date]],"yyyy")</f>
        <v>2025</v>
      </c>
    </row>
    <row r="969" spans="1:23" x14ac:dyDescent="0.25">
      <c r="A969" s="2" t="s">
        <v>1215</v>
      </c>
      <c r="B969" s="4">
        <v>45893</v>
      </c>
      <c r="C969" s="2" t="s">
        <v>462</v>
      </c>
      <c r="D969" s="2" t="str">
        <f>TEXT(Table1[[#This Row],[Order Date]],"mmmm")</f>
        <v>August</v>
      </c>
      <c r="E969" s="2" t="s">
        <v>60</v>
      </c>
      <c r="F969" s="2">
        <v>6</v>
      </c>
      <c r="G969" s="5">
        <v>0.1</v>
      </c>
      <c r="H969" s="2" t="s">
        <v>30</v>
      </c>
      <c r="I969" s="2" t="s">
        <v>26</v>
      </c>
      <c r="J969" s="2" t="s">
        <v>21</v>
      </c>
      <c r="K969">
        <f>VLOOKUP(E969,Products!$A$2:$E$23,5,0)</f>
        <v>449</v>
      </c>
      <c r="L969">
        <f>VLOOKUP(E969,Products!$A$2:$E$23,4,0)</f>
        <v>260</v>
      </c>
      <c r="M969" s="2">
        <f>K969*F969-Table1[[#This Row],[discount_amount]]</f>
        <v>2424.6</v>
      </c>
      <c r="N969">
        <f t="shared" si="31"/>
        <v>1560</v>
      </c>
      <c r="O969">
        <f t="shared" si="30"/>
        <v>864.59999999999991</v>
      </c>
      <c r="P969">
        <f>Table1[[#This Row],[Quantity]]*Table1[[#This Row],[unit_price]]*Table1[[#This Row],[Discount]]</f>
        <v>269.40000000000003</v>
      </c>
      <c r="Q969" t="str">
        <f>VLOOKUP(E969,Products!$A$2:$E$23,2,0)</f>
        <v>Desk Organizer</v>
      </c>
      <c r="R969" t="str">
        <f>VLOOKUP(Table1[[#This Row],[Product ID]],Products!$A$2:$E$23,3,0)</f>
        <v>Office Supplies</v>
      </c>
      <c r="S969" t="str">
        <f>VLOOKUP(C969,Customers!$A$2:$F$201,4,0)</f>
        <v>Kerala</v>
      </c>
      <c r="T969" t="str">
        <f>VLOOKUP(Table1[[#This Row],[Customer ID]],Customers!$A$2:$F$201,5,0)</f>
        <v>South</v>
      </c>
      <c r="U969" t="str">
        <f>VLOOKUP(Table1[[#This Row],[Customer ID]],Customers!$A$2:$F$201,6,0)</f>
        <v>Consumer</v>
      </c>
      <c r="V969" t="str">
        <f>TEXT(Table1[[#This Row],[Order Date]],"MMM")</f>
        <v>Aug</v>
      </c>
      <c r="W969" t="str">
        <f>TEXT(Table1[[#This Row],[Order Date]],"yyyy")</f>
        <v>2025</v>
      </c>
    </row>
    <row r="970" spans="1:23" x14ac:dyDescent="0.25">
      <c r="A970" s="2" t="s">
        <v>1216</v>
      </c>
      <c r="B970" s="4">
        <v>45893</v>
      </c>
      <c r="C970" s="2" t="s">
        <v>896</v>
      </c>
      <c r="D970" s="2" t="str">
        <f>TEXT(Table1[[#This Row],[Order Date]],"mmmm")</f>
        <v>August</v>
      </c>
      <c r="E970" s="2" t="s">
        <v>29</v>
      </c>
      <c r="F970" s="2">
        <v>5</v>
      </c>
      <c r="G970" s="5">
        <v>0</v>
      </c>
      <c r="H970" s="2" t="s">
        <v>19</v>
      </c>
      <c r="I970" s="2" t="s">
        <v>31</v>
      </c>
      <c r="J970" s="2" t="s">
        <v>79</v>
      </c>
      <c r="K970">
        <f>VLOOKUP(E970,Products!$A$2:$E$23,5,0)</f>
        <v>599</v>
      </c>
      <c r="L970">
        <f>VLOOKUP(E970,Products!$A$2:$E$23,4,0)</f>
        <v>350</v>
      </c>
      <c r="M970" s="2">
        <f>K970*F970-Table1[[#This Row],[discount_amount]]</f>
        <v>2995</v>
      </c>
      <c r="N970">
        <f t="shared" si="31"/>
        <v>1750</v>
      </c>
      <c r="O970">
        <f t="shared" si="30"/>
        <v>1245</v>
      </c>
      <c r="P970">
        <f>Table1[[#This Row],[Quantity]]*Table1[[#This Row],[unit_price]]*Table1[[#This Row],[Discount]]</f>
        <v>0</v>
      </c>
      <c r="Q970" t="str">
        <f>VLOOKUP(E970,Products!$A$2:$E$23,2,0)</f>
        <v>USB Flash Drive 64GB</v>
      </c>
      <c r="R970" t="str">
        <f>VLOOKUP(Table1[[#This Row],[Product ID]],Products!$A$2:$E$23,3,0)</f>
        <v>Electronics</v>
      </c>
      <c r="S970" t="str">
        <f>VLOOKUP(C970,Customers!$A$2:$F$201,4,0)</f>
        <v>Maharashtra</v>
      </c>
      <c r="T970" t="str">
        <f>VLOOKUP(Table1[[#This Row],[Customer ID]],Customers!$A$2:$F$201,5,0)</f>
        <v>West</v>
      </c>
      <c r="U970" t="str">
        <f>VLOOKUP(Table1[[#This Row],[Customer ID]],Customers!$A$2:$F$201,6,0)</f>
        <v>Consumer</v>
      </c>
      <c r="V970" t="str">
        <f>TEXT(Table1[[#This Row],[Order Date]],"MMM")</f>
        <v>Aug</v>
      </c>
      <c r="W970" t="str">
        <f>TEXT(Table1[[#This Row],[Order Date]],"yyyy")</f>
        <v>2025</v>
      </c>
    </row>
    <row r="971" spans="1:23" x14ac:dyDescent="0.25">
      <c r="A971" s="2" t="s">
        <v>1217</v>
      </c>
      <c r="B971" s="4">
        <v>45893</v>
      </c>
      <c r="C971" s="2" t="s">
        <v>788</v>
      </c>
      <c r="D971" s="2" t="str">
        <f>TEXT(Table1[[#This Row],[Order Date]],"mmmm")</f>
        <v>August</v>
      </c>
      <c r="E971" s="2" t="s">
        <v>127</v>
      </c>
      <c r="F971" s="2">
        <v>6</v>
      </c>
      <c r="G971" s="5">
        <v>0.1</v>
      </c>
      <c r="H971" s="2" t="s">
        <v>30</v>
      </c>
      <c r="I971" s="2" t="s">
        <v>38</v>
      </c>
      <c r="J971" s="2" t="s">
        <v>21</v>
      </c>
      <c r="K971">
        <f>VLOOKUP(E971,Products!$A$2:$E$23,5,0)</f>
        <v>1999</v>
      </c>
      <c r="L971">
        <f>VLOOKUP(E971,Products!$A$2:$E$23,4,0)</f>
        <v>1200</v>
      </c>
      <c r="M971" s="2">
        <f>K971*F971-Table1[[#This Row],[discount_amount]]</f>
        <v>10794.6</v>
      </c>
      <c r="N971">
        <f t="shared" si="31"/>
        <v>7200</v>
      </c>
      <c r="O971">
        <f t="shared" si="30"/>
        <v>3594.6000000000004</v>
      </c>
      <c r="P971">
        <f>Table1[[#This Row],[Quantity]]*Table1[[#This Row],[unit_price]]*Table1[[#This Row],[Discount]]</f>
        <v>1199.4000000000001</v>
      </c>
      <c r="Q971" t="str">
        <f>VLOOKUP(E971,Products!$A$2:$E$23,2,0)</f>
        <v>Bluetooth Speaker</v>
      </c>
      <c r="R971" t="str">
        <f>VLOOKUP(Table1[[#This Row],[Product ID]],Products!$A$2:$E$23,3,0)</f>
        <v>Electronics</v>
      </c>
      <c r="S971" t="str">
        <f>VLOOKUP(C971,Customers!$A$2:$F$201,4,0)</f>
        <v>Uttar Pradesh</v>
      </c>
      <c r="T971" t="str">
        <f>VLOOKUP(Table1[[#This Row],[Customer ID]],Customers!$A$2:$F$201,5,0)</f>
        <v>North</v>
      </c>
      <c r="U971" t="str">
        <f>VLOOKUP(Table1[[#This Row],[Customer ID]],Customers!$A$2:$F$201,6,0)</f>
        <v>Home Office</v>
      </c>
      <c r="V971" t="str">
        <f>TEXT(Table1[[#This Row],[Order Date]],"MMM")</f>
        <v>Aug</v>
      </c>
      <c r="W971" t="str">
        <f>TEXT(Table1[[#This Row],[Order Date]],"yyyy")</f>
        <v>2025</v>
      </c>
    </row>
    <row r="972" spans="1:23" x14ac:dyDescent="0.25">
      <c r="A972" s="2" t="s">
        <v>1218</v>
      </c>
      <c r="B972" s="4">
        <v>45893</v>
      </c>
      <c r="C972" s="2" t="s">
        <v>956</v>
      </c>
      <c r="D972" s="2" t="str">
        <f>TEXT(Table1[[#This Row],[Order Date]],"mmmm")</f>
        <v>August</v>
      </c>
      <c r="E972" s="2" t="s">
        <v>91</v>
      </c>
      <c r="F972" s="2">
        <v>3</v>
      </c>
      <c r="G972" s="5">
        <v>0.05</v>
      </c>
      <c r="H972" s="2" t="s">
        <v>25</v>
      </c>
      <c r="I972" s="2" t="s">
        <v>38</v>
      </c>
      <c r="J972" s="2" t="s">
        <v>21</v>
      </c>
      <c r="K972">
        <f>VLOOKUP(E972,Products!$A$2:$E$23,5,0)</f>
        <v>1199</v>
      </c>
      <c r="L972">
        <f>VLOOKUP(E972,Products!$A$2:$E$23,4,0)</f>
        <v>600</v>
      </c>
      <c r="M972" s="2">
        <f>K972*F972-Table1[[#This Row],[discount_amount]]</f>
        <v>3417.15</v>
      </c>
      <c r="N972">
        <f t="shared" si="31"/>
        <v>1800</v>
      </c>
      <c r="O972">
        <f t="shared" si="30"/>
        <v>1617.15</v>
      </c>
      <c r="P972">
        <f>Table1[[#This Row],[Quantity]]*Table1[[#This Row],[unit_price]]*Table1[[#This Row],[Discount]]</f>
        <v>179.85000000000002</v>
      </c>
      <c r="Q972" t="str">
        <f>VLOOKUP(E972,Products!$A$2:$E$23,2,0)</f>
        <v>Formal Shirt</v>
      </c>
      <c r="R972" t="str">
        <f>VLOOKUP(Table1[[#This Row],[Product ID]],Products!$A$2:$E$23,3,0)</f>
        <v>Clothing</v>
      </c>
      <c r="S972" t="str">
        <f>VLOOKUP(C972,Customers!$A$2:$F$201,4,0)</f>
        <v>Telangana</v>
      </c>
      <c r="T972" t="str">
        <f>VLOOKUP(Table1[[#This Row],[Customer ID]],Customers!$A$2:$F$201,5,0)</f>
        <v>South</v>
      </c>
      <c r="U972" t="str">
        <f>VLOOKUP(Table1[[#This Row],[Customer ID]],Customers!$A$2:$F$201,6,0)</f>
        <v>Home Office</v>
      </c>
      <c r="V972" t="str">
        <f>TEXT(Table1[[#This Row],[Order Date]],"MMM")</f>
        <v>Aug</v>
      </c>
      <c r="W972" t="str">
        <f>TEXT(Table1[[#This Row],[Order Date]],"yyyy")</f>
        <v>2025</v>
      </c>
    </row>
    <row r="973" spans="1:23" x14ac:dyDescent="0.25">
      <c r="A973" s="2" t="s">
        <v>1219</v>
      </c>
      <c r="B973" s="4">
        <v>45894</v>
      </c>
      <c r="C973" s="2" t="s">
        <v>285</v>
      </c>
      <c r="D973" s="2" t="str">
        <f>TEXT(Table1[[#This Row],[Order Date]],"mmmm")</f>
        <v>August</v>
      </c>
      <c r="E973" s="2" t="s">
        <v>63</v>
      </c>
      <c r="F973" s="2">
        <v>10</v>
      </c>
      <c r="G973" s="5">
        <v>0.05</v>
      </c>
      <c r="H973" s="2" t="s">
        <v>25</v>
      </c>
      <c r="I973" s="2" t="s">
        <v>31</v>
      </c>
      <c r="J973" s="2" t="s">
        <v>21</v>
      </c>
      <c r="K973">
        <f>VLOOKUP(E973,Products!$A$2:$E$23,5,0)</f>
        <v>5499</v>
      </c>
      <c r="L973">
        <f>VLOOKUP(E973,Products!$A$2:$E$23,4,0)</f>
        <v>3500</v>
      </c>
      <c r="M973" s="2">
        <f>K973*F973-Table1[[#This Row],[discount_amount]]</f>
        <v>52240.5</v>
      </c>
      <c r="N973">
        <f t="shared" si="31"/>
        <v>35000</v>
      </c>
      <c r="O973">
        <f t="shared" si="30"/>
        <v>17240.5</v>
      </c>
      <c r="P973">
        <f>Table1[[#This Row],[Quantity]]*Table1[[#This Row],[unit_price]]*Table1[[#This Row],[Discount]]</f>
        <v>2749.5</v>
      </c>
      <c r="Q973" t="str">
        <f>VLOOKUP(E973,Products!$A$2:$E$23,2,0)</f>
        <v>Office Chair</v>
      </c>
      <c r="R973" t="str">
        <f>VLOOKUP(Table1[[#This Row],[Product ID]],Products!$A$2:$E$23,3,0)</f>
        <v>Furniture</v>
      </c>
      <c r="S973" t="str">
        <f>VLOOKUP(C973,Customers!$A$2:$F$201,4,0)</f>
        <v>Gujarat</v>
      </c>
      <c r="T973" t="str">
        <f>VLOOKUP(Table1[[#This Row],[Customer ID]],Customers!$A$2:$F$201,5,0)</f>
        <v>West</v>
      </c>
      <c r="U973" t="str">
        <f>VLOOKUP(Table1[[#This Row],[Customer ID]],Customers!$A$2:$F$201,6,0)</f>
        <v>Home Office</v>
      </c>
      <c r="V973" t="str">
        <f>TEXT(Table1[[#This Row],[Order Date]],"MMM")</f>
        <v>Aug</v>
      </c>
      <c r="W973" t="str">
        <f>TEXT(Table1[[#This Row],[Order Date]],"yyyy")</f>
        <v>2025</v>
      </c>
    </row>
    <row r="974" spans="1:23" x14ac:dyDescent="0.25">
      <c r="A974" s="2" t="s">
        <v>1220</v>
      </c>
      <c r="B974" s="4">
        <v>45894</v>
      </c>
      <c r="C974" s="2" t="s">
        <v>567</v>
      </c>
      <c r="D974" s="2" t="str">
        <f>TEXT(Table1[[#This Row],[Order Date]],"mmmm")</f>
        <v>August</v>
      </c>
      <c r="E974" s="2" t="s">
        <v>63</v>
      </c>
      <c r="F974" s="2">
        <v>6</v>
      </c>
      <c r="G974" s="5">
        <v>0.05</v>
      </c>
      <c r="H974" s="2" t="s">
        <v>25</v>
      </c>
      <c r="I974" s="2" t="s">
        <v>31</v>
      </c>
      <c r="J974" s="2" t="s">
        <v>21</v>
      </c>
      <c r="K974">
        <f>VLOOKUP(E974,Products!$A$2:$E$23,5,0)</f>
        <v>5499</v>
      </c>
      <c r="L974">
        <f>VLOOKUP(E974,Products!$A$2:$E$23,4,0)</f>
        <v>3500</v>
      </c>
      <c r="M974" s="2">
        <f>K974*F974-Table1[[#This Row],[discount_amount]]</f>
        <v>31344.3</v>
      </c>
      <c r="N974">
        <f t="shared" si="31"/>
        <v>21000</v>
      </c>
      <c r="O974">
        <f t="shared" si="30"/>
        <v>10344.299999999999</v>
      </c>
      <c r="P974">
        <f>Table1[[#This Row],[Quantity]]*Table1[[#This Row],[unit_price]]*Table1[[#This Row],[Discount]]</f>
        <v>1649.7</v>
      </c>
      <c r="Q974" t="str">
        <f>VLOOKUP(E974,Products!$A$2:$E$23,2,0)</f>
        <v>Office Chair</v>
      </c>
      <c r="R974" t="str">
        <f>VLOOKUP(Table1[[#This Row],[Product ID]],Products!$A$2:$E$23,3,0)</f>
        <v>Furniture</v>
      </c>
      <c r="S974" t="str">
        <f>VLOOKUP(C974,Customers!$A$2:$F$201,4,0)</f>
        <v>Gujarat</v>
      </c>
      <c r="T974" t="str">
        <f>VLOOKUP(Table1[[#This Row],[Customer ID]],Customers!$A$2:$F$201,5,0)</f>
        <v>West</v>
      </c>
      <c r="U974" t="str">
        <f>VLOOKUP(Table1[[#This Row],[Customer ID]],Customers!$A$2:$F$201,6,0)</f>
        <v>Consumer</v>
      </c>
      <c r="V974" t="str">
        <f>TEXT(Table1[[#This Row],[Order Date]],"MMM")</f>
        <v>Aug</v>
      </c>
      <c r="W974" t="str">
        <f>TEXT(Table1[[#This Row],[Order Date]],"yyyy")</f>
        <v>2025</v>
      </c>
    </row>
    <row r="975" spans="1:23" x14ac:dyDescent="0.25">
      <c r="A975" s="2" t="s">
        <v>1221</v>
      </c>
      <c r="B975" s="4">
        <v>45895</v>
      </c>
      <c r="C975" s="2" t="s">
        <v>535</v>
      </c>
      <c r="D975" s="2" t="str">
        <f>TEXT(Table1[[#This Row],[Order Date]],"mmmm")</f>
        <v>August</v>
      </c>
      <c r="E975" s="2" t="s">
        <v>82</v>
      </c>
      <c r="F975" s="2">
        <v>3</v>
      </c>
      <c r="G975" s="5">
        <v>0.1</v>
      </c>
      <c r="H975" s="2" t="s">
        <v>25</v>
      </c>
      <c r="I975" s="2" t="s">
        <v>31</v>
      </c>
      <c r="J975" s="2" t="s">
        <v>21</v>
      </c>
      <c r="K975">
        <f>VLOOKUP(E975,Products!$A$2:$E$23,5,0)</f>
        <v>1799</v>
      </c>
      <c r="L975">
        <f>VLOOKUP(E975,Products!$A$2:$E$23,4,0)</f>
        <v>1100</v>
      </c>
      <c r="M975" s="2">
        <f>K975*F975-Table1[[#This Row],[discount_amount]]</f>
        <v>4857.3</v>
      </c>
      <c r="N975">
        <f t="shared" si="31"/>
        <v>3300</v>
      </c>
      <c r="O975">
        <f t="shared" si="30"/>
        <v>1557.3000000000002</v>
      </c>
      <c r="P975">
        <f>Table1[[#This Row],[Quantity]]*Table1[[#This Row],[unit_price]]*Table1[[#This Row],[Discount]]</f>
        <v>539.70000000000005</v>
      </c>
      <c r="Q975" t="str">
        <f>VLOOKUP(E975,Products!$A$2:$E$23,2,0)</f>
        <v>Webcam HD</v>
      </c>
      <c r="R975" t="str">
        <f>VLOOKUP(Table1[[#This Row],[Product ID]],Products!$A$2:$E$23,3,0)</f>
        <v>Electronics</v>
      </c>
      <c r="S975" t="str">
        <f>VLOOKUP(C975,Customers!$A$2:$F$201,4,0)</f>
        <v>Maharashtra</v>
      </c>
      <c r="T975" t="str">
        <f>VLOOKUP(Table1[[#This Row],[Customer ID]],Customers!$A$2:$F$201,5,0)</f>
        <v>Central</v>
      </c>
      <c r="U975" t="str">
        <f>VLOOKUP(Table1[[#This Row],[Customer ID]],Customers!$A$2:$F$201,6,0)</f>
        <v>Consumer</v>
      </c>
      <c r="V975" t="str">
        <f>TEXT(Table1[[#This Row],[Order Date]],"MMM")</f>
        <v>Aug</v>
      </c>
      <c r="W975" t="str">
        <f>TEXT(Table1[[#This Row],[Order Date]],"yyyy")</f>
        <v>2025</v>
      </c>
    </row>
    <row r="976" spans="1:23" x14ac:dyDescent="0.25">
      <c r="A976" s="2" t="s">
        <v>1222</v>
      </c>
      <c r="B976" s="4">
        <v>45895</v>
      </c>
      <c r="C976" s="2" t="s">
        <v>258</v>
      </c>
      <c r="D976" s="2" t="str">
        <f>TEXT(Table1[[#This Row],[Order Date]],"mmmm")</f>
        <v>August</v>
      </c>
      <c r="E976" s="2" t="s">
        <v>54</v>
      </c>
      <c r="F976" s="2">
        <v>10</v>
      </c>
      <c r="G976" s="5">
        <v>0.05</v>
      </c>
      <c r="H976" s="2" t="s">
        <v>30</v>
      </c>
      <c r="I976" s="2" t="s">
        <v>20</v>
      </c>
      <c r="J976" s="2" t="s">
        <v>21</v>
      </c>
      <c r="K976">
        <f>VLOOKUP(E976,Products!$A$2:$E$23,5,0)</f>
        <v>299</v>
      </c>
      <c r="L976">
        <f>VLOOKUP(E976,Products!$A$2:$E$23,4,0)</f>
        <v>180</v>
      </c>
      <c r="M976" s="2">
        <f>K976*F976-Table1[[#This Row],[discount_amount]]</f>
        <v>2840.5</v>
      </c>
      <c r="N976">
        <f t="shared" si="31"/>
        <v>1800</v>
      </c>
      <c r="O976">
        <f t="shared" si="30"/>
        <v>1040.5</v>
      </c>
      <c r="P976">
        <f>Table1[[#This Row],[Quantity]]*Table1[[#This Row],[unit_price]]*Table1[[#This Row],[Discount]]</f>
        <v>149.5</v>
      </c>
      <c r="Q976" t="str">
        <f>VLOOKUP(E976,Products!$A$2:$E$23,2,0)</f>
        <v>Notebook Pack of 5</v>
      </c>
      <c r="R976" t="str">
        <f>VLOOKUP(Table1[[#This Row],[Product ID]],Products!$A$2:$E$23,3,0)</f>
        <v>Office Supplies</v>
      </c>
      <c r="S976" t="str">
        <f>VLOOKUP(C976,Customers!$A$2:$F$201,4,0)</f>
        <v>Karnataka</v>
      </c>
      <c r="T976" t="str">
        <f>VLOOKUP(Table1[[#This Row],[Customer ID]],Customers!$A$2:$F$201,5,0)</f>
        <v>South</v>
      </c>
      <c r="U976" t="str">
        <f>VLOOKUP(Table1[[#This Row],[Customer ID]],Customers!$A$2:$F$201,6,0)</f>
        <v>Consumer</v>
      </c>
      <c r="V976" t="str">
        <f>TEXT(Table1[[#This Row],[Order Date]],"MMM")</f>
        <v>Aug</v>
      </c>
      <c r="W976" t="str">
        <f>TEXT(Table1[[#This Row],[Order Date]],"yyyy")</f>
        <v>2025</v>
      </c>
    </row>
    <row r="977" spans="1:23" x14ac:dyDescent="0.25">
      <c r="A977" s="2" t="s">
        <v>1223</v>
      </c>
      <c r="B977" s="4">
        <v>45896</v>
      </c>
      <c r="C977" s="2" t="s">
        <v>587</v>
      </c>
      <c r="D977" s="2" t="str">
        <f>TEXT(Table1[[#This Row],[Order Date]],"mmmm")</f>
        <v>August</v>
      </c>
      <c r="E977" s="2" t="s">
        <v>49</v>
      </c>
      <c r="F977" s="2">
        <v>5</v>
      </c>
      <c r="G977" s="5">
        <v>0</v>
      </c>
      <c r="H977" s="2" t="s">
        <v>25</v>
      </c>
      <c r="I977" s="2" t="s">
        <v>26</v>
      </c>
      <c r="J977" s="2" t="s">
        <v>21</v>
      </c>
      <c r="K977">
        <f>VLOOKUP(E977,Products!$A$2:$E$23,5,0)</f>
        <v>700</v>
      </c>
      <c r="L977">
        <f>VLOOKUP(E977,Products!$A$2:$E$23,4,0)</f>
        <v>450</v>
      </c>
      <c r="M977" s="2">
        <f>K977*F977-Table1[[#This Row],[discount_amount]]</f>
        <v>3500</v>
      </c>
      <c r="N977">
        <f t="shared" si="31"/>
        <v>2250</v>
      </c>
      <c r="O977">
        <f t="shared" si="30"/>
        <v>1250</v>
      </c>
      <c r="P977">
        <f>Table1[[#This Row],[Quantity]]*Table1[[#This Row],[unit_price]]*Table1[[#This Row],[Discount]]</f>
        <v>0</v>
      </c>
      <c r="Q977" t="str">
        <f>VLOOKUP(E977,Products!$A$2:$E$23,2,0)</f>
        <v>Wireless Mouse</v>
      </c>
      <c r="R977" t="str">
        <f>VLOOKUP(Table1[[#This Row],[Product ID]],Products!$A$2:$E$23,3,0)</f>
        <v>Electronics</v>
      </c>
      <c r="S977" t="str">
        <f>VLOOKUP(C977,Customers!$A$2:$F$201,4,0)</f>
        <v>Karnataka</v>
      </c>
      <c r="T977" t="str">
        <f>VLOOKUP(Table1[[#This Row],[Customer ID]],Customers!$A$2:$F$201,5,0)</f>
        <v>South</v>
      </c>
      <c r="U977" t="str">
        <f>VLOOKUP(Table1[[#This Row],[Customer ID]],Customers!$A$2:$F$201,6,0)</f>
        <v>Corporate</v>
      </c>
      <c r="V977" t="str">
        <f>TEXT(Table1[[#This Row],[Order Date]],"MMM")</f>
        <v>Aug</v>
      </c>
      <c r="W977" t="str">
        <f>TEXT(Table1[[#This Row],[Order Date]],"yyyy")</f>
        <v>2025</v>
      </c>
    </row>
    <row r="978" spans="1:23" x14ac:dyDescent="0.25">
      <c r="A978" s="2" t="s">
        <v>1224</v>
      </c>
      <c r="B978" s="4">
        <v>45897</v>
      </c>
      <c r="C978" s="2" t="s">
        <v>848</v>
      </c>
      <c r="D978" s="2" t="str">
        <f>TEXT(Table1[[#This Row],[Order Date]],"mmmm")</f>
        <v>August</v>
      </c>
      <c r="E978" s="2" t="s">
        <v>118</v>
      </c>
      <c r="F978" s="2">
        <v>1</v>
      </c>
      <c r="G978" s="5">
        <v>0</v>
      </c>
      <c r="H978" s="2" t="s">
        <v>30</v>
      </c>
      <c r="I978" s="2" t="s">
        <v>26</v>
      </c>
      <c r="J978" s="2" t="s">
        <v>21</v>
      </c>
      <c r="K978">
        <f>VLOOKUP(E978,Products!$A$2:$E$23,5,0)</f>
        <v>150</v>
      </c>
      <c r="L978">
        <f>VLOOKUP(E978,Products!$A$2:$E$23,4,0)</f>
        <v>90</v>
      </c>
      <c r="M978" s="2">
        <f>K978*F978-Table1[[#This Row],[discount_amount]]</f>
        <v>150</v>
      </c>
      <c r="N978">
        <f t="shared" si="31"/>
        <v>90</v>
      </c>
      <c r="O978">
        <f t="shared" si="30"/>
        <v>60</v>
      </c>
      <c r="P978">
        <f>Table1[[#This Row],[Quantity]]*Table1[[#This Row],[unit_price]]*Table1[[#This Row],[Discount]]</f>
        <v>0</v>
      </c>
      <c r="Q978" t="str">
        <f>VLOOKUP(E978,Products!$A$2:$E$23,2,0)</f>
        <v>Gel Pen Box</v>
      </c>
      <c r="R978" t="str">
        <f>VLOOKUP(Table1[[#This Row],[Product ID]],Products!$A$2:$E$23,3,0)</f>
        <v>Office Supplies</v>
      </c>
      <c r="S978" t="str">
        <f>VLOOKUP(C978,Customers!$A$2:$F$201,4,0)</f>
        <v>West Bengal</v>
      </c>
      <c r="T978" t="str">
        <f>VLOOKUP(Table1[[#This Row],[Customer ID]],Customers!$A$2:$F$201,5,0)</f>
        <v>East</v>
      </c>
      <c r="U978" t="str">
        <f>VLOOKUP(Table1[[#This Row],[Customer ID]],Customers!$A$2:$F$201,6,0)</f>
        <v>Corporate</v>
      </c>
      <c r="V978" t="str">
        <f>TEXT(Table1[[#This Row],[Order Date]],"MMM")</f>
        <v>Aug</v>
      </c>
      <c r="W978" t="str">
        <f>TEXT(Table1[[#This Row],[Order Date]],"yyyy")</f>
        <v>2025</v>
      </c>
    </row>
    <row r="979" spans="1:23" x14ac:dyDescent="0.25">
      <c r="A979" s="2" t="s">
        <v>1225</v>
      </c>
      <c r="B979" s="4">
        <v>45899</v>
      </c>
      <c r="C979" s="2" t="s">
        <v>458</v>
      </c>
      <c r="D979" s="2" t="str">
        <f>TEXT(Table1[[#This Row],[Order Date]],"mmmm")</f>
        <v>August</v>
      </c>
      <c r="E979" s="2" t="s">
        <v>66</v>
      </c>
      <c r="F979" s="2">
        <v>3</v>
      </c>
      <c r="G979" s="5">
        <v>0.1</v>
      </c>
      <c r="H979" s="2" t="s">
        <v>19</v>
      </c>
      <c r="I979" s="2" t="s">
        <v>46</v>
      </c>
      <c r="J979" s="2" t="s">
        <v>21</v>
      </c>
      <c r="K979">
        <f>VLOOKUP(E979,Products!$A$2:$E$23,5,0)</f>
        <v>1299</v>
      </c>
      <c r="L979">
        <f>VLOOKUP(E979,Products!$A$2:$E$23,4,0)</f>
        <v>800</v>
      </c>
      <c r="M979" s="2">
        <f>K979*F979-Table1[[#This Row],[discount_amount]]</f>
        <v>3507.3</v>
      </c>
      <c r="N979">
        <f t="shared" si="31"/>
        <v>2400</v>
      </c>
      <c r="O979">
        <f t="shared" si="30"/>
        <v>1107.3000000000002</v>
      </c>
      <c r="P979">
        <f>Table1[[#This Row],[Quantity]]*Table1[[#This Row],[unit_price]]*Table1[[#This Row],[Discount]]</f>
        <v>389.70000000000005</v>
      </c>
      <c r="Q979" t="str">
        <f>VLOOKUP(E979,Products!$A$2:$E$23,2,0)</f>
        <v>Power Bank 10000mAh</v>
      </c>
      <c r="R979" t="str">
        <f>VLOOKUP(Table1[[#This Row],[Product ID]],Products!$A$2:$E$23,3,0)</f>
        <v>Electronics</v>
      </c>
      <c r="S979" t="str">
        <f>VLOOKUP(C979,Customers!$A$2:$F$201,4,0)</f>
        <v>Gujarat</v>
      </c>
      <c r="T979" t="str">
        <f>VLOOKUP(Table1[[#This Row],[Customer ID]],Customers!$A$2:$F$201,5,0)</f>
        <v>West</v>
      </c>
      <c r="U979" t="str">
        <f>VLOOKUP(Table1[[#This Row],[Customer ID]],Customers!$A$2:$F$201,6,0)</f>
        <v>Consumer</v>
      </c>
      <c r="V979" t="str">
        <f>TEXT(Table1[[#This Row],[Order Date]],"MMM")</f>
        <v>Aug</v>
      </c>
      <c r="W979" t="str">
        <f>TEXT(Table1[[#This Row],[Order Date]],"yyyy")</f>
        <v>2025</v>
      </c>
    </row>
    <row r="980" spans="1:23" x14ac:dyDescent="0.25">
      <c r="A980" s="2" t="s">
        <v>1226</v>
      </c>
      <c r="B980" s="4">
        <v>45899</v>
      </c>
      <c r="C980" s="2" t="s">
        <v>40</v>
      </c>
      <c r="D980" s="2" t="str">
        <f>TEXT(Table1[[#This Row],[Order Date]],"mmmm")</f>
        <v>August</v>
      </c>
      <c r="E980" s="2" t="s">
        <v>127</v>
      </c>
      <c r="F980" s="2">
        <v>4</v>
      </c>
      <c r="G980" s="5">
        <v>0</v>
      </c>
      <c r="H980" s="2" t="s">
        <v>19</v>
      </c>
      <c r="I980" s="2" t="s">
        <v>20</v>
      </c>
      <c r="J980" s="2" t="s">
        <v>21</v>
      </c>
      <c r="K980">
        <f>VLOOKUP(E980,Products!$A$2:$E$23,5,0)</f>
        <v>1999</v>
      </c>
      <c r="L980">
        <f>VLOOKUP(E980,Products!$A$2:$E$23,4,0)</f>
        <v>1200</v>
      </c>
      <c r="M980" s="2">
        <f>K980*F980-Table1[[#This Row],[discount_amount]]</f>
        <v>7996</v>
      </c>
      <c r="N980">
        <f t="shared" si="31"/>
        <v>4800</v>
      </c>
      <c r="O980">
        <f t="shared" si="30"/>
        <v>3196</v>
      </c>
      <c r="P980">
        <f>Table1[[#This Row],[Quantity]]*Table1[[#This Row],[unit_price]]*Table1[[#This Row],[Discount]]</f>
        <v>0</v>
      </c>
      <c r="Q980" t="str">
        <f>VLOOKUP(E980,Products!$A$2:$E$23,2,0)</f>
        <v>Bluetooth Speaker</v>
      </c>
      <c r="R980" t="str">
        <f>VLOOKUP(Table1[[#This Row],[Product ID]],Products!$A$2:$E$23,3,0)</f>
        <v>Electronics</v>
      </c>
      <c r="S980" t="str">
        <f>VLOOKUP(C980,Customers!$A$2:$F$201,4,0)</f>
        <v>Telangana</v>
      </c>
      <c r="T980" t="str">
        <f>VLOOKUP(Table1[[#This Row],[Customer ID]],Customers!$A$2:$F$201,5,0)</f>
        <v>South</v>
      </c>
      <c r="U980" t="str">
        <f>VLOOKUP(Table1[[#This Row],[Customer ID]],Customers!$A$2:$F$201,6,0)</f>
        <v>Corporate</v>
      </c>
      <c r="V980" t="str">
        <f>TEXT(Table1[[#This Row],[Order Date]],"MMM")</f>
        <v>Aug</v>
      </c>
      <c r="W980" t="str">
        <f>TEXT(Table1[[#This Row],[Order Date]],"yyyy")</f>
        <v>2025</v>
      </c>
    </row>
    <row r="981" spans="1:23" x14ac:dyDescent="0.25">
      <c r="A981" s="2" t="s">
        <v>1227</v>
      </c>
      <c r="B981" s="4">
        <v>45900</v>
      </c>
      <c r="C981" s="2" t="s">
        <v>219</v>
      </c>
      <c r="D981" s="2" t="str">
        <f>TEXT(Table1[[#This Row],[Order Date]],"mmmm")</f>
        <v>August</v>
      </c>
      <c r="E981" s="2" t="s">
        <v>155</v>
      </c>
      <c r="F981" s="2">
        <v>2</v>
      </c>
      <c r="G981" s="5">
        <v>0.05</v>
      </c>
      <c r="H981" s="2" t="s">
        <v>19</v>
      </c>
      <c r="I981" s="2" t="s">
        <v>38</v>
      </c>
      <c r="J981" s="2" t="s">
        <v>21</v>
      </c>
      <c r="K981">
        <f>VLOOKUP(E981,Products!$A$2:$E$23,5,0)</f>
        <v>1599</v>
      </c>
      <c r="L981">
        <f>VLOOKUP(E981,Products!$A$2:$E$23,4,0)</f>
        <v>900</v>
      </c>
      <c r="M981" s="2">
        <f>K981*F981-Table1[[#This Row],[discount_amount]]</f>
        <v>3038.1</v>
      </c>
      <c r="N981">
        <f t="shared" si="31"/>
        <v>1800</v>
      </c>
      <c r="O981">
        <f t="shared" si="30"/>
        <v>1238.0999999999999</v>
      </c>
      <c r="P981">
        <f>Table1[[#This Row],[Quantity]]*Table1[[#This Row],[unit_price]]*Table1[[#This Row],[Discount]]</f>
        <v>159.9</v>
      </c>
      <c r="Q981" t="str">
        <f>VLOOKUP(E981,Products!$A$2:$E$23,2,0)</f>
        <v>Headphones</v>
      </c>
      <c r="R981" t="str">
        <f>VLOOKUP(Table1[[#This Row],[Product ID]],Products!$A$2:$E$23,3,0)</f>
        <v>Electronics</v>
      </c>
      <c r="S981" t="str">
        <f>VLOOKUP(C981,Customers!$A$2:$F$201,4,0)</f>
        <v>Gujarat</v>
      </c>
      <c r="T981" t="str">
        <f>VLOOKUP(Table1[[#This Row],[Customer ID]],Customers!$A$2:$F$201,5,0)</f>
        <v>West</v>
      </c>
      <c r="U981" t="str">
        <f>VLOOKUP(Table1[[#This Row],[Customer ID]],Customers!$A$2:$F$201,6,0)</f>
        <v>Consumer</v>
      </c>
      <c r="V981" t="str">
        <f>TEXT(Table1[[#This Row],[Order Date]],"MMM")</f>
        <v>Aug</v>
      </c>
      <c r="W981" t="str">
        <f>TEXT(Table1[[#This Row],[Order Date]],"yyyy")</f>
        <v>2025</v>
      </c>
    </row>
    <row r="982" spans="1:23" x14ac:dyDescent="0.25">
      <c r="A982" s="2" t="s">
        <v>1228</v>
      </c>
      <c r="B982" s="4">
        <v>45900</v>
      </c>
      <c r="C982" s="2" t="s">
        <v>190</v>
      </c>
      <c r="D982" s="2" t="str">
        <f>TEXT(Table1[[#This Row],[Order Date]],"mmmm")</f>
        <v>August</v>
      </c>
      <c r="E982" s="2" t="s">
        <v>127</v>
      </c>
      <c r="F982" s="2">
        <v>2</v>
      </c>
      <c r="G982" s="5">
        <v>0.1</v>
      </c>
      <c r="H982" s="2" t="s">
        <v>19</v>
      </c>
      <c r="I982" s="2" t="s">
        <v>31</v>
      </c>
      <c r="J982" s="2" t="s">
        <v>21</v>
      </c>
      <c r="K982">
        <f>VLOOKUP(E982,Products!$A$2:$E$23,5,0)</f>
        <v>1999</v>
      </c>
      <c r="L982">
        <f>VLOOKUP(E982,Products!$A$2:$E$23,4,0)</f>
        <v>1200</v>
      </c>
      <c r="M982" s="2">
        <f>K982*F982-Table1[[#This Row],[discount_amount]]</f>
        <v>3598.2</v>
      </c>
      <c r="N982">
        <f t="shared" si="31"/>
        <v>2400</v>
      </c>
      <c r="O982">
        <f t="shared" si="30"/>
        <v>1198.1999999999998</v>
      </c>
      <c r="P982">
        <f>Table1[[#This Row],[Quantity]]*Table1[[#This Row],[unit_price]]*Table1[[#This Row],[Discount]]</f>
        <v>399.8</v>
      </c>
      <c r="Q982" t="str">
        <f>VLOOKUP(E982,Products!$A$2:$E$23,2,0)</f>
        <v>Bluetooth Speaker</v>
      </c>
      <c r="R982" t="str">
        <f>VLOOKUP(Table1[[#This Row],[Product ID]],Products!$A$2:$E$23,3,0)</f>
        <v>Electronics</v>
      </c>
      <c r="S982" t="str">
        <f>VLOOKUP(C982,Customers!$A$2:$F$201,4,0)</f>
        <v>Odisha</v>
      </c>
      <c r="T982" t="str">
        <f>VLOOKUP(Table1[[#This Row],[Customer ID]],Customers!$A$2:$F$201,5,0)</f>
        <v>East</v>
      </c>
      <c r="U982" t="str">
        <f>VLOOKUP(Table1[[#This Row],[Customer ID]],Customers!$A$2:$F$201,6,0)</f>
        <v>Consumer</v>
      </c>
      <c r="V982" t="str">
        <f>TEXT(Table1[[#This Row],[Order Date]],"MMM")</f>
        <v>Aug</v>
      </c>
      <c r="W982" t="str">
        <f>TEXT(Table1[[#This Row],[Order Date]],"yyyy")</f>
        <v>2025</v>
      </c>
    </row>
    <row r="983" spans="1:23" x14ac:dyDescent="0.25">
      <c r="A983" s="2" t="s">
        <v>1229</v>
      </c>
      <c r="B983" s="4">
        <v>45901</v>
      </c>
      <c r="C983" s="2" t="s">
        <v>51</v>
      </c>
      <c r="D983" s="2" t="str">
        <f>TEXT(Table1[[#This Row],[Order Date]],"mmmm")</f>
        <v>September</v>
      </c>
      <c r="E983" s="2" t="s">
        <v>60</v>
      </c>
      <c r="F983" s="2">
        <v>1</v>
      </c>
      <c r="G983" s="5">
        <v>0</v>
      </c>
      <c r="H983" s="2" t="s">
        <v>25</v>
      </c>
      <c r="I983" s="2" t="s">
        <v>20</v>
      </c>
      <c r="J983" s="2" t="s">
        <v>21</v>
      </c>
      <c r="K983">
        <f>VLOOKUP(E983,Products!$A$2:$E$23,5,0)</f>
        <v>449</v>
      </c>
      <c r="L983">
        <f>VLOOKUP(E983,Products!$A$2:$E$23,4,0)</f>
        <v>260</v>
      </c>
      <c r="M983" s="2">
        <f>K983*F983-Table1[[#This Row],[discount_amount]]</f>
        <v>449</v>
      </c>
      <c r="N983">
        <f t="shared" si="31"/>
        <v>260</v>
      </c>
      <c r="O983">
        <f t="shared" si="30"/>
        <v>189</v>
      </c>
      <c r="P983">
        <f>Table1[[#This Row],[Quantity]]*Table1[[#This Row],[unit_price]]*Table1[[#This Row],[Discount]]</f>
        <v>0</v>
      </c>
      <c r="Q983" t="str">
        <f>VLOOKUP(E983,Products!$A$2:$E$23,2,0)</f>
        <v>Desk Organizer</v>
      </c>
      <c r="R983" t="str">
        <f>VLOOKUP(Table1[[#This Row],[Product ID]],Products!$A$2:$E$23,3,0)</f>
        <v>Office Supplies</v>
      </c>
      <c r="S983" t="str">
        <f>VLOOKUP(C983,Customers!$A$2:$F$201,4,0)</f>
        <v>Kerala</v>
      </c>
      <c r="T983" t="str">
        <f>VLOOKUP(Table1[[#This Row],[Customer ID]],Customers!$A$2:$F$201,5,0)</f>
        <v>South</v>
      </c>
      <c r="U983" t="str">
        <f>VLOOKUP(Table1[[#This Row],[Customer ID]],Customers!$A$2:$F$201,6,0)</f>
        <v>Consumer</v>
      </c>
      <c r="V983" t="str">
        <f>TEXT(Table1[[#This Row],[Order Date]],"MMM")</f>
        <v>Sep</v>
      </c>
      <c r="W983" t="str">
        <f>TEXT(Table1[[#This Row],[Order Date]],"yyyy")</f>
        <v>2025</v>
      </c>
    </row>
    <row r="984" spans="1:23" x14ac:dyDescent="0.25">
      <c r="A984" s="2" t="s">
        <v>1230</v>
      </c>
      <c r="B984" s="4">
        <v>45901</v>
      </c>
      <c r="C984" s="2" t="s">
        <v>148</v>
      </c>
      <c r="D984" s="2" t="str">
        <f>TEXT(Table1[[#This Row],[Order Date]],"mmmm")</f>
        <v>September</v>
      </c>
      <c r="E984" s="2" t="s">
        <v>29</v>
      </c>
      <c r="F984" s="2">
        <v>1</v>
      </c>
      <c r="G984" s="5">
        <v>0.05</v>
      </c>
      <c r="H984" s="2" t="s">
        <v>30</v>
      </c>
      <c r="I984" s="2" t="s">
        <v>26</v>
      </c>
      <c r="J984" s="2" t="s">
        <v>21</v>
      </c>
      <c r="K984">
        <f>VLOOKUP(E984,Products!$A$2:$E$23,5,0)</f>
        <v>599</v>
      </c>
      <c r="L984">
        <f>VLOOKUP(E984,Products!$A$2:$E$23,4,0)</f>
        <v>350</v>
      </c>
      <c r="M984" s="2">
        <f>K984*F984-Table1[[#This Row],[discount_amount]]</f>
        <v>569.04999999999995</v>
      </c>
      <c r="N984">
        <f t="shared" si="31"/>
        <v>350</v>
      </c>
      <c r="O984">
        <f t="shared" si="30"/>
        <v>219.04999999999995</v>
      </c>
      <c r="P984">
        <f>Table1[[#This Row],[Quantity]]*Table1[[#This Row],[unit_price]]*Table1[[#This Row],[Discount]]</f>
        <v>29.950000000000003</v>
      </c>
      <c r="Q984" t="str">
        <f>VLOOKUP(E984,Products!$A$2:$E$23,2,0)</f>
        <v>USB Flash Drive 64GB</v>
      </c>
      <c r="R984" t="str">
        <f>VLOOKUP(Table1[[#This Row],[Product ID]],Products!$A$2:$E$23,3,0)</f>
        <v>Electronics</v>
      </c>
      <c r="S984" t="str">
        <f>VLOOKUP(C984,Customers!$A$2:$F$201,4,0)</f>
        <v>Uttar Pradesh</v>
      </c>
      <c r="T984" t="str">
        <f>VLOOKUP(Table1[[#This Row],[Customer ID]],Customers!$A$2:$F$201,5,0)</f>
        <v>North</v>
      </c>
      <c r="U984" t="str">
        <f>VLOOKUP(Table1[[#This Row],[Customer ID]],Customers!$A$2:$F$201,6,0)</f>
        <v>Corporate</v>
      </c>
      <c r="V984" t="str">
        <f>TEXT(Table1[[#This Row],[Order Date]],"MMM")</f>
        <v>Sep</v>
      </c>
      <c r="W984" t="str">
        <f>TEXT(Table1[[#This Row],[Order Date]],"yyyy")</f>
        <v>2025</v>
      </c>
    </row>
    <row r="985" spans="1:23" x14ac:dyDescent="0.25">
      <c r="A985" s="2" t="s">
        <v>1231</v>
      </c>
      <c r="B985" s="4">
        <v>45902</v>
      </c>
      <c r="C985" s="2" t="s">
        <v>428</v>
      </c>
      <c r="D985" s="2" t="str">
        <f>TEXT(Table1[[#This Row],[Order Date]],"mmmm")</f>
        <v>September</v>
      </c>
      <c r="E985" s="2" t="s">
        <v>121</v>
      </c>
      <c r="F985" s="2">
        <v>1</v>
      </c>
      <c r="G985" s="5">
        <v>0</v>
      </c>
      <c r="H985" s="2" t="s">
        <v>30</v>
      </c>
      <c r="I985" s="2" t="s">
        <v>26</v>
      </c>
      <c r="J985" s="2" t="s">
        <v>21</v>
      </c>
      <c r="K985">
        <f>VLOOKUP(E985,Products!$A$2:$E$23,5,0)</f>
        <v>499</v>
      </c>
      <c r="L985">
        <f>VLOOKUP(E985,Products!$A$2:$E$23,4,0)</f>
        <v>250</v>
      </c>
      <c r="M985" s="2">
        <f>K985*F985-Table1[[#This Row],[discount_amount]]</f>
        <v>499</v>
      </c>
      <c r="N985">
        <f t="shared" si="31"/>
        <v>250</v>
      </c>
      <c r="O985">
        <f t="shared" si="30"/>
        <v>249</v>
      </c>
      <c r="P985">
        <f>Table1[[#This Row],[Quantity]]*Table1[[#This Row],[unit_price]]*Table1[[#This Row],[Discount]]</f>
        <v>0</v>
      </c>
      <c r="Q985" t="str">
        <f>VLOOKUP(E985,Products!$A$2:$E$23,2,0)</f>
        <v>Cotton T-Shirt</v>
      </c>
      <c r="R985" t="str">
        <f>VLOOKUP(Table1[[#This Row],[Product ID]],Products!$A$2:$E$23,3,0)</f>
        <v>Clothing</v>
      </c>
      <c r="S985" t="str">
        <f>VLOOKUP(C985,Customers!$A$2:$F$201,4,0)</f>
        <v>Madhya Pradesh</v>
      </c>
      <c r="T985" t="str">
        <f>VLOOKUP(Table1[[#This Row],[Customer ID]],Customers!$A$2:$F$201,5,0)</f>
        <v>Central</v>
      </c>
      <c r="U985" t="str">
        <f>VLOOKUP(Table1[[#This Row],[Customer ID]],Customers!$A$2:$F$201,6,0)</f>
        <v>Consumer</v>
      </c>
      <c r="V985" t="str">
        <f>TEXT(Table1[[#This Row],[Order Date]],"MMM")</f>
        <v>Sep</v>
      </c>
      <c r="W985" t="str">
        <f>TEXT(Table1[[#This Row],[Order Date]],"yyyy")</f>
        <v>2025</v>
      </c>
    </row>
    <row r="986" spans="1:23" x14ac:dyDescent="0.25">
      <c r="A986" s="2" t="s">
        <v>1232</v>
      </c>
      <c r="B986" s="4">
        <v>45902</v>
      </c>
      <c r="C986" s="2" t="s">
        <v>278</v>
      </c>
      <c r="D986" s="2" t="str">
        <f>TEXT(Table1[[#This Row],[Order Date]],"mmmm")</f>
        <v>September</v>
      </c>
      <c r="E986" s="2" t="s">
        <v>91</v>
      </c>
      <c r="F986" s="2">
        <v>6</v>
      </c>
      <c r="G986" s="5">
        <v>0</v>
      </c>
      <c r="H986" s="2" t="s">
        <v>30</v>
      </c>
      <c r="I986" s="2" t="s">
        <v>46</v>
      </c>
      <c r="J986" s="2" t="s">
        <v>21</v>
      </c>
      <c r="K986">
        <f>VLOOKUP(E986,Products!$A$2:$E$23,5,0)</f>
        <v>1199</v>
      </c>
      <c r="L986">
        <f>VLOOKUP(E986,Products!$A$2:$E$23,4,0)</f>
        <v>600</v>
      </c>
      <c r="M986" s="2">
        <f>K986*F986-Table1[[#This Row],[discount_amount]]</f>
        <v>7194</v>
      </c>
      <c r="N986">
        <f t="shared" si="31"/>
        <v>3600</v>
      </c>
      <c r="O986">
        <f t="shared" si="30"/>
        <v>3594</v>
      </c>
      <c r="P986">
        <f>Table1[[#This Row],[Quantity]]*Table1[[#This Row],[unit_price]]*Table1[[#This Row],[Discount]]</f>
        <v>0</v>
      </c>
      <c r="Q986" t="str">
        <f>VLOOKUP(E986,Products!$A$2:$E$23,2,0)</f>
        <v>Formal Shirt</v>
      </c>
      <c r="R986" t="str">
        <f>VLOOKUP(Table1[[#This Row],[Product ID]],Products!$A$2:$E$23,3,0)</f>
        <v>Clothing</v>
      </c>
      <c r="S986" t="str">
        <f>VLOOKUP(C986,Customers!$A$2:$F$201,4,0)</f>
        <v>Odisha</v>
      </c>
      <c r="T986" t="str">
        <f>VLOOKUP(Table1[[#This Row],[Customer ID]],Customers!$A$2:$F$201,5,0)</f>
        <v>East</v>
      </c>
      <c r="U986" t="str">
        <f>VLOOKUP(Table1[[#This Row],[Customer ID]],Customers!$A$2:$F$201,6,0)</f>
        <v>Corporate</v>
      </c>
      <c r="V986" t="str">
        <f>TEXT(Table1[[#This Row],[Order Date]],"MMM")</f>
        <v>Sep</v>
      </c>
      <c r="W986" t="str">
        <f>TEXT(Table1[[#This Row],[Order Date]],"yyyy")</f>
        <v>2025</v>
      </c>
    </row>
    <row r="987" spans="1:23" x14ac:dyDescent="0.25">
      <c r="A987" s="2" t="s">
        <v>1233</v>
      </c>
      <c r="B987" s="4">
        <v>45902</v>
      </c>
      <c r="C987" s="2" t="s">
        <v>591</v>
      </c>
      <c r="D987" s="2" t="str">
        <f>TEXT(Table1[[#This Row],[Order Date]],"mmmm")</f>
        <v>September</v>
      </c>
      <c r="E987" s="2" t="s">
        <v>41</v>
      </c>
      <c r="F987" s="2">
        <v>2</v>
      </c>
      <c r="G987" s="5">
        <v>0.1</v>
      </c>
      <c r="H987" s="2" t="s">
        <v>19</v>
      </c>
      <c r="I987" s="2" t="s">
        <v>31</v>
      </c>
      <c r="J987" s="2" t="s">
        <v>21</v>
      </c>
      <c r="K987">
        <f>VLOOKUP(E987,Products!$A$2:$E$23,5,0)</f>
        <v>320</v>
      </c>
      <c r="L987">
        <f>VLOOKUP(E987,Products!$A$2:$E$23,4,0)</f>
        <v>220</v>
      </c>
      <c r="M987" s="2">
        <f>K987*F987-Table1[[#This Row],[discount_amount]]</f>
        <v>576</v>
      </c>
      <c r="N987">
        <f t="shared" si="31"/>
        <v>440</v>
      </c>
      <c r="O987">
        <f t="shared" si="30"/>
        <v>136</v>
      </c>
      <c r="P987">
        <f>Table1[[#This Row],[Quantity]]*Table1[[#This Row],[unit_price]]*Table1[[#This Row],[Discount]]</f>
        <v>64</v>
      </c>
      <c r="Q987" t="str">
        <f>VLOOKUP(E987,Products!$A$2:$E$23,2,0)</f>
        <v>A4 Paper Ream</v>
      </c>
      <c r="R987" t="str">
        <f>VLOOKUP(Table1[[#This Row],[Product ID]],Products!$A$2:$E$23,3,0)</f>
        <v>Office Supplies</v>
      </c>
      <c r="S987" t="str">
        <f>VLOOKUP(C987,Customers!$A$2:$F$201,4,0)</f>
        <v>West Bengal</v>
      </c>
      <c r="T987" t="str">
        <f>VLOOKUP(Table1[[#This Row],[Customer ID]],Customers!$A$2:$F$201,5,0)</f>
        <v>East</v>
      </c>
      <c r="U987" t="str">
        <f>VLOOKUP(Table1[[#This Row],[Customer ID]],Customers!$A$2:$F$201,6,0)</f>
        <v>Corporate</v>
      </c>
      <c r="V987" t="str">
        <f>TEXT(Table1[[#This Row],[Order Date]],"MMM")</f>
        <v>Sep</v>
      </c>
      <c r="W987" t="str">
        <f>TEXT(Table1[[#This Row],[Order Date]],"yyyy")</f>
        <v>2025</v>
      </c>
    </row>
    <row r="988" spans="1:23" x14ac:dyDescent="0.25">
      <c r="A988" s="2" t="s">
        <v>1234</v>
      </c>
      <c r="B988" s="4">
        <v>45903</v>
      </c>
      <c r="C988" s="2" t="s">
        <v>93</v>
      </c>
      <c r="D988" s="2" t="str">
        <f>TEXT(Table1[[#This Row],[Order Date]],"mmmm")</f>
        <v>September</v>
      </c>
      <c r="E988" s="2" t="s">
        <v>54</v>
      </c>
      <c r="F988" s="2">
        <v>1</v>
      </c>
      <c r="G988" s="5">
        <v>0.1</v>
      </c>
      <c r="H988" s="2" t="s">
        <v>25</v>
      </c>
      <c r="I988" s="2" t="s">
        <v>26</v>
      </c>
      <c r="J988" s="2" t="s">
        <v>94</v>
      </c>
      <c r="K988">
        <f>VLOOKUP(E988,Products!$A$2:$E$23,5,0)</f>
        <v>299</v>
      </c>
      <c r="L988">
        <f>VLOOKUP(E988,Products!$A$2:$E$23,4,0)</f>
        <v>180</v>
      </c>
      <c r="M988" s="2">
        <f>K988*F988-Table1[[#This Row],[discount_amount]]</f>
        <v>269.10000000000002</v>
      </c>
      <c r="N988">
        <f t="shared" si="31"/>
        <v>180</v>
      </c>
      <c r="O988">
        <f t="shared" si="30"/>
        <v>89.100000000000023</v>
      </c>
      <c r="P988">
        <f>Table1[[#This Row],[Quantity]]*Table1[[#This Row],[unit_price]]*Table1[[#This Row],[Discount]]</f>
        <v>29.900000000000002</v>
      </c>
      <c r="Q988" t="str">
        <f>VLOOKUP(E988,Products!$A$2:$E$23,2,0)</f>
        <v>Notebook Pack of 5</v>
      </c>
      <c r="R988" t="str">
        <f>VLOOKUP(Table1[[#This Row],[Product ID]],Products!$A$2:$E$23,3,0)</f>
        <v>Office Supplies</v>
      </c>
      <c r="S988" t="str">
        <f>VLOOKUP(C988,Customers!$A$2:$F$201,4,0)</f>
        <v>Gujarat</v>
      </c>
      <c r="T988" t="str">
        <f>VLOOKUP(Table1[[#This Row],[Customer ID]],Customers!$A$2:$F$201,5,0)</f>
        <v>West</v>
      </c>
      <c r="U988" t="str">
        <f>VLOOKUP(Table1[[#This Row],[Customer ID]],Customers!$A$2:$F$201,6,0)</f>
        <v>Consumer</v>
      </c>
      <c r="V988" t="str">
        <f>TEXT(Table1[[#This Row],[Order Date]],"MMM")</f>
        <v>Sep</v>
      </c>
      <c r="W988" t="str">
        <f>TEXT(Table1[[#This Row],[Order Date]],"yyyy")</f>
        <v>2025</v>
      </c>
    </row>
    <row r="989" spans="1:23" x14ac:dyDescent="0.25">
      <c r="A989" s="2" t="s">
        <v>1235</v>
      </c>
      <c r="B989" s="4">
        <v>45903</v>
      </c>
      <c r="C989" s="2" t="s">
        <v>310</v>
      </c>
      <c r="D989" s="2" t="str">
        <f>TEXT(Table1[[#This Row],[Order Date]],"mmmm")</f>
        <v>September</v>
      </c>
      <c r="E989" s="2" t="s">
        <v>57</v>
      </c>
      <c r="F989" s="2">
        <v>1</v>
      </c>
      <c r="G989" s="5">
        <v>0</v>
      </c>
      <c r="H989" s="2" t="s">
        <v>19</v>
      </c>
      <c r="I989" s="2" t="s">
        <v>31</v>
      </c>
      <c r="J989" s="2" t="s">
        <v>94</v>
      </c>
      <c r="K989">
        <f>VLOOKUP(E989,Products!$A$2:$E$23,5,0)</f>
        <v>1599</v>
      </c>
      <c r="L989">
        <f>VLOOKUP(E989,Products!$A$2:$E$23,4,0)</f>
        <v>800</v>
      </c>
      <c r="M989" s="2">
        <f>K989*F989-Table1[[#This Row],[discount_amount]]</f>
        <v>1599</v>
      </c>
      <c r="N989">
        <f t="shared" si="31"/>
        <v>800</v>
      </c>
      <c r="O989">
        <f t="shared" si="30"/>
        <v>799</v>
      </c>
      <c r="P989">
        <f>Table1[[#This Row],[Quantity]]*Table1[[#This Row],[unit_price]]*Table1[[#This Row],[Discount]]</f>
        <v>0</v>
      </c>
      <c r="Q989" t="str">
        <f>VLOOKUP(E989,Products!$A$2:$E$23,2,0)</f>
        <v>Hoodie</v>
      </c>
      <c r="R989" t="str">
        <f>VLOOKUP(Table1[[#This Row],[Product ID]],Products!$A$2:$E$23,3,0)</f>
        <v>Clothing</v>
      </c>
      <c r="S989" t="str">
        <f>VLOOKUP(C989,Customers!$A$2:$F$201,4,0)</f>
        <v>Odisha</v>
      </c>
      <c r="T989" t="str">
        <f>VLOOKUP(Table1[[#This Row],[Customer ID]],Customers!$A$2:$F$201,5,0)</f>
        <v>East</v>
      </c>
      <c r="U989" t="str">
        <f>VLOOKUP(Table1[[#This Row],[Customer ID]],Customers!$A$2:$F$201,6,0)</f>
        <v>Consumer</v>
      </c>
      <c r="V989" t="str">
        <f>TEXT(Table1[[#This Row],[Order Date]],"MMM")</f>
        <v>Sep</v>
      </c>
      <c r="W989" t="str">
        <f>TEXT(Table1[[#This Row],[Order Date]],"yyyy")</f>
        <v>2025</v>
      </c>
    </row>
    <row r="990" spans="1:23" x14ac:dyDescent="0.25">
      <c r="A990" s="2" t="s">
        <v>1236</v>
      </c>
      <c r="B990" s="4">
        <v>45903</v>
      </c>
      <c r="C990" s="2" t="s">
        <v>123</v>
      </c>
      <c r="D990" s="2" t="str">
        <f>TEXT(Table1[[#This Row],[Order Date]],"mmmm")</f>
        <v>September</v>
      </c>
      <c r="E990" s="2" t="s">
        <v>18</v>
      </c>
      <c r="F990" s="2">
        <v>5</v>
      </c>
      <c r="G990" s="5">
        <v>0.2</v>
      </c>
      <c r="H990" s="2" t="s">
        <v>30</v>
      </c>
      <c r="I990" s="2" t="s">
        <v>31</v>
      </c>
      <c r="J990" s="2" t="s">
        <v>21</v>
      </c>
      <c r="K990">
        <f>VLOOKUP(E990,Products!$A$2:$E$23,5,0)</f>
        <v>4299</v>
      </c>
      <c r="L990">
        <f>VLOOKUP(E990,Products!$A$2:$E$23,4,0)</f>
        <v>2800</v>
      </c>
      <c r="M990" s="2">
        <f>K990*F990-Table1[[#This Row],[discount_amount]]</f>
        <v>17196</v>
      </c>
      <c r="N990">
        <f t="shared" si="31"/>
        <v>14000</v>
      </c>
      <c r="O990">
        <f t="shared" si="30"/>
        <v>3196</v>
      </c>
      <c r="P990">
        <f>Table1[[#This Row],[Quantity]]*Table1[[#This Row],[unit_price]]*Table1[[#This Row],[Discount]]</f>
        <v>4299</v>
      </c>
      <c r="Q990" t="str">
        <f>VLOOKUP(E990,Products!$A$2:$E$23,2,0)</f>
        <v>Bookshelf</v>
      </c>
      <c r="R990" t="str">
        <f>VLOOKUP(Table1[[#This Row],[Product ID]],Products!$A$2:$E$23,3,0)</f>
        <v>Furniture</v>
      </c>
      <c r="S990" t="str">
        <f>VLOOKUP(C990,Customers!$A$2:$F$201,4,0)</f>
        <v>Uttar Pradesh</v>
      </c>
      <c r="T990" t="str">
        <f>VLOOKUP(Table1[[#This Row],[Customer ID]],Customers!$A$2:$F$201,5,0)</f>
        <v>North</v>
      </c>
      <c r="U990" t="str">
        <f>VLOOKUP(Table1[[#This Row],[Customer ID]],Customers!$A$2:$F$201,6,0)</f>
        <v>Consumer</v>
      </c>
      <c r="V990" t="str">
        <f>TEXT(Table1[[#This Row],[Order Date]],"MMM")</f>
        <v>Sep</v>
      </c>
      <c r="W990" t="str">
        <f>TEXT(Table1[[#This Row],[Order Date]],"yyyy")</f>
        <v>2025</v>
      </c>
    </row>
    <row r="991" spans="1:23" x14ac:dyDescent="0.25">
      <c r="A991" s="2" t="s">
        <v>1237</v>
      </c>
      <c r="B991" s="4">
        <v>45903</v>
      </c>
      <c r="C991" s="2" t="s">
        <v>636</v>
      </c>
      <c r="D991" s="2" t="str">
        <f>TEXT(Table1[[#This Row],[Order Date]],"mmmm")</f>
        <v>September</v>
      </c>
      <c r="E991" s="2" t="s">
        <v>60</v>
      </c>
      <c r="F991" s="2">
        <v>1</v>
      </c>
      <c r="G991" s="5">
        <v>0</v>
      </c>
      <c r="H991" s="2" t="s">
        <v>30</v>
      </c>
      <c r="I991" s="2" t="s">
        <v>26</v>
      </c>
      <c r="J991" s="2" t="s">
        <v>21</v>
      </c>
      <c r="K991">
        <f>VLOOKUP(E991,Products!$A$2:$E$23,5,0)</f>
        <v>449</v>
      </c>
      <c r="L991">
        <f>VLOOKUP(E991,Products!$A$2:$E$23,4,0)</f>
        <v>260</v>
      </c>
      <c r="M991" s="2">
        <f>K991*F991-Table1[[#This Row],[discount_amount]]</f>
        <v>449</v>
      </c>
      <c r="N991">
        <f t="shared" si="31"/>
        <v>260</v>
      </c>
      <c r="O991">
        <f t="shared" si="30"/>
        <v>189</v>
      </c>
      <c r="P991">
        <f>Table1[[#This Row],[Quantity]]*Table1[[#This Row],[unit_price]]*Table1[[#This Row],[Discount]]</f>
        <v>0</v>
      </c>
      <c r="Q991" t="str">
        <f>VLOOKUP(E991,Products!$A$2:$E$23,2,0)</f>
        <v>Desk Organizer</v>
      </c>
      <c r="R991" t="str">
        <f>VLOOKUP(Table1[[#This Row],[Product ID]],Products!$A$2:$E$23,3,0)</f>
        <v>Office Supplies</v>
      </c>
      <c r="S991" t="str">
        <f>VLOOKUP(C991,Customers!$A$2:$F$201,4,0)</f>
        <v>Rajasthan</v>
      </c>
      <c r="T991" t="str">
        <f>VLOOKUP(Table1[[#This Row],[Customer ID]],Customers!$A$2:$F$201,5,0)</f>
        <v>North</v>
      </c>
      <c r="U991" t="str">
        <f>VLOOKUP(Table1[[#This Row],[Customer ID]],Customers!$A$2:$F$201,6,0)</f>
        <v>Home Office</v>
      </c>
      <c r="V991" t="str">
        <f>TEXT(Table1[[#This Row],[Order Date]],"MMM")</f>
        <v>Sep</v>
      </c>
      <c r="W991" t="str">
        <f>TEXT(Table1[[#This Row],[Order Date]],"yyyy")</f>
        <v>2025</v>
      </c>
    </row>
    <row r="992" spans="1:23" x14ac:dyDescent="0.25">
      <c r="A992" s="2" t="s">
        <v>1238</v>
      </c>
      <c r="B992" s="4">
        <v>45904</v>
      </c>
      <c r="C992" s="2" t="s">
        <v>363</v>
      </c>
      <c r="D992" s="2" t="str">
        <f>TEXT(Table1[[#This Row],[Order Date]],"mmmm")</f>
        <v>September</v>
      </c>
      <c r="E992" s="2" t="s">
        <v>29</v>
      </c>
      <c r="F992" s="2">
        <v>1</v>
      </c>
      <c r="G992" s="5">
        <v>0.1</v>
      </c>
      <c r="H992" s="2" t="s">
        <v>19</v>
      </c>
      <c r="I992" s="2" t="s">
        <v>20</v>
      </c>
      <c r="J992" s="2" t="s">
        <v>21</v>
      </c>
      <c r="K992">
        <f>VLOOKUP(E992,Products!$A$2:$E$23,5,0)</f>
        <v>599</v>
      </c>
      <c r="L992">
        <f>VLOOKUP(E992,Products!$A$2:$E$23,4,0)</f>
        <v>350</v>
      </c>
      <c r="M992" s="2">
        <f>K992*F992-Table1[[#This Row],[discount_amount]]</f>
        <v>539.1</v>
      </c>
      <c r="N992">
        <f t="shared" si="31"/>
        <v>350</v>
      </c>
      <c r="O992">
        <f t="shared" si="30"/>
        <v>189.10000000000002</v>
      </c>
      <c r="P992">
        <f>Table1[[#This Row],[Quantity]]*Table1[[#This Row],[unit_price]]*Table1[[#This Row],[Discount]]</f>
        <v>59.900000000000006</v>
      </c>
      <c r="Q992" t="str">
        <f>VLOOKUP(E992,Products!$A$2:$E$23,2,0)</f>
        <v>USB Flash Drive 64GB</v>
      </c>
      <c r="R992" t="str">
        <f>VLOOKUP(Table1[[#This Row],[Product ID]],Products!$A$2:$E$23,3,0)</f>
        <v>Electronics</v>
      </c>
      <c r="S992" t="str">
        <f>VLOOKUP(C992,Customers!$A$2:$F$201,4,0)</f>
        <v>Karnataka</v>
      </c>
      <c r="T992" t="str">
        <f>VLOOKUP(Table1[[#This Row],[Customer ID]],Customers!$A$2:$F$201,5,0)</f>
        <v>South</v>
      </c>
      <c r="U992" t="str">
        <f>VLOOKUP(Table1[[#This Row],[Customer ID]],Customers!$A$2:$F$201,6,0)</f>
        <v>Corporate</v>
      </c>
      <c r="V992" t="str">
        <f>TEXT(Table1[[#This Row],[Order Date]],"MMM")</f>
        <v>Sep</v>
      </c>
      <c r="W992" t="str">
        <f>TEXT(Table1[[#This Row],[Order Date]],"yyyy")</f>
        <v>2025</v>
      </c>
    </row>
    <row r="993" spans="1:23" x14ac:dyDescent="0.25">
      <c r="A993" s="2" t="s">
        <v>1239</v>
      </c>
      <c r="B993" s="4">
        <v>45904</v>
      </c>
      <c r="C993" s="2" t="s">
        <v>62</v>
      </c>
      <c r="D993" s="2" t="str">
        <f>TEXT(Table1[[#This Row],[Order Date]],"mmmm")</f>
        <v>September</v>
      </c>
      <c r="E993" s="2" t="s">
        <v>63</v>
      </c>
      <c r="F993" s="2">
        <v>10</v>
      </c>
      <c r="G993" s="5">
        <v>0.2</v>
      </c>
      <c r="H993" s="2" t="s">
        <v>25</v>
      </c>
      <c r="I993" s="2" t="s">
        <v>26</v>
      </c>
      <c r="J993" s="2" t="s">
        <v>21</v>
      </c>
      <c r="K993">
        <f>VLOOKUP(E993,Products!$A$2:$E$23,5,0)</f>
        <v>5499</v>
      </c>
      <c r="L993">
        <f>VLOOKUP(E993,Products!$A$2:$E$23,4,0)</f>
        <v>3500</v>
      </c>
      <c r="M993" s="2">
        <f>K993*F993-Table1[[#This Row],[discount_amount]]</f>
        <v>43992</v>
      </c>
      <c r="N993">
        <f t="shared" si="31"/>
        <v>35000</v>
      </c>
      <c r="O993">
        <f t="shared" si="30"/>
        <v>8992</v>
      </c>
      <c r="P993">
        <f>Table1[[#This Row],[Quantity]]*Table1[[#This Row],[unit_price]]*Table1[[#This Row],[Discount]]</f>
        <v>10998</v>
      </c>
      <c r="Q993" t="str">
        <f>VLOOKUP(E993,Products!$A$2:$E$23,2,0)</f>
        <v>Office Chair</v>
      </c>
      <c r="R993" t="str">
        <f>VLOOKUP(Table1[[#This Row],[Product ID]],Products!$A$2:$E$23,3,0)</f>
        <v>Furniture</v>
      </c>
      <c r="S993" t="str">
        <f>VLOOKUP(C993,Customers!$A$2:$F$201,4,0)</f>
        <v>Maharashtra</v>
      </c>
      <c r="T993" t="str">
        <f>VLOOKUP(Table1[[#This Row],[Customer ID]],Customers!$A$2:$F$201,5,0)</f>
        <v>West</v>
      </c>
      <c r="U993" t="str">
        <f>VLOOKUP(Table1[[#This Row],[Customer ID]],Customers!$A$2:$F$201,6,0)</f>
        <v>Consumer</v>
      </c>
      <c r="V993" t="str">
        <f>TEXT(Table1[[#This Row],[Order Date]],"MMM")</f>
        <v>Sep</v>
      </c>
      <c r="W993" t="str">
        <f>TEXT(Table1[[#This Row],[Order Date]],"yyyy")</f>
        <v>2025</v>
      </c>
    </row>
    <row r="994" spans="1:23" x14ac:dyDescent="0.25">
      <c r="A994" s="2" t="s">
        <v>1240</v>
      </c>
      <c r="B994" s="4">
        <v>45905</v>
      </c>
      <c r="C994" s="2" t="s">
        <v>237</v>
      </c>
      <c r="D994" s="2" t="str">
        <f>TEXT(Table1[[#This Row],[Order Date]],"mmmm")</f>
        <v>September</v>
      </c>
      <c r="E994" s="2" t="s">
        <v>57</v>
      </c>
      <c r="F994" s="2">
        <v>6</v>
      </c>
      <c r="G994" s="5">
        <v>0</v>
      </c>
      <c r="H994" s="2" t="s">
        <v>19</v>
      </c>
      <c r="I994" s="2" t="s">
        <v>26</v>
      </c>
      <c r="J994" s="2" t="s">
        <v>21</v>
      </c>
      <c r="K994">
        <f>VLOOKUP(E994,Products!$A$2:$E$23,5,0)</f>
        <v>1599</v>
      </c>
      <c r="L994">
        <f>VLOOKUP(E994,Products!$A$2:$E$23,4,0)</f>
        <v>800</v>
      </c>
      <c r="M994" s="2">
        <f>K994*F994-Table1[[#This Row],[discount_amount]]</f>
        <v>9594</v>
      </c>
      <c r="N994">
        <f t="shared" si="31"/>
        <v>4800</v>
      </c>
      <c r="O994">
        <f t="shared" si="30"/>
        <v>4794</v>
      </c>
      <c r="P994">
        <f>Table1[[#This Row],[Quantity]]*Table1[[#This Row],[unit_price]]*Table1[[#This Row],[Discount]]</f>
        <v>0</v>
      </c>
      <c r="Q994" t="str">
        <f>VLOOKUP(E994,Products!$A$2:$E$23,2,0)</f>
        <v>Hoodie</v>
      </c>
      <c r="R994" t="str">
        <f>VLOOKUP(Table1[[#This Row],[Product ID]],Products!$A$2:$E$23,3,0)</f>
        <v>Clothing</v>
      </c>
      <c r="S994" t="str">
        <f>VLOOKUP(C994,Customers!$A$2:$F$201,4,0)</f>
        <v>Madhya Pradesh</v>
      </c>
      <c r="T994" t="str">
        <f>VLOOKUP(Table1[[#This Row],[Customer ID]],Customers!$A$2:$F$201,5,0)</f>
        <v>Central</v>
      </c>
      <c r="U994" t="str">
        <f>VLOOKUP(Table1[[#This Row],[Customer ID]],Customers!$A$2:$F$201,6,0)</f>
        <v>Consumer</v>
      </c>
      <c r="V994" t="str">
        <f>TEXT(Table1[[#This Row],[Order Date]],"MMM")</f>
        <v>Sep</v>
      </c>
      <c r="W994" t="str">
        <f>TEXT(Table1[[#This Row],[Order Date]],"yyyy")</f>
        <v>2025</v>
      </c>
    </row>
    <row r="995" spans="1:23" x14ac:dyDescent="0.25">
      <c r="A995" s="2" t="s">
        <v>1241</v>
      </c>
      <c r="B995" s="4">
        <v>45905</v>
      </c>
      <c r="C995" s="2" t="s">
        <v>413</v>
      </c>
      <c r="D995" s="2" t="str">
        <f>TEXT(Table1[[#This Row],[Order Date]],"mmmm")</f>
        <v>September</v>
      </c>
      <c r="E995" s="2" t="s">
        <v>63</v>
      </c>
      <c r="F995" s="2">
        <v>4</v>
      </c>
      <c r="G995" s="5">
        <v>0</v>
      </c>
      <c r="H995" s="2" t="s">
        <v>25</v>
      </c>
      <c r="I995" s="2" t="s">
        <v>38</v>
      </c>
      <c r="J995" s="2" t="s">
        <v>21</v>
      </c>
      <c r="K995">
        <f>VLOOKUP(E995,Products!$A$2:$E$23,5,0)</f>
        <v>5499</v>
      </c>
      <c r="L995">
        <f>VLOOKUP(E995,Products!$A$2:$E$23,4,0)</f>
        <v>3500</v>
      </c>
      <c r="M995" s="2">
        <f>K995*F995-Table1[[#This Row],[discount_amount]]</f>
        <v>21996</v>
      </c>
      <c r="N995">
        <f t="shared" si="31"/>
        <v>14000</v>
      </c>
      <c r="O995">
        <f t="shared" si="30"/>
        <v>7996</v>
      </c>
      <c r="P995">
        <f>Table1[[#This Row],[Quantity]]*Table1[[#This Row],[unit_price]]*Table1[[#This Row],[Discount]]</f>
        <v>0</v>
      </c>
      <c r="Q995" t="str">
        <f>VLOOKUP(E995,Products!$A$2:$E$23,2,0)</f>
        <v>Office Chair</v>
      </c>
      <c r="R995" t="str">
        <f>VLOOKUP(Table1[[#This Row],[Product ID]],Products!$A$2:$E$23,3,0)</f>
        <v>Furniture</v>
      </c>
      <c r="S995" t="str">
        <f>VLOOKUP(C995,Customers!$A$2:$F$201,4,0)</f>
        <v>Karnataka</v>
      </c>
      <c r="T995" t="str">
        <f>VLOOKUP(Table1[[#This Row],[Customer ID]],Customers!$A$2:$F$201,5,0)</f>
        <v>South</v>
      </c>
      <c r="U995" t="str">
        <f>VLOOKUP(Table1[[#This Row],[Customer ID]],Customers!$A$2:$F$201,6,0)</f>
        <v>Corporate</v>
      </c>
      <c r="V995" t="str">
        <f>TEXT(Table1[[#This Row],[Order Date]],"MMM")</f>
        <v>Sep</v>
      </c>
      <c r="W995" t="str">
        <f>TEXT(Table1[[#This Row],[Order Date]],"yyyy")</f>
        <v>2025</v>
      </c>
    </row>
    <row r="996" spans="1:23" x14ac:dyDescent="0.25">
      <c r="A996" s="2" t="s">
        <v>1242</v>
      </c>
      <c r="B996" s="4">
        <v>45906</v>
      </c>
      <c r="C996" s="2" t="s">
        <v>137</v>
      </c>
      <c r="D996" s="2" t="str">
        <f>TEXT(Table1[[#This Row],[Order Date]],"mmmm")</f>
        <v>September</v>
      </c>
      <c r="E996" s="2" t="s">
        <v>37</v>
      </c>
      <c r="F996" s="2">
        <v>1</v>
      </c>
      <c r="G996" s="5">
        <v>0.15</v>
      </c>
      <c r="H996" s="2" t="s">
        <v>19</v>
      </c>
      <c r="I996" s="2" t="s">
        <v>31</v>
      </c>
      <c r="J996" s="2" t="s">
        <v>21</v>
      </c>
      <c r="K996">
        <f>VLOOKUP(E996,Products!$A$2:$E$23,5,0)</f>
        <v>1799</v>
      </c>
      <c r="L996">
        <f>VLOOKUP(E996,Products!$A$2:$E$23,4,0)</f>
        <v>900</v>
      </c>
      <c r="M996" s="2">
        <f>K996*F996-Table1[[#This Row],[discount_amount]]</f>
        <v>1529.15</v>
      </c>
      <c r="N996">
        <f t="shared" si="31"/>
        <v>900</v>
      </c>
      <c r="O996">
        <f t="shared" si="30"/>
        <v>629.15000000000009</v>
      </c>
      <c r="P996">
        <f>Table1[[#This Row],[Quantity]]*Table1[[#This Row],[unit_price]]*Table1[[#This Row],[Discount]]</f>
        <v>269.84999999999997</v>
      </c>
      <c r="Q996" t="str">
        <f>VLOOKUP(E996,Products!$A$2:$E$23,2,0)</f>
        <v>Denim Jeans</v>
      </c>
      <c r="R996" t="str">
        <f>VLOOKUP(Table1[[#This Row],[Product ID]],Products!$A$2:$E$23,3,0)</f>
        <v>Clothing</v>
      </c>
      <c r="S996" t="str">
        <f>VLOOKUP(C996,Customers!$A$2:$F$201,4,0)</f>
        <v>Telangana</v>
      </c>
      <c r="T996" t="str">
        <f>VLOOKUP(Table1[[#This Row],[Customer ID]],Customers!$A$2:$F$201,5,0)</f>
        <v>South</v>
      </c>
      <c r="U996" t="str">
        <f>VLOOKUP(Table1[[#This Row],[Customer ID]],Customers!$A$2:$F$201,6,0)</f>
        <v>Corporate</v>
      </c>
      <c r="V996" t="str">
        <f>TEXT(Table1[[#This Row],[Order Date]],"MMM")</f>
        <v>Sep</v>
      </c>
      <c r="W996" t="str">
        <f>TEXT(Table1[[#This Row],[Order Date]],"yyyy")</f>
        <v>2025</v>
      </c>
    </row>
    <row r="997" spans="1:23" x14ac:dyDescent="0.25">
      <c r="A997" s="2" t="s">
        <v>1243</v>
      </c>
      <c r="B997" s="4">
        <v>45908</v>
      </c>
      <c r="C997" s="2" t="s">
        <v>53</v>
      </c>
      <c r="D997" s="2" t="str">
        <f>TEXT(Table1[[#This Row],[Order Date]],"mmmm")</f>
        <v>September</v>
      </c>
      <c r="E997" s="2" t="s">
        <v>111</v>
      </c>
      <c r="F997" s="2">
        <v>5</v>
      </c>
      <c r="G997" s="5">
        <v>0.05</v>
      </c>
      <c r="H997" s="2" t="s">
        <v>25</v>
      </c>
      <c r="I997" s="2" t="s">
        <v>38</v>
      </c>
      <c r="J997" s="2" t="s">
        <v>21</v>
      </c>
      <c r="K997">
        <f>VLOOKUP(E997,Products!$A$2:$E$23,5,0)</f>
        <v>240</v>
      </c>
      <c r="L997">
        <f>VLOOKUP(E997,Products!$A$2:$E$23,4,0)</f>
        <v>140</v>
      </c>
      <c r="M997" s="2">
        <f>K997*F997-Table1[[#This Row],[discount_amount]]</f>
        <v>1140</v>
      </c>
      <c r="N997">
        <f t="shared" si="31"/>
        <v>700</v>
      </c>
      <c r="O997">
        <f t="shared" si="30"/>
        <v>440</v>
      </c>
      <c r="P997">
        <f>Table1[[#This Row],[Quantity]]*Table1[[#This Row],[unit_price]]*Table1[[#This Row],[Discount]]</f>
        <v>60</v>
      </c>
      <c r="Q997" t="str">
        <f>VLOOKUP(E997,Products!$A$2:$E$23,2,0)</f>
        <v>Whiteboard Marker Set</v>
      </c>
      <c r="R997" t="str">
        <f>VLOOKUP(Table1[[#This Row],[Product ID]],Products!$A$2:$E$23,3,0)</f>
        <v>Office Supplies</v>
      </c>
      <c r="S997" t="str">
        <f>VLOOKUP(C997,Customers!$A$2:$F$201,4,0)</f>
        <v>Madhya Pradesh</v>
      </c>
      <c r="T997" t="str">
        <f>VLOOKUP(Table1[[#This Row],[Customer ID]],Customers!$A$2:$F$201,5,0)</f>
        <v>Central</v>
      </c>
      <c r="U997" t="str">
        <f>VLOOKUP(Table1[[#This Row],[Customer ID]],Customers!$A$2:$F$201,6,0)</f>
        <v>Corporate</v>
      </c>
      <c r="V997" t="str">
        <f>TEXT(Table1[[#This Row],[Order Date]],"MMM")</f>
        <v>Sep</v>
      </c>
      <c r="W997" t="str">
        <f>TEXT(Table1[[#This Row],[Order Date]],"yyyy")</f>
        <v>2025</v>
      </c>
    </row>
    <row r="998" spans="1:23" x14ac:dyDescent="0.25">
      <c r="A998" s="2" t="s">
        <v>1244</v>
      </c>
      <c r="B998" s="4">
        <v>45909</v>
      </c>
      <c r="C998" s="2" t="s">
        <v>313</v>
      </c>
      <c r="D998" s="2" t="str">
        <f>TEXT(Table1[[#This Row],[Order Date]],"mmmm")</f>
        <v>September</v>
      </c>
      <c r="E998" s="2" t="s">
        <v>121</v>
      </c>
      <c r="F998" s="2">
        <v>6</v>
      </c>
      <c r="G998" s="5">
        <v>0.1</v>
      </c>
      <c r="H998" s="2" t="s">
        <v>19</v>
      </c>
      <c r="I998" s="2" t="s">
        <v>31</v>
      </c>
      <c r="J998" s="2" t="s">
        <v>21</v>
      </c>
      <c r="K998">
        <f>VLOOKUP(E998,Products!$A$2:$E$23,5,0)</f>
        <v>499</v>
      </c>
      <c r="L998">
        <f>VLOOKUP(E998,Products!$A$2:$E$23,4,0)</f>
        <v>250</v>
      </c>
      <c r="M998" s="2">
        <f>K998*F998-Table1[[#This Row],[discount_amount]]</f>
        <v>2694.6</v>
      </c>
      <c r="N998">
        <f t="shared" si="31"/>
        <v>1500</v>
      </c>
      <c r="O998">
        <f t="shared" si="30"/>
        <v>1194.5999999999999</v>
      </c>
      <c r="P998">
        <f>Table1[[#This Row],[Quantity]]*Table1[[#This Row],[unit_price]]*Table1[[#This Row],[Discount]]</f>
        <v>299.40000000000003</v>
      </c>
      <c r="Q998" t="str">
        <f>VLOOKUP(E998,Products!$A$2:$E$23,2,0)</f>
        <v>Cotton T-Shirt</v>
      </c>
      <c r="R998" t="str">
        <f>VLOOKUP(Table1[[#This Row],[Product ID]],Products!$A$2:$E$23,3,0)</f>
        <v>Clothing</v>
      </c>
      <c r="S998" t="str">
        <f>VLOOKUP(C998,Customers!$A$2:$F$201,4,0)</f>
        <v>Kerala</v>
      </c>
      <c r="T998" t="str">
        <f>VLOOKUP(Table1[[#This Row],[Customer ID]],Customers!$A$2:$F$201,5,0)</f>
        <v>South</v>
      </c>
      <c r="U998" t="str">
        <f>VLOOKUP(Table1[[#This Row],[Customer ID]],Customers!$A$2:$F$201,6,0)</f>
        <v>Consumer</v>
      </c>
      <c r="V998" t="str">
        <f>TEXT(Table1[[#This Row],[Order Date]],"MMM")</f>
        <v>Sep</v>
      </c>
      <c r="W998" t="str">
        <f>TEXT(Table1[[#This Row],[Order Date]],"yyyy")</f>
        <v>2025</v>
      </c>
    </row>
    <row r="999" spans="1:23" x14ac:dyDescent="0.25">
      <c r="A999" s="2" t="s">
        <v>1245</v>
      </c>
      <c r="B999" s="4">
        <v>45910</v>
      </c>
      <c r="C999" s="2" t="s">
        <v>59</v>
      </c>
      <c r="D999" s="2" t="str">
        <f>TEXT(Table1[[#This Row],[Order Date]],"mmmm")</f>
        <v>September</v>
      </c>
      <c r="E999" s="2" t="s">
        <v>41</v>
      </c>
      <c r="F999" s="2">
        <v>2</v>
      </c>
      <c r="G999" s="5">
        <v>0.1</v>
      </c>
      <c r="H999" s="2" t="s">
        <v>30</v>
      </c>
      <c r="I999" s="2" t="s">
        <v>38</v>
      </c>
      <c r="J999" s="2" t="s">
        <v>21</v>
      </c>
      <c r="K999">
        <f>VLOOKUP(E999,Products!$A$2:$E$23,5,0)</f>
        <v>320</v>
      </c>
      <c r="L999">
        <f>VLOOKUP(E999,Products!$A$2:$E$23,4,0)</f>
        <v>220</v>
      </c>
      <c r="M999" s="2">
        <f>K999*F999-Table1[[#This Row],[discount_amount]]</f>
        <v>576</v>
      </c>
      <c r="N999">
        <f t="shared" si="31"/>
        <v>440</v>
      </c>
      <c r="O999">
        <f t="shared" si="30"/>
        <v>136</v>
      </c>
      <c r="P999">
        <f>Table1[[#This Row],[Quantity]]*Table1[[#This Row],[unit_price]]*Table1[[#This Row],[Discount]]</f>
        <v>64</v>
      </c>
      <c r="Q999" t="str">
        <f>VLOOKUP(E999,Products!$A$2:$E$23,2,0)</f>
        <v>A4 Paper Ream</v>
      </c>
      <c r="R999" t="str">
        <f>VLOOKUP(Table1[[#This Row],[Product ID]],Products!$A$2:$E$23,3,0)</f>
        <v>Office Supplies</v>
      </c>
      <c r="S999" t="str">
        <f>VLOOKUP(C999,Customers!$A$2:$F$201,4,0)</f>
        <v>Rajasthan</v>
      </c>
      <c r="T999" t="str">
        <f>VLOOKUP(Table1[[#This Row],[Customer ID]],Customers!$A$2:$F$201,5,0)</f>
        <v>North</v>
      </c>
      <c r="U999" t="str">
        <f>VLOOKUP(Table1[[#This Row],[Customer ID]],Customers!$A$2:$F$201,6,0)</f>
        <v>Corporate</v>
      </c>
      <c r="V999" t="str">
        <f>TEXT(Table1[[#This Row],[Order Date]],"MMM")</f>
        <v>Sep</v>
      </c>
      <c r="W999" t="str">
        <f>TEXT(Table1[[#This Row],[Order Date]],"yyyy")</f>
        <v>2025</v>
      </c>
    </row>
    <row r="1000" spans="1:23" x14ac:dyDescent="0.25">
      <c r="A1000" s="2" t="s">
        <v>1246</v>
      </c>
      <c r="B1000" s="4">
        <v>45911</v>
      </c>
      <c r="C1000" s="2" t="s">
        <v>370</v>
      </c>
      <c r="D1000" s="2" t="str">
        <f>TEXT(Table1[[#This Row],[Order Date]],"mmmm")</f>
        <v>September</v>
      </c>
      <c r="E1000" s="2" t="s">
        <v>54</v>
      </c>
      <c r="F1000" s="2">
        <v>2</v>
      </c>
      <c r="G1000" s="5">
        <v>0.05</v>
      </c>
      <c r="H1000" s="2" t="s">
        <v>30</v>
      </c>
      <c r="I1000" s="2" t="s">
        <v>26</v>
      </c>
      <c r="J1000" s="2" t="s">
        <v>21</v>
      </c>
      <c r="K1000">
        <f>VLOOKUP(E1000,Products!$A$2:$E$23,5,0)</f>
        <v>299</v>
      </c>
      <c r="L1000">
        <f>VLOOKUP(E1000,Products!$A$2:$E$23,4,0)</f>
        <v>180</v>
      </c>
      <c r="M1000" s="2">
        <f>K1000*F1000-Table1[[#This Row],[discount_amount]]</f>
        <v>568.1</v>
      </c>
      <c r="N1000">
        <f t="shared" si="31"/>
        <v>360</v>
      </c>
      <c r="O1000">
        <f t="shared" si="30"/>
        <v>208.10000000000002</v>
      </c>
      <c r="P1000">
        <f>Table1[[#This Row],[Quantity]]*Table1[[#This Row],[unit_price]]*Table1[[#This Row],[Discount]]</f>
        <v>29.900000000000002</v>
      </c>
      <c r="Q1000" t="str">
        <f>VLOOKUP(E1000,Products!$A$2:$E$23,2,0)</f>
        <v>Notebook Pack of 5</v>
      </c>
      <c r="R1000" t="str">
        <f>VLOOKUP(Table1[[#This Row],[Product ID]],Products!$A$2:$E$23,3,0)</f>
        <v>Office Supplies</v>
      </c>
      <c r="S1000" t="str">
        <f>VLOOKUP(C1000,Customers!$A$2:$F$201,4,0)</f>
        <v>Tamil Nadu</v>
      </c>
      <c r="T1000" t="str">
        <f>VLOOKUP(Table1[[#This Row],[Customer ID]],Customers!$A$2:$F$201,5,0)</f>
        <v>South</v>
      </c>
      <c r="U1000" t="str">
        <f>VLOOKUP(Table1[[#This Row],[Customer ID]],Customers!$A$2:$F$201,6,0)</f>
        <v>Consumer</v>
      </c>
      <c r="V1000" t="str">
        <f>TEXT(Table1[[#This Row],[Order Date]],"MMM")</f>
        <v>Sep</v>
      </c>
      <c r="W1000" t="str">
        <f>TEXT(Table1[[#This Row],[Order Date]],"yyyy")</f>
        <v>2025</v>
      </c>
    </row>
    <row r="1001" spans="1:23" x14ac:dyDescent="0.25">
      <c r="A1001" s="2" t="s">
        <v>1247</v>
      </c>
      <c r="B1001" s="4">
        <v>45911</v>
      </c>
      <c r="C1001" s="2" t="s">
        <v>132</v>
      </c>
      <c r="D1001" s="2" t="str">
        <f>TEXT(Table1[[#This Row],[Order Date]],"mmmm")</f>
        <v>September</v>
      </c>
      <c r="E1001" s="2" t="s">
        <v>45</v>
      </c>
      <c r="F1001" s="2">
        <v>4</v>
      </c>
      <c r="G1001" s="5">
        <v>0</v>
      </c>
      <c r="H1001" s="2" t="s">
        <v>25</v>
      </c>
      <c r="I1001" s="2" t="s">
        <v>26</v>
      </c>
      <c r="J1001" s="2" t="s">
        <v>21</v>
      </c>
      <c r="K1001">
        <f>VLOOKUP(E1001,Products!$A$2:$E$23,5,0)</f>
        <v>899</v>
      </c>
      <c r="L1001">
        <f>VLOOKUP(E1001,Products!$A$2:$E$23,4,0)</f>
        <v>450</v>
      </c>
      <c r="M1001" s="2">
        <f>K1001*F1001-Table1[[#This Row],[discount_amount]]</f>
        <v>3596</v>
      </c>
      <c r="N1001">
        <f t="shared" si="31"/>
        <v>1800</v>
      </c>
      <c r="O1001">
        <f t="shared" si="30"/>
        <v>1796</v>
      </c>
      <c r="P1001">
        <f>Table1[[#This Row],[Quantity]]*Table1[[#This Row],[unit_price]]*Table1[[#This Row],[Discount]]</f>
        <v>0</v>
      </c>
      <c r="Q1001" t="str">
        <f>VLOOKUP(E1001,Products!$A$2:$E$23,2,0)</f>
        <v>Track Pants</v>
      </c>
      <c r="R1001" t="str">
        <f>VLOOKUP(Table1[[#This Row],[Product ID]],Products!$A$2:$E$23,3,0)</f>
        <v>Clothing</v>
      </c>
      <c r="S1001" t="str">
        <f>VLOOKUP(C1001,Customers!$A$2:$F$201,4,0)</f>
        <v>Madhya Pradesh</v>
      </c>
      <c r="T1001" t="str">
        <f>VLOOKUP(Table1[[#This Row],[Customer ID]],Customers!$A$2:$F$201,5,0)</f>
        <v>Central</v>
      </c>
      <c r="U1001" t="str">
        <f>VLOOKUP(Table1[[#This Row],[Customer ID]],Customers!$A$2:$F$201,6,0)</f>
        <v>Consumer</v>
      </c>
      <c r="V1001" t="str">
        <f>TEXT(Table1[[#This Row],[Order Date]],"MMM")</f>
        <v>Sep</v>
      </c>
      <c r="W1001" t="str">
        <f>TEXT(Table1[[#This Row],[Order Date]],"yyyy")</f>
        <v>2025</v>
      </c>
    </row>
    <row r="1002" spans="1:23" x14ac:dyDescent="0.25">
      <c r="A1002" s="2" t="s">
        <v>1248</v>
      </c>
      <c r="B1002" s="4">
        <v>45911</v>
      </c>
      <c r="C1002" s="2" t="s">
        <v>162</v>
      </c>
      <c r="D1002" s="2" t="str">
        <f>TEXT(Table1[[#This Row],[Order Date]],"mmmm")</f>
        <v>September</v>
      </c>
      <c r="E1002" s="2" t="s">
        <v>73</v>
      </c>
      <c r="F1002" s="2">
        <v>6</v>
      </c>
      <c r="G1002" s="5">
        <v>0.2</v>
      </c>
      <c r="H1002" s="2" t="s">
        <v>19</v>
      </c>
      <c r="I1002" s="2" t="s">
        <v>31</v>
      </c>
      <c r="J1002" s="2" t="s">
        <v>21</v>
      </c>
      <c r="K1002">
        <f>VLOOKUP(E1002,Products!$A$2:$E$23,5,0)</f>
        <v>6499</v>
      </c>
      <c r="L1002">
        <f>VLOOKUP(E1002,Products!$A$2:$E$23,4,0)</f>
        <v>4200</v>
      </c>
      <c r="M1002" s="2">
        <f>K1002*F1002-Table1[[#This Row],[discount_amount]]</f>
        <v>31195.200000000001</v>
      </c>
      <c r="N1002">
        <f t="shared" si="31"/>
        <v>25200</v>
      </c>
      <c r="O1002">
        <f t="shared" si="30"/>
        <v>5995.2000000000007</v>
      </c>
      <c r="P1002">
        <f>Table1[[#This Row],[Quantity]]*Table1[[#This Row],[unit_price]]*Table1[[#This Row],[Discount]]</f>
        <v>7798.8</v>
      </c>
      <c r="Q1002" t="str">
        <f>VLOOKUP(E1002,Products!$A$2:$E$23,2,0)</f>
        <v>Study Table</v>
      </c>
      <c r="R1002" t="str">
        <f>VLOOKUP(Table1[[#This Row],[Product ID]],Products!$A$2:$E$23,3,0)</f>
        <v>Furniture</v>
      </c>
      <c r="S1002" t="str">
        <f>VLOOKUP(C1002,Customers!$A$2:$F$201,4,0)</f>
        <v>Gujarat</v>
      </c>
      <c r="T1002" t="str">
        <f>VLOOKUP(Table1[[#This Row],[Customer ID]],Customers!$A$2:$F$201,5,0)</f>
        <v>West</v>
      </c>
      <c r="U1002" t="str">
        <f>VLOOKUP(Table1[[#This Row],[Customer ID]],Customers!$A$2:$F$201,6,0)</f>
        <v>Home Office</v>
      </c>
      <c r="V1002" t="str">
        <f>TEXT(Table1[[#This Row],[Order Date]],"MMM")</f>
        <v>Sep</v>
      </c>
      <c r="W1002" t="str">
        <f>TEXT(Table1[[#This Row],[Order Date]],"yyyy")</f>
        <v>2025</v>
      </c>
    </row>
    <row r="1003" spans="1:23" x14ac:dyDescent="0.25">
      <c r="A1003" s="2" t="s">
        <v>1249</v>
      </c>
      <c r="B1003" s="4">
        <v>45912</v>
      </c>
      <c r="C1003" s="2" t="s">
        <v>605</v>
      </c>
      <c r="D1003" s="2" t="str">
        <f>TEXT(Table1[[#This Row],[Order Date]],"mmmm")</f>
        <v>September</v>
      </c>
      <c r="E1003" s="2" t="s">
        <v>63</v>
      </c>
      <c r="F1003" s="2">
        <v>2</v>
      </c>
      <c r="G1003" s="5">
        <v>0.2</v>
      </c>
      <c r="H1003" s="2" t="s">
        <v>30</v>
      </c>
      <c r="I1003" s="2" t="s">
        <v>26</v>
      </c>
      <c r="J1003" s="2" t="s">
        <v>21</v>
      </c>
      <c r="K1003">
        <f>VLOOKUP(E1003,Products!$A$2:$E$23,5,0)</f>
        <v>5499</v>
      </c>
      <c r="L1003">
        <f>VLOOKUP(E1003,Products!$A$2:$E$23,4,0)</f>
        <v>3500</v>
      </c>
      <c r="M1003" s="2">
        <f>K1003*F1003-Table1[[#This Row],[discount_amount]]</f>
        <v>8798.4</v>
      </c>
      <c r="N1003">
        <f t="shared" si="31"/>
        <v>7000</v>
      </c>
      <c r="O1003">
        <f t="shared" si="30"/>
        <v>1798.3999999999996</v>
      </c>
      <c r="P1003">
        <f>Table1[[#This Row],[Quantity]]*Table1[[#This Row],[unit_price]]*Table1[[#This Row],[Discount]]</f>
        <v>2199.6</v>
      </c>
      <c r="Q1003" t="str">
        <f>VLOOKUP(E1003,Products!$A$2:$E$23,2,0)</f>
        <v>Office Chair</v>
      </c>
      <c r="R1003" t="str">
        <f>VLOOKUP(Table1[[#This Row],[Product ID]],Products!$A$2:$E$23,3,0)</f>
        <v>Furniture</v>
      </c>
      <c r="S1003" t="str">
        <f>VLOOKUP(C1003,Customers!$A$2:$F$201,4,0)</f>
        <v>Rajasthan</v>
      </c>
      <c r="T1003" t="str">
        <f>VLOOKUP(Table1[[#This Row],[Customer ID]],Customers!$A$2:$F$201,5,0)</f>
        <v>North</v>
      </c>
      <c r="U1003" t="str">
        <f>VLOOKUP(Table1[[#This Row],[Customer ID]],Customers!$A$2:$F$201,6,0)</f>
        <v>Consumer</v>
      </c>
      <c r="V1003" t="str">
        <f>TEXT(Table1[[#This Row],[Order Date]],"MMM")</f>
        <v>Sep</v>
      </c>
      <c r="W1003" t="str">
        <f>TEXT(Table1[[#This Row],[Order Date]],"yyyy")</f>
        <v>2025</v>
      </c>
    </row>
    <row r="1004" spans="1:23" x14ac:dyDescent="0.25">
      <c r="A1004" s="2" t="s">
        <v>1250</v>
      </c>
      <c r="B1004" s="4">
        <v>45912</v>
      </c>
      <c r="C1004" s="2" t="s">
        <v>212</v>
      </c>
      <c r="D1004" s="2" t="str">
        <f>TEXT(Table1[[#This Row],[Order Date]],"mmmm")</f>
        <v>September</v>
      </c>
      <c r="E1004" s="2" t="s">
        <v>91</v>
      </c>
      <c r="F1004" s="2">
        <v>6</v>
      </c>
      <c r="G1004" s="5">
        <v>0</v>
      </c>
      <c r="H1004" s="2" t="s">
        <v>25</v>
      </c>
      <c r="I1004" s="2" t="s">
        <v>31</v>
      </c>
      <c r="J1004" s="2" t="s">
        <v>21</v>
      </c>
      <c r="K1004">
        <f>VLOOKUP(E1004,Products!$A$2:$E$23,5,0)</f>
        <v>1199</v>
      </c>
      <c r="L1004">
        <f>VLOOKUP(E1004,Products!$A$2:$E$23,4,0)</f>
        <v>600</v>
      </c>
      <c r="M1004" s="2">
        <f>K1004*F1004-Table1[[#This Row],[discount_amount]]</f>
        <v>7194</v>
      </c>
      <c r="N1004">
        <f t="shared" si="31"/>
        <v>3600</v>
      </c>
      <c r="O1004">
        <f t="shared" si="30"/>
        <v>3594</v>
      </c>
      <c r="P1004">
        <f>Table1[[#This Row],[Quantity]]*Table1[[#This Row],[unit_price]]*Table1[[#This Row],[Discount]]</f>
        <v>0</v>
      </c>
      <c r="Q1004" t="str">
        <f>VLOOKUP(E1004,Products!$A$2:$E$23,2,0)</f>
        <v>Formal Shirt</v>
      </c>
      <c r="R1004" t="str">
        <f>VLOOKUP(Table1[[#This Row],[Product ID]],Products!$A$2:$E$23,3,0)</f>
        <v>Clothing</v>
      </c>
      <c r="S1004" t="str">
        <f>VLOOKUP(C1004,Customers!$A$2:$F$201,4,0)</f>
        <v>Rajasthan</v>
      </c>
      <c r="T1004" t="str">
        <f>VLOOKUP(Table1[[#This Row],[Customer ID]],Customers!$A$2:$F$201,5,0)</f>
        <v>North</v>
      </c>
      <c r="U1004" t="str">
        <f>VLOOKUP(Table1[[#This Row],[Customer ID]],Customers!$A$2:$F$201,6,0)</f>
        <v>Corporate</v>
      </c>
      <c r="V1004" t="str">
        <f>TEXT(Table1[[#This Row],[Order Date]],"MMM")</f>
        <v>Sep</v>
      </c>
      <c r="W1004" t="str">
        <f>TEXT(Table1[[#This Row],[Order Date]],"yyyy")</f>
        <v>2025</v>
      </c>
    </row>
    <row r="1005" spans="1:23" x14ac:dyDescent="0.25">
      <c r="A1005" s="2" t="s">
        <v>1251</v>
      </c>
      <c r="B1005" s="4">
        <v>45913</v>
      </c>
      <c r="C1005" s="2" t="s">
        <v>123</v>
      </c>
      <c r="D1005" s="2" t="str">
        <f>TEXT(Table1[[#This Row],[Order Date]],"mmmm")</f>
        <v>September</v>
      </c>
      <c r="E1005" s="2" t="s">
        <v>45</v>
      </c>
      <c r="F1005" s="2">
        <v>2</v>
      </c>
      <c r="G1005" s="5">
        <v>0</v>
      </c>
      <c r="H1005" s="2" t="s">
        <v>30</v>
      </c>
      <c r="I1005" s="2" t="s">
        <v>46</v>
      </c>
      <c r="J1005" s="2" t="s">
        <v>21</v>
      </c>
      <c r="K1005">
        <f>VLOOKUP(E1005,Products!$A$2:$E$23,5,0)</f>
        <v>899</v>
      </c>
      <c r="L1005">
        <f>VLOOKUP(E1005,Products!$A$2:$E$23,4,0)</f>
        <v>450</v>
      </c>
      <c r="M1005" s="2">
        <f>K1005*F1005-Table1[[#This Row],[discount_amount]]</f>
        <v>1798</v>
      </c>
      <c r="N1005">
        <f t="shared" si="31"/>
        <v>900</v>
      </c>
      <c r="O1005">
        <f t="shared" si="30"/>
        <v>898</v>
      </c>
      <c r="P1005">
        <f>Table1[[#This Row],[Quantity]]*Table1[[#This Row],[unit_price]]*Table1[[#This Row],[Discount]]</f>
        <v>0</v>
      </c>
      <c r="Q1005" t="str">
        <f>VLOOKUP(E1005,Products!$A$2:$E$23,2,0)</f>
        <v>Track Pants</v>
      </c>
      <c r="R1005" t="str">
        <f>VLOOKUP(Table1[[#This Row],[Product ID]],Products!$A$2:$E$23,3,0)</f>
        <v>Clothing</v>
      </c>
      <c r="S1005" t="str">
        <f>VLOOKUP(C1005,Customers!$A$2:$F$201,4,0)</f>
        <v>Uttar Pradesh</v>
      </c>
      <c r="T1005" t="str">
        <f>VLOOKUP(Table1[[#This Row],[Customer ID]],Customers!$A$2:$F$201,5,0)</f>
        <v>North</v>
      </c>
      <c r="U1005" t="str">
        <f>VLOOKUP(Table1[[#This Row],[Customer ID]],Customers!$A$2:$F$201,6,0)</f>
        <v>Consumer</v>
      </c>
      <c r="V1005" t="str">
        <f>TEXT(Table1[[#This Row],[Order Date]],"MMM")</f>
        <v>Sep</v>
      </c>
      <c r="W1005" t="str">
        <f>TEXT(Table1[[#This Row],[Order Date]],"yyyy")</f>
        <v>2025</v>
      </c>
    </row>
    <row r="1006" spans="1:23" x14ac:dyDescent="0.25">
      <c r="A1006" s="2" t="s">
        <v>1252</v>
      </c>
      <c r="B1006" s="4">
        <v>45913</v>
      </c>
      <c r="C1006" s="2" t="s">
        <v>176</v>
      </c>
      <c r="D1006" s="2" t="str">
        <f>TEXT(Table1[[#This Row],[Order Date]],"mmmm")</f>
        <v>September</v>
      </c>
      <c r="E1006" s="2" t="s">
        <v>18</v>
      </c>
      <c r="F1006" s="2">
        <v>2</v>
      </c>
      <c r="G1006" s="5">
        <v>0.15</v>
      </c>
      <c r="H1006" s="2" t="s">
        <v>19</v>
      </c>
      <c r="I1006" s="2" t="s">
        <v>46</v>
      </c>
      <c r="J1006" s="2" t="s">
        <v>21</v>
      </c>
      <c r="K1006">
        <f>VLOOKUP(E1006,Products!$A$2:$E$23,5,0)</f>
        <v>4299</v>
      </c>
      <c r="L1006">
        <f>VLOOKUP(E1006,Products!$A$2:$E$23,4,0)</f>
        <v>2800</v>
      </c>
      <c r="M1006" s="2">
        <f>K1006*F1006-Table1[[#This Row],[discount_amount]]</f>
        <v>7308.3</v>
      </c>
      <c r="N1006">
        <f t="shared" si="31"/>
        <v>5600</v>
      </c>
      <c r="O1006">
        <f t="shared" si="30"/>
        <v>1708.3000000000002</v>
      </c>
      <c r="P1006">
        <f>Table1[[#This Row],[Quantity]]*Table1[[#This Row],[unit_price]]*Table1[[#This Row],[Discount]]</f>
        <v>1289.7</v>
      </c>
      <c r="Q1006" t="str">
        <f>VLOOKUP(E1006,Products!$A$2:$E$23,2,0)</f>
        <v>Bookshelf</v>
      </c>
      <c r="R1006" t="str">
        <f>VLOOKUP(Table1[[#This Row],[Product ID]],Products!$A$2:$E$23,3,0)</f>
        <v>Furniture</v>
      </c>
      <c r="S1006" t="str">
        <f>VLOOKUP(C1006,Customers!$A$2:$F$201,4,0)</f>
        <v>Madhya Pradesh</v>
      </c>
      <c r="T1006" t="str">
        <f>VLOOKUP(Table1[[#This Row],[Customer ID]],Customers!$A$2:$F$201,5,0)</f>
        <v>Central</v>
      </c>
      <c r="U1006" t="str">
        <f>VLOOKUP(Table1[[#This Row],[Customer ID]],Customers!$A$2:$F$201,6,0)</f>
        <v>Consumer</v>
      </c>
      <c r="V1006" t="str">
        <f>TEXT(Table1[[#This Row],[Order Date]],"MMM")</f>
        <v>Sep</v>
      </c>
      <c r="W1006" t="str">
        <f>TEXT(Table1[[#This Row],[Order Date]],"yyyy")</f>
        <v>2025</v>
      </c>
    </row>
    <row r="1007" spans="1:23" x14ac:dyDescent="0.25">
      <c r="A1007" s="2" t="s">
        <v>1253</v>
      </c>
      <c r="B1007" s="4">
        <v>45914</v>
      </c>
      <c r="C1007" s="2" t="s">
        <v>496</v>
      </c>
      <c r="D1007" s="2" t="str">
        <f>TEXT(Table1[[#This Row],[Order Date]],"mmmm")</f>
        <v>September</v>
      </c>
      <c r="E1007" s="2" t="s">
        <v>45</v>
      </c>
      <c r="F1007" s="2">
        <v>10</v>
      </c>
      <c r="G1007" s="5">
        <v>0.05</v>
      </c>
      <c r="H1007" s="2" t="s">
        <v>19</v>
      </c>
      <c r="I1007" s="2" t="s">
        <v>38</v>
      </c>
      <c r="J1007" s="2" t="s">
        <v>21</v>
      </c>
      <c r="K1007">
        <f>VLOOKUP(E1007,Products!$A$2:$E$23,5,0)</f>
        <v>899</v>
      </c>
      <c r="L1007">
        <f>VLOOKUP(E1007,Products!$A$2:$E$23,4,0)</f>
        <v>450</v>
      </c>
      <c r="M1007" s="2">
        <f>K1007*F1007-Table1[[#This Row],[discount_amount]]</f>
        <v>8540.5</v>
      </c>
      <c r="N1007">
        <f t="shared" si="31"/>
        <v>4500</v>
      </c>
      <c r="O1007">
        <f t="shared" si="30"/>
        <v>4040.5</v>
      </c>
      <c r="P1007">
        <f>Table1[[#This Row],[Quantity]]*Table1[[#This Row],[unit_price]]*Table1[[#This Row],[Discount]]</f>
        <v>449.5</v>
      </c>
      <c r="Q1007" t="str">
        <f>VLOOKUP(E1007,Products!$A$2:$E$23,2,0)</f>
        <v>Track Pants</v>
      </c>
      <c r="R1007" t="str">
        <f>VLOOKUP(Table1[[#This Row],[Product ID]],Products!$A$2:$E$23,3,0)</f>
        <v>Clothing</v>
      </c>
      <c r="S1007" t="str">
        <f>VLOOKUP(C1007,Customers!$A$2:$F$201,4,0)</f>
        <v>Madhya Pradesh</v>
      </c>
      <c r="T1007" t="str">
        <f>VLOOKUP(Table1[[#This Row],[Customer ID]],Customers!$A$2:$F$201,5,0)</f>
        <v>Central</v>
      </c>
      <c r="U1007" t="str">
        <f>VLOOKUP(Table1[[#This Row],[Customer ID]],Customers!$A$2:$F$201,6,0)</f>
        <v>Consumer</v>
      </c>
      <c r="V1007" t="str">
        <f>TEXT(Table1[[#This Row],[Order Date]],"MMM")</f>
        <v>Sep</v>
      </c>
      <c r="W1007" t="str">
        <f>TEXT(Table1[[#This Row],[Order Date]],"yyyy")</f>
        <v>2025</v>
      </c>
    </row>
    <row r="1008" spans="1:23" x14ac:dyDescent="0.25">
      <c r="A1008" s="2" t="s">
        <v>1254</v>
      </c>
      <c r="B1008" s="4">
        <v>45915</v>
      </c>
      <c r="C1008" s="2" t="s">
        <v>98</v>
      </c>
      <c r="D1008" s="2" t="str">
        <f>TEXT(Table1[[#This Row],[Order Date]],"mmmm")</f>
        <v>September</v>
      </c>
      <c r="E1008" s="2" t="s">
        <v>135</v>
      </c>
      <c r="F1008" s="2">
        <v>1</v>
      </c>
      <c r="G1008" s="5">
        <v>0.15</v>
      </c>
      <c r="H1008" s="2" t="s">
        <v>19</v>
      </c>
      <c r="I1008" s="2" t="s">
        <v>26</v>
      </c>
      <c r="J1008" s="2" t="s">
        <v>21</v>
      </c>
      <c r="K1008">
        <f>VLOOKUP(E1008,Products!$A$2:$E$23,5,0)</f>
        <v>220</v>
      </c>
      <c r="L1008">
        <f>VLOOKUP(E1008,Products!$A$2:$E$23,4,0)</f>
        <v>120</v>
      </c>
      <c r="M1008" s="2">
        <f>K1008*F1008-Table1[[#This Row],[discount_amount]]</f>
        <v>187</v>
      </c>
      <c r="N1008">
        <f t="shared" si="31"/>
        <v>120</v>
      </c>
      <c r="O1008">
        <f t="shared" si="30"/>
        <v>67</v>
      </c>
      <c r="P1008">
        <f>Table1[[#This Row],[Quantity]]*Table1[[#This Row],[unit_price]]*Table1[[#This Row],[Discount]]</f>
        <v>33</v>
      </c>
      <c r="Q1008" t="str">
        <f>VLOOKUP(E1008,Products!$A$2:$E$23,2,0)</f>
        <v>Stapler</v>
      </c>
      <c r="R1008" t="str">
        <f>VLOOKUP(Table1[[#This Row],[Product ID]],Products!$A$2:$E$23,3,0)</f>
        <v>Office Supplies</v>
      </c>
      <c r="S1008" t="str">
        <f>VLOOKUP(C1008,Customers!$A$2:$F$201,4,0)</f>
        <v>Tamil Nadu</v>
      </c>
      <c r="T1008" t="str">
        <f>VLOOKUP(Table1[[#This Row],[Customer ID]],Customers!$A$2:$F$201,5,0)</f>
        <v>South</v>
      </c>
      <c r="U1008" t="str">
        <f>VLOOKUP(Table1[[#This Row],[Customer ID]],Customers!$A$2:$F$201,6,0)</f>
        <v>Consumer</v>
      </c>
      <c r="V1008" t="str">
        <f>TEXT(Table1[[#This Row],[Order Date]],"MMM")</f>
        <v>Sep</v>
      </c>
      <c r="W1008" t="str">
        <f>TEXT(Table1[[#This Row],[Order Date]],"yyyy")</f>
        <v>2025</v>
      </c>
    </row>
    <row r="1009" spans="1:23" x14ac:dyDescent="0.25">
      <c r="A1009" s="2" t="s">
        <v>1255</v>
      </c>
      <c r="B1009" s="4">
        <v>45915</v>
      </c>
      <c r="C1009" s="2" t="s">
        <v>123</v>
      </c>
      <c r="D1009" s="2" t="str">
        <f>TEXT(Table1[[#This Row],[Order Date]],"mmmm")</f>
        <v>September</v>
      </c>
      <c r="E1009" s="2" t="s">
        <v>155</v>
      </c>
      <c r="F1009" s="2">
        <v>10</v>
      </c>
      <c r="G1009" s="5">
        <v>0.05</v>
      </c>
      <c r="H1009" s="2" t="s">
        <v>30</v>
      </c>
      <c r="I1009" s="2" t="s">
        <v>46</v>
      </c>
      <c r="J1009" s="2" t="s">
        <v>21</v>
      </c>
      <c r="K1009">
        <f>VLOOKUP(E1009,Products!$A$2:$E$23,5,0)</f>
        <v>1599</v>
      </c>
      <c r="L1009">
        <f>VLOOKUP(E1009,Products!$A$2:$E$23,4,0)</f>
        <v>900</v>
      </c>
      <c r="M1009" s="2">
        <f>K1009*F1009-Table1[[#This Row],[discount_amount]]</f>
        <v>15190.5</v>
      </c>
      <c r="N1009">
        <f t="shared" si="31"/>
        <v>9000</v>
      </c>
      <c r="O1009">
        <f t="shared" si="30"/>
        <v>6190.5</v>
      </c>
      <c r="P1009">
        <f>Table1[[#This Row],[Quantity]]*Table1[[#This Row],[unit_price]]*Table1[[#This Row],[Discount]]</f>
        <v>799.5</v>
      </c>
      <c r="Q1009" t="str">
        <f>VLOOKUP(E1009,Products!$A$2:$E$23,2,0)</f>
        <v>Headphones</v>
      </c>
      <c r="R1009" t="str">
        <f>VLOOKUP(Table1[[#This Row],[Product ID]],Products!$A$2:$E$23,3,0)</f>
        <v>Electronics</v>
      </c>
      <c r="S1009" t="str">
        <f>VLOOKUP(C1009,Customers!$A$2:$F$201,4,0)</f>
        <v>Uttar Pradesh</v>
      </c>
      <c r="T1009" t="str">
        <f>VLOOKUP(Table1[[#This Row],[Customer ID]],Customers!$A$2:$F$201,5,0)</f>
        <v>North</v>
      </c>
      <c r="U1009" t="str">
        <f>VLOOKUP(Table1[[#This Row],[Customer ID]],Customers!$A$2:$F$201,6,0)</f>
        <v>Consumer</v>
      </c>
      <c r="V1009" t="str">
        <f>TEXT(Table1[[#This Row],[Order Date]],"MMM")</f>
        <v>Sep</v>
      </c>
      <c r="W1009" t="str">
        <f>TEXT(Table1[[#This Row],[Order Date]],"yyyy")</f>
        <v>2025</v>
      </c>
    </row>
    <row r="1010" spans="1:23" x14ac:dyDescent="0.25">
      <c r="A1010" s="2" t="s">
        <v>1256</v>
      </c>
      <c r="B1010" s="4">
        <v>45915</v>
      </c>
      <c r="C1010" s="2" t="s">
        <v>56</v>
      </c>
      <c r="D1010" s="2" t="str">
        <f>TEXT(Table1[[#This Row],[Order Date]],"mmmm")</f>
        <v>September</v>
      </c>
      <c r="E1010" s="2" t="s">
        <v>127</v>
      </c>
      <c r="F1010" s="2">
        <v>5</v>
      </c>
      <c r="G1010" s="5">
        <v>0.05</v>
      </c>
      <c r="H1010" s="2" t="s">
        <v>19</v>
      </c>
      <c r="I1010" s="2" t="s">
        <v>46</v>
      </c>
      <c r="J1010" s="2" t="s">
        <v>21</v>
      </c>
      <c r="K1010">
        <f>VLOOKUP(E1010,Products!$A$2:$E$23,5,0)</f>
        <v>1999</v>
      </c>
      <c r="L1010">
        <f>VLOOKUP(E1010,Products!$A$2:$E$23,4,0)</f>
        <v>1200</v>
      </c>
      <c r="M1010" s="2">
        <f>K1010*F1010-Table1[[#This Row],[discount_amount]]</f>
        <v>9495.25</v>
      </c>
      <c r="N1010">
        <f t="shared" si="31"/>
        <v>6000</v>
      </c>
      <c r="O1010">
        <f t="shared" si="30"/>
        <v>3495.25</v>
      </c>
      <c r="P1010">
        <f>Table1[[#This Row],[Quantity]]*Table1[[#This Row],[unit_price]]*Table1[[#This Row],[Discount]]</f>
        <v>499.75</v>
      </c>
      <c r="Q1010" t="str">
        <f>VLOOKUP(E1010,Products!$A$2:$E$23,2,0)</f>
        <v>Bluetooth Speaker</v>
      </c>
      <c r="R1010" t="str">
        <f>VLOOKUP(Table1[[#This Row],[Product ID]],Products!$A$2:$E$23,3,0)</f>
        <v>Electronics</v>
      </c>
      <c r="S1010" t="str">
        <f>VLOOKUP(C1010,Customers!$A$2:$F$201,4,0)</f>
        <v>Maharashtra</v>
      </c>
      <c r="T1010" t="str">
        <f>VLOOKUP(Table1[[#This Row],[Customer ID]],Customers!$A$2:$F$201,5,0)</f>
        <v>West</v>
      </c>
      <c r="U1010" t="str">
        <f>VLOOKUP(Table1[[#This Row],[Customer ID]],Customers!$A$2:$F$201,6,0)</f>
        <v>Consumer</v>
      </c>
      <c r="V1010" t="str">
        <f>TEXT(Table1[[#This Row],[Order Date]],"MMM")</f>
        <v>Sep</v>
      </c>
      <c r="W1010" t="str">
        <f>TEXT(Table1[[#This Row],[Order Date]],"yyyy")</f>
        <v>2025</v>
      </c>
    </row>
    <row r="1011" spans="1:23" x14ac:dyDescent="0.25">
      <c r="A1011" s="2" t="s">
        <v>1257</v>
      </c>
      <c r="B1011" s="4">
        <v>45916</v>
      </c>
      <c r="C1011" s="2" t="s">
        <v>902</v>
      </c>
      <c r="D1011" s="2" t="str">
        <f>TEXT(Table1[[#This Row],[Order Date]],"mmmm")</f>
        <v>September</v>
      </c>
      <c r="E1011" s="2" t="s">
        <v>24</v>
      </c>
      <c r="F1011" s="2">
        <v>1</v>
      </c>
      <c r="G1011" s="5">
        <v>0.2</v>
      </c>
      <c r="H1011" s="2" t="s">
        <v>25</v>
      </c>
      <c r="I1011" s="2" t="s">
        <v>20</v>
      </c>
      <c r="J1011" s="2" t="s">
        <v>21</v>
      </c>
      <c r="K1011">
        <f>VLOOKUP(E1011,Products!$A$2:$E$23,5,0)</f>
        <v>899</v>
      </c>
      <c r="L1011">
        <f>VLOOKUP(E1011,Products!$A$2:$E$23,4,0)</f>
        <v>500</v>
      </c>
      <c r="M1011" s="2">
        <f>K1011*F1011-Table1[[#This Row],[discount_amount]]</f>
        <v>719.2</v>
      </c>
      <c r="N1011">
        <f t="shared" si="31"/>
        <v>500</v>
      </c>
      <c r="O1011">
        <f t="shared" si="30"/>
        <v>219.20000000000005</v>
      </c>
      <c r="P1011">
        <f>Table1[[#This Row],[Quantity]]*Table1[[#This Row],[unit_price]]*Table1[[#This Row],[Discount]]</f>
        <v>179.8</v>
      </c>
      <c r="Q1011" t="str">
        <f>VLOOKUP(E1011,Products!$A$2:$E$23,2,0)</f>
        <v>Monitor Stand</v>
      </c>
      <c r="R1011" t="str">
        <f>VLOOKUP(Table1[[#This Row],[Product ID]],Products!$A$2:$E$23,3,0)</f>
        <v>Furniture</v>
      </c>
      <c r="S1011" t="str">
        <f>VLOOKUP(C1011,Customers!$A$2:$F$201,4,0)</f>
        <v>Gujarat</v>
      </c>
      <c r="T1011" t="str">
        <f>VLOOKUP(Table1[[#This Row],[Customer ID]],Customers!$A$2:$F$201,5,0)</f>
        <v>West</v>
      </c>
      <c r="U1011" t="str">
        <f>VLOOKUP(Table1[[#This Row],[Customer ID]],Customers!$A$2:$F$201,6,0)</f>
        <v>Consumer</v>
      </c>
      <c r="V1011" t="str">
        <f>TEXT(Table1[[#This Row],[Order Date]],"MMM")</f>
        <v>Sep</v>
      </c>
      <c r="W1011" t="str">
        <f>TEXT(Table1[[#This Row],[Order Date]],"yyyy")</f>
        <v>2025</v>
      </c>
    </row>
    <row r="1012" spans="1:23" x14ac:dyDescent="0.25">
      <c r="A1012" s="2" t="s">
        <v>1258</v>
      </c>
      <c r="B1012" s="4">
        <v>45916</v>
      </c>
      <c r="C1012" s="2" t="s">
        <v>180</v>
      </c>
      <c r="D1012" s="2" t="str">
        <f>TEXT(Table1[[#This Row],[Order Date]],"mmmm")</f>
        <v>September</v>
      </c>
      <c r="E1012" s="2" t="s">
        <v>29</v>
      </c>
      <c r="F1012" s="2">
        <v>2</v>
      </c>
      <c r="G1012" s="5">
        <v>0</v>
      </c>
      <c r="H1012" s="2" t="s">
        <v>25</v>
      </c>
      <c r="I1012" s="2" t="s">
        <v>38</v>
      </c>
      <c r="J1012" s="2" t="s">
        <v>21</v>
      </c>
      <c r="K1012">
        <f>VLOOKUP(E1012,Products!$A$2:$E$23,5,0)</f>
        <v>599</v>
      </c>
      <c r="L1012">
        <f>VLOOKUP(E1012,Products!$A$2:$E$23,4,0)</f>
        <v>350</v>
      </c>
      <c r="M1012" s="2">
        <f>K1012*F1012-Table1[[#This Row],[discount_amount]]</f>
        <v>1198</v>
      </c>
      <c r="N1012">
        <f t="shared" si="31"/>
        <v>700</v>
      </c>
      <c r="O1012">
        <f t="shared" si="30"/>
        <v>498</v>
      </c>
      <c r="P1012">
        <f>Table1[[#This Row],[Quantity]]*Table1[[#This Row],[unit_price]]*Table1[[#This Row],[Discount]]</f>
        <v>0</v>
      </c>
      <c r="Q1012" t="str">
        <f>VLOOKUP(E1012,Products!$A$2:$E$23,2,0)</f>
        <v>USB Flash Drive 64GB</v>
      </c>
      <c r="R1012" t="str">
        <f>VLOOKUP(Table1[[#This Row],[Product ID]],Products!$A$2:$E$23,3,0)</f>
        <v>Electronics</v>
      </c>
      <c r="S1012" t="str">
        <f>VLOOKUP(C1012,Customers!$A$2:$F$201,4,0)</f>
        <v>Delhi</v>
      </c>
      <c r="T1012" t="str">
        <f>VLOOKUP(Table1[[#This Row],[Customer ID]],Customers!$A$2:$F$201,5,0)</f>
        <v>North</v>
      </c>
      <c r="U1012" t="str">
        <f>VLOOKUP(Table1[[#This Row],[Customer ID]],Customers!$A$2:$F$201,6,0)</f>
        <v>Consumer</v>
      </c>
      <c r="V1012" t="str">
        <f>TEXT(Table1[[#This Row],[Order Date]],"MMM")</f>
        <v>Sep</v>
      </c>
      <c r="W1012" t="str">
        <f>TEXT(Table1[[#This Row],[Order Date]],"yyyy")</f>
        <v>2025</v>
      </c>
    </row>
    <row r="1013" spans="1:23" x14ac:dyDescent="0.25">
      <c r="A1013" s="2" t="s">
        <v>1259</v>
      </c>
      <c r="B1013" s="4">
        <v>45916</v>
      </c>
      <c r="C1013" s="2" t="s">
        <v>368</v>
      </c>
      <c r="D1013" s="2" t="str">
        <f>TEXT(Table1[[#This Row],[Order Date]],"mmmm")</f>
        <v>September</v>
      </c>
      <c r="E1013" s="2" t="s">
        <v>49</v>
      </c>
      <c r="F1013" s="2">
        <v>5</v>
      </c>
      <c r="G1013" s="5">
        <v>0.1</v>
      </c>
      <c r="H1013" s="2" t="s">
        <v>25</v>
      </c>
      <c r="I1013" s="2" t="s">
        <v>26</v>
      </c>
      <c r="J1013" s="2" t="s">
        <v>21</v>
      </c>
      <c r="K1013">
        <f>VLOOKUP(E1013,Products!$A$2:$E$23,5,0)</f>
        <v>700</v>
      </c>
      <c r="L1013">
        <f>VLOOKUP(E1013,Products!$A$2:$E$23,4,0)</f>
        <v>450</v>
      </c>
      <c r="M1013" s="2">
        <f>K1013*F1013-Table1[[#This Row],[discount_amount]]</f>
        <v>3150</v>
      </c>
      <c r="N1013">
        <f t="shared" si="31"/>
        <v>2250</v>
      </c>
      <c r="O1013">
        <f t="shared" si="30"/>
        <v>900</v>
      </c>
      <c r="P1013">
        <f>Table1[[#This Row],[Quantity]]*Table1[[#This Row],[unit_price]]*Table1[[#This Row],[Discount]]</f>
        <v>350</v>
      </c>
      <c r="Q1013" t="str">
        <f>VLOOKUP(E1013,Products!$A$2:$E$23,2,0)</f>
        <v>Wireless Mouse</v>
      </c>
      <c r="R1013" t="str">
        <f>VLOOKUP(Table1[[#This Row],[Product ID]],Products!$A$2:$E$23,3,0)</f>
        <v>Electronics</v>
      </c>
      <c r="S1013" t="str">
        <f>VLOOKUP(C1013,Customers!$A$2:$F$201,4,0)</f>
        <v>Telangana</v>
      </c>
      <c r="T1013" t="str">
        <f>VLOOKUP(Table1[[#This Row],[Customer ID]],Customers!$A$2:$F$201,5,0)</f>
        <v>South</v>
      </c>
      <c r="U1013" t="str">
        <f>VLOOKUP(Table1[[#This Row],[Customer ID]],Customers!$A$2:$F$201,6,0)</f>
        <v>Consumer</v>
      </c>
      <c r="V1013" t="str">
        <f>TEXT(Table1[[#This Row],[Order Date]],"MMM")</f>
        <v>Sep</v>
      </c>
      <c r="W1013" t="str">
        <f>TEXT(Table1[[#This Row],[Order Date]],"yyyy")</f>
        <v>2025</v>
      </c>
    </row>
    <row r="1014" spans="1:23" x14ac:dyDescent="0.25">
      <c r="A1014" s="2" t="s">
        <v>1260</v>
      </c>
      <c r="B1014" s="4">
        <v>45916</v>
      </c>
      <c r="C1014" s="2" t="s">
        <v>180</v>
      </c>
      <c r="D1014" s="2" t="str">
        <f>TEXT(Table1[[#This Row],[Order Date]],"mmmm")</f>
        <v>September</v>
      </c>
      <c r="E1014" s="2" t="s">
        <v>18</v>
      </c>
      <c r="F1014" s="2">
        <v>1</v>
      </c>
      <c r="G1014" s="5">
        <v>0.05</v>
      </c>
      <c r="H1014" s="2" t="s">
        <v>30</v>
      </c>
      <c r="I1014" s="2" t="s">
        <v>26</v>
      </c>
      <c r="J1014" s="2" t="s">
        <v>94</v>
      </c>
      <c r="K1014">
        <f>VLOOKUP(E1014,Products!$A$2:$E$23,5,0)</f>
        <v>4299</v>
      </c>
      <c r="L1014">
        <f>VLOOKUP(E1014,Products!$A$2:$E$23,4,0)</f>
        <v>2800</v>
      </c>
      <c r="M1014" s="2">
        <f>K1014*F1014-Table1[[#This Row],[discount_amount]]</f>
        <v>4084.05</v>
      </c>
      <c r="N1014">
        <f t="shared" si="31"/>
        <v>2800</v>
      </c>
      <c r="O1014">
        <f t="shared" si="30"/>
        <v>1284.0500000000002</v>
      </c>
      <c r="P1014">
        <f>Table1[[#This Row],[Quantity]]*Table1[[#This Row],[unit_price]]*Table1[[#This Row],[Discount]]</f>
        <v>214.95000000000002</v>
      </c>
      <c r="Q1014" t="str">
        <f>VLOOKUP(E1014,Products!$A$2:$E$23,2,0)</f>
        <v>Bookshelf</v>
      </c>
      <c r="R1014" t="str">
        <f>VLOOKUP(Table1[[#This Row],[Product ID]],Products!$A$2:$E$23,3,0)</f>
        <v>Furniture</v>
      </c>
      <c r="S1014" t="str">
        <f>VLOOKUP(C1014,Customers!$A$2:$F$201,4,0)</f>
        <v>Delhi</v>
      </c>
      <c r="T1014" t="str">
        <f>VLOOKUP(Table1[[#This Row],[Customer ID]],Customers!$A$2:$F$201,5,0)</f>
        <v>North</v>
      </c>
      <c r="U1014" t="str">
        <f>VLOOKUP(Table1[[#This Row],[Customer ID]],Customers!$A$2:$F$201,6,0)</f>
        <v>Consumer</v>
      </c>
      <c r="V1014" t="str">
        <f>TEXT(Table1[[#This Row],[Order Date]],"MMM")</f>
        <v>Sep</v>
      </c>
      <c r="W1014" t="str">
        <f>TEXT(Table1[[#This Row],[Order Date]],"yyyy")</f>
        <v>2025</v>
      </c>
    </row>
    <row r="1015" spans="1:23" x14ac:dyDescent="0.25">
      <c r="A1015" s="2" t="s">
        <v>1261</v>
      </c>
      <c r="B1015" s="4">
        <v>45917</v>
      </c>
      <c r="C1015" s="2" t="s">
        <v>550</v>
      </c>
      <c r="D1015" s="2" t="str">
        <f>TEXT(Table1[[#This Row],[Order Date]],"mmmm")</f>
        <v>September</v>
      </c>
      <c r="E1015" s="2" t="s">
        <v>60</v>
      </c>
      <c r="F1015" s="2">
        <v>1</v>
      </c>
      <c r="G1015" s="5">
        <v>0.1</v>
      </c>
      <c r="H1015" s="2" t="s">
        <v>30</v>
      </c>
      <c r="I1015" s="2" t="s">
        <v>20</v>
      </c>
      <c r="J1015" s="2" t="s">
        <v>21</v>
      </c>
      <c r="K1015">
        <f>VLOOKUP(E1015,Products!$A$2:$E$23,5,0)</f>
        <v>449</v>
      </c>
      <c r="L1015">
        <f>VLOOKUP(E1015,Products!$A$2:$E$23,4,0)</f>
        <v>260</v>
      </c>
      <c r="M1015" s="2">
        <f>K1015*F1015-Table1[[#This Row],[discount_amount]]</f>
        <v>404.1</v>
      </c>
      <c r="N1015">
        <f t="shared" si="31"/>
        <v>260</v>
      </c>
      <c r="O1015">
        <f t="shared" si="30"/>
        <v>144.10000000000002</v>
      </c>
      <c r="P1015">
        <f>Table1[[#This Row],[Quantity]]*Table1[[#This Row],[unit_price]]*Table1[[#This Row],[Discount]]</f>
        <v>44.900000000000006</v>
      </c>
      <c r="Q1015" t="str">
        <f>VLOOKUP(E1015,Products!$A$2:$E$23,2,0)</f>
        <v>Desk Organizer</v>
      </c>
      <c r="R1015" t="str">
        <f>VLOOKUP(Table1[[#This Row],[Product ID]],Products!$A$2:$E$23,3,0)</f>
        <v>Office Supplies</v>
      </c>
      <c r="S1015" t="str">
        <f>VLOOKUP(C1015,Customers!$A$2:$F$201,4,0)</f>
        <v>Madhya Pradesh</v>
      </c>
      <c r="T1015" t="str">
        <f>VLOOKUP(Table1[[#This Row],[Customer ID]],Customers!$A$2:$F$201,5,0)</f>
        <v>Central</v>
      </c>
      <c r="U1015" t="str">
        <f>VLOOKUP(Table1[[#This Row],[Customer ID]],Customers!$A$2:$F$201,6,0)</f>
        <v>Corporate</v>
      </c>
      <c r="V1015" t="str">
        <f>TEXT(Table1[[#This Row],[Order Date]],"MMM")</f>
        <v>Sep</v>
      </c>
      <c r="W1015" t="str">
        <f>TEXT(Table1[[#This Row],[Order Date]],"yyyy")</f>
        <v>2025</v>
      </c>
    </row>
    <row r="1016" spans="1:23" x14ac:dyDescent="0.25">
      <c r="A1016" s="2" t="s">
        <v>1262</v>
      </c>
      <c r="B1016" s="4">
        <v>45920</v>
      </c>
      <c r="C1016" s="2" t="s">
        <v>17</v>
      </c>
      <c r="D1016" s="2" t="str">
        <f>TEXT(Table1[[#This Row],[Order Date]],"mmmm")</f>
        <v>September</v>
      </c>
      <c r="E1016" s="2" t="s">
        <v>91</v>
      </c>
      <c r="F1016" s="2">
        <v>1</v>
      </c>
      <c r="G1016" s="5">
        <v>0.2</v>
      </c>
      <c r="H1016" s="2" t="s">
        <v>19</v>
      </c>
      <c r="I1016" s="2" t="s">
        <v>26</v>
      </c>
      <c r="J1016" s="2" t="s">
        <v>79</v>
      </c>
      <c r="K1016">
        <f>VLOOKUP(E1016,Products!$A$2:$E$23,5,0)</f>
        <v>1199</v>
      </c>
      <c r="L1016">
        <f>VLOOKUP(E1016,Products!$A$2:$E$23,4,0)</f>
        <v>600</v>
      </c>
      <c r="M1016" s="2">
        <f>K1016*F1016-Table1[[#This Row],[discount_amount]]</f>
        <v>959.2</v>
      </c>
      <c r="N1016">
        <f t="shared" si="31"/>
        <v>600</v>
      </c>
      <c r="O1016">
        <f t="shared" si="30"/>
        <v>359.20000000000005</v>
      </c>
      <c r="P1016">
        <f>Table1[[#This Row],[Quantity]]*Table1[[#This Row],[unit_price]]*Table1[[#This Row],[Discount]]</f>
        <v>239.8</v>
      </c>
      <c r="Q1016" t="str">
        <f>VLOOKUP(E1016,Products!$A$2:$E$23,2,0)</f>
        <v>Formal Shirt</v>
      </c>
      <c r="R1016" t="str">
        <f>VLOOKUP(Table1[[#This Row],[Product ID]],Products!$A$2:$E$23,3,0)</f>
        <v>Clothing</v>
      </c>
      <c r="S1016" t="str">
        <f>VLOOKUP(C1016,Customers!$A$2:$F$201,4,0)</f>
        <v>Madhya Pradesh</v>
      </c>
      <c r="T1016" t="str">
        <f>VLOOKUP(Table1[[#This Row],[Customer ID]],Customers!$A$2:$F$201,5,0)</f>
        <v>Central</v>
      </c>
      <c r="U1016" t="str">
        <f>VLOOKUP(Table1[[#This Row],[Customer ID]],Customers!$A$2:$F$201,6,0)</f>
        <v>Corporate</v>
      </c>
      <c r="V1016" t="str">
        <f>TEXT(Table1[[#This Row],[Order Date]],"MMM")</f>
        <v>Sep</v>
      </c>
      <c r="W1016" t="str">
        <f>TEXT(Table1[[#This Row],[Order Date]],"yyyy")</f>
        <v>2025</v>
      </c>
    </row>
    <row r="1017" spans="1:23" x14ac:dyDescent="0.25">
      <c r="A1017" s="2" t="s">
        <v>1263</v>
      </c>
      <c r="B1017" s="4">
        <v>45921</v>
      </c>
      <c r="C1017" s="2" t="s">
        <v>88</v>
      </c>
      <c r="D1017" s="2" t="str">
        <f>TEXT(Table1[[#This Row],[Order Date]],"mmmm")</f>
        <v>September</v>
      </c>
      <c r="E1017" s="2" t="s">
        <v>29</v>
      </c>
      <c r="F1017" s="2">
        <v>1</v>
      </c>
      <c r="G1017" s="5">
        <v>0.15</v>
      </c>
      <c r="H1017" s="2" t="s">
        <v>19</v>
      </c>
      <c r="I1017" s="2" t="s">
        <v>31</v>
      </c>
      <c r="J1017" s="2" t="s">
        <v>21</v>
      </c>
      <c r="K1017">
        <f>VLOOKUP(E1017,Products!$A$2:$E$23,5,0)</f>
        <v>599</v>
      </c>
      <c r="L1017">
        <f>VLOOKUP(E1017,Products!$A$2:$E$23,4,0)</f>
        <v>350</v>
      </c>
      <c r="M1017" s="2">
        <f>K1017*F1017-Table1[[#This Row],[discount_amount]]</f>
        <v>509.15</v>
      </c>
      <c r="N1017">
        <f t="shared" si="31"/>
        <v>350</v>
      </c>
      <c r="O1017">
        <f t="shared" si="30"/>
        <v>159.14999999999998</v>
      </c>
      <c r="P1017">
        <f>Table1[[#This Row],[Quantity]]*Table1[[#This Row],[unit_price]]*Table1[[#This Row],[Discount]]</f>
        <v>89.85</v>
      </c>
      <c r="Q1017" t="str">
        <f>VLOOKUP(E1017,Products!$A$2:$E$23,2,0)</f>
        <v>USB Flash Drive 64GB</v>
      </c>
      <c r="R1017" t="str">
        <f>VLOOKUP(Table1[[#This Row],[Product ID]],Products!$A$2:$E$23,3,0)</f>
        <v>Electronics</v>
      </c>
      <c r="S1017" t="str">
        <f>VLOOKUP(C1017,Customers!$A$2:$F$201,4,0)</f>
        <v>Gujarat</v>
      </c>
      <c r="T1017" t="str">
        <f>VLOOKUP(Table1[[#This Row],[Customer ID]],Customers!$A$2:$F$201,5,0)</f>
        <v>West</v>
      </c>
      <c r="U1017" t="str">
        <f>VLOOKUP(Table1[[#This Row],[Customer ID]],Customers!$A$2:$F$201,6,0)</f>
        <v>Consumer</v>
      </c>
      <c r="V1017" t="str">
        <f>TEXT(Table1[[#This Row],[Order Date]],"MMM")</f>
        <v>Sep</v>
      </c>
      <c r="W1017" t="str">
        <f>TEXT(Table1[[#This Row],[Order Date]],"yyyy")</f>
        <v>2025</v>
      </c>
    </row>
    <row r="1018" spans="1:23" x14ac:dyDescent="0.25">
      <c r="A1018" s="2" t="s">
        <v>1264</v>
      </c>
      <c r="B1018" s="4">
        <v>45921</v>
      </c>
      <c r="C1018" s="2" t="s">
        <v>301</v>
      </c>
      <c r="D1018" s="2" t="str">
        <f>TEXT(Table1[[#This Row],[Order Date]],"mmmm")</f>
        <v>September</v>
      </c>
      <c r="E1018" s="2" t="s">
        <v>57</v>
      </c>
      <c r="F1018" s="2">
        <v>1</v>
      </c>
      <c r="G1018" s="5">
        <v>0</v>
      </c>
      <c r="H1018" s="2" t="s">
        <v>30</v>
      </c>
      <c r="I1018" s="2" t="s">
        <v>26</v>
      </c>
      <c r="J1018" s="2" t="s">
        <v>21</v>
      </c>
      <c r="K1018">
        <f>VLOOKUP(E1018,Products!$A$2:$E$23,5,0)</f>
        <v>1599</v>
      </c>
      <c r="L1018">
        <f>VLOOKUP(E1018,Products!$A$2:$E$23,4,0)</f>
        <v>800</v>
      </c>
      <c r="M1018" s="2">
        <f>K1018*F1018-Table1[[#This Row],[discount_amount]]</f>
        <v>1599</v>
      </c>
      <c r="N1018">
        <f t="shared" si="31"/>
        <v>800</v>
      </c>
      <c r="O1018">
        <f t="shared" si="30"/>
        <v>799</v>
      </c>
      <c r="P1018">
        <f>Table1[[#This Row],[Quantity]]*Table1[[#This Row],[unit_price]]*Table1[[#This Row],[Discount]]</f>
        <v>0</v>
      </c>
      <c r="Q1018" t="str">
        <f>VLOOKUP(E1018,Products!$A$2:$E$23,2,0)</f>
        <v>Hoodie</v>
      </c>
      <c r="R1018" t="str">
        <f>VLOOKUP(Table1[[#This Row],[Product ID]],Products!$A$2:$E$23,3,0)</f>
        <v>Clothing</v>
      </c>
      <c r="S1018" t="str">
        <f>VLOOKUP(C1018,Customers!$A$2:$F$201,4,0)</f>
        <v>Chandigarh</v>
      </c>
      <c r="T1018" t="str">
        <f>VLOOKUP(Table1[[#This Row],[Customer ID]],Customers!$A$2:$F$201,5,0)</f>
        <v>North</v>
      </c>
      <c r="U1018" t="str">
        <f>VLOOKUP(Table1[[#This Row],[Customer ID]],Customers!$A$2:$F$201,6,0)</f>
        <v>Home Office</v>
      </c>
      <c r="V1018" t="str">
        <f>TEXT(Table1[[#This Row],[Order Date]],"MMM")</f>
        <v>Sep</v>
      </c>
      <c r="W1018" t="str">
        <f>TEXT(Table1[[#This Row],[Order Date]],"yyyy")</f>
        <v>2025</v>
      </c>
    </row>
    <row r="1019" spans="1:23" x14ac:dyDescent="0.25">
      <c r="A1019" s="2" t="s">
        <v>1265</v>
      </c>
      <c r="B1019" s="4">
        <v>45921</v>
      </c>
      <c r="C1019" s="2" t="s">
        <v>104</v>
      </c>
      <c r="D1019" s="2" t="str">
        <f>TEXT(Table1[[#This Row],[Order Date]],"mmmm")</f>
        <v>September</v>
      </c>
      <c r="E1019" s="2" t="s">
        <v>118</v>
      </c>
      <c r="F1019" s="2">
        <v>1</v>
      </c>
      <c r="G1019" s="5">
        <v>0.05</v>
      </c>
      <c r="H1019" s="2" t="s">
        <v>25</v>
      </c>
      <c r="I1019" s="2" t="s">
        <v>31</v>
      </c>
      <c r="J1019" s="2" t="s">
        <v>21</v>
      </c>
      <c r="K1019">
        <f>VLOOKUP(E1019,Products!$A$2:$E$23,5,0)</f>
        <v>150</v>
      </c>
      <c r="L1019">
        <f>VLOOKUP(E1019,Products!$A$2:$E$23,4,0)</f>
        <v>90</v>
      </c>
      <c r="M1019" s="2">
        <f>K1019*F1019-Table1[[#This Row],[discount_amount]]</f>
        <v>142.5</v>
      </c>
      <c r="N1019">
        <f t="shared" si="31"/>
        <v>90</v>
      </c>
      <c r="O1019">
        <f t="shared" si="30"/>
        <v>52.5</v>
      </c>
      <c r="P1019">
        <f>Table1[[#This Row],[Quantity]]*Table1[[#This Row],[unit_price]]*Table1[[#This Row],[Discount]]</f>
        <v>7.5</v>
      </c>
      <c r="Q1019" t="str">
        <f>VLOOKUP(E1019,Products!$A$2:$E$23,2,0)</f>
        <v>Gel Pen Box</v>
      </c>
      <c r="R1019" t="str">
        <f>VLOOKUP(Table1[[#This Row],[Product ID]],Products!$A$2:$E$23,3,0)</f>
        <v>Office Supplies</v>
      </c>
      <c r="S1019" t="str">
        <f>VLOOKUP(C1019,Customers!$A$2:$F$201,4,0)</f>
        <v>Rajasthan</v>
      </c>
      <c r="T1019" t="str">
        <f>VLOOKUP(Table1[[#This Row],[Customer ID]],Customers!$A$2:$F$201,5,0)</f>
        <v>North</v>
      </c>
      <c r="U1019" t="str">
        <f>VLOOKUP(Table1[[#This Row],[Customer ID]],Customers!$A$2:$F$201,6,0)</f>
        <v>Corporate</v>
      </c>
      <c r="V1019" t="str">
        <f>TEXT(Table1[[#This Row],[Order Date]],"MMM")</f>
        <v>Sep</v>
      </c>
      <c r="W1019" t="str">
        <f>TEXT(Table1[[#This Row],[Order Date]],"yyyy")</f>
        <v>2025</v>
      </c>
    </row>
    <row r="1020" spans="1:23" x14ac:dyDescent="0.25">
      <c r="A1020" s="2" t="s">
        <v>1266</v>
      </c>
      <c r="B1020" s="4">
        <v>45922</v>
      </c>
      <c r="C1020" s="2" t="s">
        <v>100</v>
      </c>
      <c r="D1020" s="2" t="str">
        <f>TEXT(Table1[[#This Row],[Order Date]],"mmmm")</f>
        <v>September</v>
      </c>
      <c r="E1020" s="2" t="s">
        <v>49</v>
      </c>
      <c r="F1020" s="2">
        <v>5</v>
      </c>
      <c r="G1020" s="5">
        <v>0.05</v>
      </c>
      <c r="H1020" s="2" t="s">
        <v>25</v>
      </c>
      <c r="I1020" s="2" t="s">
        <v>31</v>
      </c>
      <c r="J1020" s="2" t="s">
        <v>21</v>
      </c>
      <c r="K1020">
        <f>VLOOKUP(E1020,Products!$A$2:$E$23,5,0)</f>
        <v>700</v>
      </c>
      <c r="L1020">
        <f>VLOOKUP(E1020,Products!$A$2:$E$23,4,0)</f>
        <v>450</v>
      </c>
      <c r="M1020" s="2">
        <f>K1020*F1020-Table1[[#This Row],[discount_amount]]</f>
        <v>3325</v>
      </c>
      <c r="N1020">
        <f t="shared" si="31"/>
        <v>2250</v>
      </c>
      <c r="O1020">
        <f t="shared" si="30"/>
        <v>1075</v>
      </c>
      <c r="P1020">
        <f>Table1[[#This Row],[Quantity]]*Table1[[#This Row],[unit_price]]*Table1[[#This Row],[Discount]]</f>
        <v>175</v>
      </c>
      <c r="Q1020" t="str">
        <f>VLOOKUP(E1020,Products!$A$2:$E$23,2,0)</f>
        <v>Wireless Mouse</v>
      </c>
      <c r="R1020" t="str">
        <f>VLOOKUP(Table1[[#This Row],[Product ID]],Products!$A$2:$E$23,3,0)</f>
        <v>Electronics</v>
      </c>
      <c r="S1020" t="str">
        <f>VLOOKUP(C1020,Customers!$A$2:$F$201,4,0)</f>
        <v>Delhi</v>
      </c>
      <c r="T1020" t="str">
        <f>VLOOKUP(Table1[[#This Row],[Customer ID]],Customers!$A$2:$F$201,5,0)</f>
        <v>North</v>
      </c>
      <c r="U1020" t="str">
        <f>VLOOKUP(Table1[[#This Row],[Customer ID]],Customers!$A$2:$F$201,6,0)</f>
        <v>Consumer</v>
      </c>
      <c r="V1020" t="str">
        <f>TEXT(Table1[[#This Row],[Order Date]],"MMM")</f>
        <v>Sep</v>
      </c>
      <c r="W1020" t="str">
        <f>TEXT(Table1[[#This Row],[Order Date]],"yyyy")</f>
        <v>2025</v>
      </c>
    </row>
    <row r="1021" spans="1:23" x14ac:dyDescent="0.25">
      <c r="A1021" s="2" t="s">
        <v>1267</v>
      </c>
      <c r="B1021" s="4">
        <v>45922</v>
      </c>
      <c r="C1021" s="2" t="s">
        <v>783</v>
      </c>
      <c r="D1021" s="2" t="str">
        <f>TEXT(Table1[[#This Row],[Order Date]],"mmmm")</f>
        <v>September</v>
      </c>
      <c r="E1021" s="2" t="s">
        <v>155</v>
      </c>
      <c r="F1021" s="2">
        <v>1</v>
      </c>
      <c r="G1021" s="5">
        <v>0.05</v>
      </c>
      <c r="H1021" s="2" t="s">
        <v>30</v>
      </c>
      <c r="I1021" s="2" t="s">
        <v>38</v>
      </c>
      <c r="J1021" s="2" t="s">
        <v>21</v>
      </c>
      <c r="K1021">
        <f>VLOOKUP(E1021,Products!$A$2:$E$23,5,0)</f>
        <v>1599</v>
      </c>
      <c r="L1021">
        <f>VLOOKUP(E1021,Products!$A$2:$E$23,4,0)</f>
        <v>900</v>
      </c>
      <c r="M1021" s="2">
        <f>K1021*F1021-Table1[[#This Row],[discount_amount]]</f>
        <v>1519.05</v>
      </c>
      <c r="N1021">
        <f t="shared" si="31"/>
        <v>900</v>
      </c>
      <c r="O1021">
        <f t="shared" si="30"/>
        <v>619.04999999999995</v>
      </c>
      <c r="P1021">
        <f>Table1[[#This Row],[Quantity]]*Table1[[#This Row],[unit_price]]*Table1[[#This Row],[Discount]]</f>
        <v>79.95</v>
      </c>
      <c r="Q1021" t="str">
        <f>VLOOKUP(E1021,Products!$A$2:$E$23,2,0)</f>
        <v>Headphones</v>
      </c>
      <c r="R1021" t="str">
        <f>VLOOKUP(Table1[[#This Row],[Product ID]],Products!$A$2:$E$23,3,0)</f>
        <v>Electronics</v>
      </c>
      <c r="S1021" t="str">
        <f>VLOOKUP(C1021,Customers!$A$2:$F$201,4,0)</f>
        <v>Chandigarh</v>
      </c>
      <c r="T1021" t="str">
        <f>VLOOKUP(Table1[[#This Row],[Customer ID]],Customers!$A$2:$F$201,5,0)</f>
        <v>North</v>
      </c>
      <c r="U1021" t="str">
        <f>VLOOKUP(Table1[[#This Row],[Customer ID]],Customers!$A$2:$F$201,6,0)</f>
        <v>Consumer</v>
      </c>
      <c r="V1021" t="str">
        <f>TEXT(Table1[[#This Row],[Order Date]],"MMM")</f>
        <v>Sep</v>
      </c>
      <c r="W1021" t="str">
        <f>TEXT(Table1[[#This Row],[Order Date]],"yyyy")</f>
        <v>2025</v>
      </c>
    </row>
    <row r="1022" spans="1:23" x14ac:dyDescent="0.25">
      <c r="A1022" s="2" t="s">
        <v>1268</v>
      </c>
      <c r="B1022" s="4">
        <v>45924</v>
      </c>
      <c r="C1022" s="2" t="s">
        <v>381</v>
      </c>
      <c r="D1022" s="2" t="str">
        <f>TEXT(Table1[[#This Row],[Order Date]],"mmmm")</f>
        <v>September</v>
      </c>
      <c r="E1022" s="2" t="s">
        <v>155</v>
      </c>
      <c r="F1022" s="2">
        <v>1</v>
      </c>
      <c r="G1022" s="5">
        <v>0.05</v>
      </c>
      <c r="H1022" s="2" t="s">
        <v>25</v>
      </c>
      <c r="I1022" s="2" t="s">
        <v>46</v>
      </c>
      <c r="J1022" s="2" t="s">
        <v>21</v>
      </c>
      <c r="K1022">
        <f>VLOOKUP(E1022,Products!$A$2:$E$23,5,0)</f>
        <v>1599</v>
      </c>
      <c r="L1022">
        <f>VLOOKUP(E1022,Products!$A$2:$E$23,4,0)</f>
        <v>900</v>
      </c>
      <c r="M1022" s="2">
        <f>K1022*F1022-Table1[[#This Row],[discount_amount]]</f>
        <v>1519.05</v>
      </c>
      <c r="N1022">
        <f t="shared" si="31"/>
        <v>900</v>
      </c>
      <c r="O1022">
        <f t="shared" si="30"/>
        <v>619.04999999999995</v>
      </c>
      <c r="P1022">
        <f>Table1[[#This Row],[Quantity]]*Table1[[#This Row],[unit_price]]*Table1[[#This Row],[Discount]]</f>
        <v>79.95</v>
      </c>
      <c r="Q1022" t="str">
        <f>VLOOKUP(E1022,Products!$A$2:$E$23,2,0)</f>
        <v>Headphones</v>
      </c>
      <c r="R1022" t="str">
        <f>VLOOKUP(Table1[[#This Row],[Product ID]],Products!$A$2:$E$23,3,0)</f>
        <v>Electronics</v>
      </c>
      <c r="S1022" t="str">
        <f>VLOOKUP(C1022,Customers!$A$2:$F$201,4,0)</f>
        <v>Gujarat</v>
      </c>
      <c r="T1022" t="str">
        <f>VLOOKUP(Table1[[#This Row],[Customer ID]],Customers!$A$2:$F$201,5,0)</f>
        <v>West</v>
      </c>
      <c r="U1022" t="str">
        <f>VLOOKUP(Table1[[#This Row],[Customer ID]],Customers!$A$2:$F$201,6,0)</f>
        <v>Consumer</v>
      </c>
      <c r="V1022" t="str">
        <f>TEXT(Table1[[#This Row],[Order Date]],"MMM")</f>
        <v>Sep</v>
      </c>
      <c r="W1022" t="str">
        <f>TEXT(Table1[[#This Row],[Order Date]],"yyyy")</f>
        <v>2025</v>
      </c>
    </row>
    <row r="1023" spans="1:23" x14ac:dyDescent="0.25">
      <c r="A1023" s="2" t="s">
        <v>1269</v>
      </c>
      <c r="B1023" s="4">
        <v>45924</v>
      </c>
      <c r="C1023" s="2" t="s">
        <v>598</v>
      </c>
      <c r="D1023" s="2" t="str">
        <f>TEXT(Table1[[#This Row],[Order Date]],"mmmm")</f>
        <v>September</v>
      </c>
      <c r="E1023" s="2" t="s">
        <v>57</v>
      </c>
      <c r="F1023" s="2">
        <v>3</v>
      </c>
      <c r="G1023" s="5">
        <v>0</v>
      </c>
      <c r="H1023" s="2" t="s">
        <v>25</v>
      </c>
      <c r="I1023" s="2" t="s">
        <v>20</v>
      </c>
      <c r="J1023" s="2" t="s">
        <v>21</v>
      </c>
      <c r="K1023">
        <f>VLOOKUP(E1023,Products!$A$2:$E$23,5,0)</f>
        <v>1599</v>
      </c>
      <c r="L1023">
        <f>VLOOKUP(E1023,Products!$A$2:$E$23,4,0)</f>
        <v>800</v>
      </c>
      <c r="M1023" s="2">
        <f>K1023*F1023-Table1[[#This Row],[discount_amount]]</f>
        <v>4797</v>
      </c>
      <c r="N1023">
        <f t="shared" si="31"/>
        <v>2400</v>
      </c>
      <c r="O1023">
        <f t="shared" si="30"/>
        <v>2397</v>
      </c>
      <c r="P1023">
        <f>Table1[[#This Row],[Quantity]]*Table1[[#This Row],[unit_price]]*Table1[[#This Row],[Discount]]</f>
        <v>0</v>
      </c>
      <c r="Q1023" t="str">
        <f>VLOOKUP(E1023,Products!$A$2:$E$23,2,0)</f>
        <v>Hoodie</v>
      </c>
      <c r="R1023" t="str">
        <f>VLOOKUP(Table1[[#This Row],[Product ID]],Products!$A$2:$E$23,3,0)</f>
        <v>Clothing</v>
      </c>
      <c r="S1023" t="str">
        <f>VLOOKUP(C1023,Customers!$A$2:$F$201,4,0)</f>
        <v>Odisha</v>
      </c>
      <c r="T1023" t="str">
        <f>VLOOKUP(Table1[[#This Row],[Customer ID]],Customers!$A$2:$F$201,5,0)</f>
        <v>East</v>
      </c>
      <c r="U1023" t="str">
        <f>VLOOKUP(Table1[[#This Row],[Customer ID]],Customers!$A$2:$F$201,6,0)</f>
        <v>Corporate</v>
      </c>
      <c r="V1023" t="str">
        <f>TEXT(Table1[[#This Row],[Order Date]],"MMM")</f>
        <v>Sep</v>
      </c>
      <c r="W1023" t="str">
        <f>TEXT(Table1[[#This Row],[Order Date]],"yyyy")</f>
        <v>2025</v>
      </c>
    </row>
    <row r="1024" spans="1:23" x14ac:dyDescent="0.25">
      <c r="A1024" s="2" t="s">
        <v>1270</v>
      </c>
      <c r="B1024" s="4">
        <v>45924</v>
      </c>
      <c r="C1024" s="2" t="s">
        <v>254</v>
      </c>
      <c r="D1024" s="2" t="str">
        <f>TEXT(Table1[[#This Row],[Order Date]],"mmmm")</f>
        <v>September</v>
      </c>
      <c r="E1024" s="2" t="s">
        <v>82</v>
      </c>
      <c r="F1024" s="2">
        <v>2</v>
      </c>
      <c r="G1024" s="5">
        <v>0.1</v>
      </c>
      <c r="H1024" s="2" t="s">
        <v>19</v>
      </c>
      <c r="I1024" s="2" t="s">
        <v>31</v>
      </c>
      <c r="J1024" s="2" t="s">
        <v>21</v>
      </c>
      <c r="K1024">
        <f>VLOOKUP(E1024,Products!$A$2:$E$23,5,0)</f>
        <v>1799</v>
      </c>
      <c r="L1024">
        <f>VLOOKUP(E1024,Products!$A$2:$E$23,4,0)</f>
        <v>1100</v>
      </c>
      <c r="M1024" s="2">
        <f>K1024*F1024-Table1[[#This Row],[discount_amount]]</f>
        <v>3238.2</v>
      </c>
      <c r="N1024">
        <f t="shared" si="31"/>
        <v>2200</v>
      </c>
      <c r="O1024">
        <f t="shared" si="30"/>
        <v>1038.1999999999998</v>
      </c>
      <c r="P1024">
        <f>Table1[[#This Row],[Quantity]]*Table1[[#This Row],[unit_price]]*Table1[[#This Row],[Discount]]</f>
        <v>359.8</v>
      </c>
      <c r="Q1024" t="str">
        <f>VLOOKUP(E1024,Products!$A$2:$E$23,2,0)</f>
        <v>Webcam HD</v>
      </c>
      <c r="R1024" t="str">
        <f>VLOOKUP(Table1[[#This Row],[Product ID]],Products!$A$2:$E$23,3,0)</f>
        <v>Electronics</v>
      </c>
      <c r="S1024" t="str">
        <f>VLOOKUP(C1024,Customers!$A$2:$F$201,4,0)</f>
        <v>Rajasthan</v>
      </c>
      <c r="T1024" t="str">
        <f>VLOOKUP(Table1[[#This Row],[Customer ID]],Customers!$A$2:$F$201,5,0)</f>
        <v>North</v>
      </c>
      <c r="U1024" t="str">
        <f>VLOOKUP(Table1[[#This Row],[Customer ID]],Customers!$A$2:$F$201,6,0)</f>
        <v>Consumer</v>
      </c>
      <c r="V1024" t="str">
        <f>TEXT(Table1[[#This Row],[Order Date]],"MMM")</f>
        <v>Sep</v>
      </c>
      <c r="W1024" t="str">
        <f>TEXT(Table1[[#This Row],[Order Date]],"yyyy")</f>
        <v>2025</v>
      </c>
    </row>
    <row r="1025" spans="1:23" x14ac:dyDescent="0.25">
      <c r="A1025" s="2" t="s">
        <v>1271</v>
      </c>
      <c r="B1025" s="4">
        <v>45924</v>
      </c>
      <c r="C1025" s="2" t="s">
        <v>350</v>
      </c>
      <c r="D1025" s="2" t="str">
        <f>TEXT(Table1[[#This Row],[Order Date]],"mmmm")</f>
        <v>September</v>
      </c>
      <c r="E1025" s="2" t="s">
        <v>135</v>
      </c>
      <c r="F1025" s="2">
        <v>4</v>
      </c>
      <c r="G1025" s="5">
        <v>0</v>
      </c>
      <c r="H1025" s="2" t="s">
        <v>30</v>
      </c>
      <c r="I1025" s="2" t="s">
        <v>46</v>
      </c>
      <c r="J1025" s="2" t="s">
        <v>79</v>
      </c>
      <c r="K1025">
        <f>VLOOKUP(E1025,Products!$A$2:$E$23,5,0)</f>
        <v>220</v>
      </c>
      <c r="L1025">
        <f>VLOOKUP(E1025,Products!$A$2:$E$23,4,0)</f>
        <v>120</v>
      </c>
      <c r="M1025" s="2">
        <f>K1025*F1025-Table1[[#This Row],[discount_amount]]</f>
        <v>880</v>
      </c>
      <c r="N1025">
        <f t="shared" si="31"/>
        <v>480</v>
      </c>
      <c r="O1025">
        <f t="shared" si="30"/>
        <v>400</v>
      </c>
      <c r="P1025">
        <f>Table1[[#This Row],[Quantity]]*Table1[[#This Row],[unit_price]]*Table1[[#This Row],[Discount]]</f>
        <v>0</v>
      </c>
      <c r="Q1025" t="str">
        <f>VLOOKUP(E1025,Products!$A$2:$E$23,2,0)</f>
        <v>Stapler</v>
      </c>
      <c r="R1025" t="str">
        <f>VLOOKUP(Table1[[#This Row],[Product ID]],Products!$A$2:$E$23,3,0)</f>
        <v>Office Supplies</v>
      </c>
      <c r="S1025" t="str">
        <f>VLOOKUP(C1025,Customers!$A$2:$F$201,4,0)</f>
        <v>West Bengal</v>
      </c>
      <c r="T1025" t="str">
        <f>VLOOKUP(Table1[[#This Row],[Customer ID]],Customers!$A$2:$F$201,5,0)</f>
        <v>East</v>
      </c>
      <c r="U1025" t="str">
        <f>VLOOKUP(Table1[[#This Row],[Customer ID]],Customers!$A$2:$F$201,6,0)</f>
        <v>Corporate</v>
      </c>
      <c r="V1025" t="str">
        <f>TEXT(Table1[[#This Row],[Order Date]],"MMM")</f>
        <v>Sep</v>
      </c>
      <c r="W1025" t="str">
        <f>TEXT(Table1[[#This Row],[Order Date]],"yyyy")</f>
        <v>2025</v>
      </c>
    </row>
    <row r="1026" spans="1:23" x14ac:dyDescent="0.25">
      <c r="A1026" s="2" t="s">
        <v>1272</v>
      </c>
      <c r="B1026" s="4">
        <v>45925</v>
      </c>
      <c r="C1026" s="2" t="s">
        <v>806</v>
      </c>
      <c r="D1026" s="2" t="str">
        <f>TEXT(Table1[[#This Row],[Order Date]],"mmmm")</f>
        <v>September</v>
      </c>
      <c r="E1026" s="2" t="s">
        <v>111</v>
      </c>
      <c r="F1026" s="2">
        <v>4</v>
      </c>
      <c r="G1026" s="5">
        <v>0</v>
      </c>
      <c r="H1026" s="2" t="s">
        <v>25</v>
      </c>
      <c r="I1026" s="2" t="s">
        <v>31</v>
      </c>
      <c r="J1026" s="2" t="s">
        <v>42</v>
      </c>
      <c r="K1026">
        <f>VLOOKUP(E1026,Products!$A$2:$E$23,5,0)</f>
        <v>240</v>
      </c>
      <c r="L1026">
        <f>VLOOKUP(E1026,Products!$A$2:$E$23,4,0)</f>
        <v>140</v>
      </c>
      <c r="M1026" s="2">
        <f>K1026*F1026-Table1[[#This Row],[discount_amount]]</f>
        <v>960</v>
      </c>
      <c r="N1026">
        <f t="shared" si="31"/>
        <v>560</v>
      </c>
      <c r="O1026">
        <f t="shared" ref="O1026:O1089" si="32">M1026-N1026</f>
        <v>400</v>
      </c>
      <c r="P1026">
        <f>Table1[[#This Row],[Quantity]]*Table1[[#This Row],[unit_price]]*Table1[[#This Row],[Discount]]</f>
        <v>0</v>
      </c>
      <c r="Q1026" t="str">
        <f>VLOOKUP(E1026,Products!$A$2:$E$23,2,0)</f>
        <v>Whiteboard Marker Set</v>
      </c>
      <c r="R1026" t="str">
        <f>VLOOKUP(Table1[[#This Row],[Product ID]],Products!$A$2:$E$23,3,0)</f>
        <v>Office Supplies</v>
      </c>
      <c r="S1026" t="str">
        <f>VLOOKUP(C1026,Customers!$A$2:$F$201,4,0)</f>
        <v>Madhya Pradesh</v>
      </c>
      <c r="T1026" t="str">
        <f>VLOOKUP(Table1[[#This Row],[Customer ID]],Customers!$A$2:$F$201,5,0)</f>
        <v>Central</v>
      </c>
      <c r="U1026" t="str">
        <f>VLOOKUP(Table1[[#This Row],[Customer ID]],Customers!$A$2:$F$201,6,0)</f>
        <v>Consumer</v>
      </c>
      <c r="V1026" t="str">
        <f>TEXT(Table1[[#This Row],[Order Date]],"MMM")</f>
        <v>Sep</v>
      </c>
      <c r="W1026" t="str">
        <f>TEXT(Table1[[#This Row],[Order Date]],"yyyy")</f>
        <v>2025</v>
      </c>
    </row>
    <row r="1027" spans="1:23" x14ac:dyDescent="0.25">
      <c r="A1027" s="2" t="s">
        <v>1273</v>
      </c>
      <c r="B1027" s="4">
        <v>45926</v>
      </c>
      <c r="C1027" s="2" t="s">
        <v>217</v>
      </c>
      <c r="D1027" s="2" t="str">
        <f>TEXT(Table1[[#This Row],[Order Date]],"mmmm")</f>
        <v>September</v>
      </c>
      <c r="E1027" s="2" t="s">
        <v>45</v>
      </c>
      <c r="F1027" s="2">
        <v>2</v>
      </c>
      <c r="G1027" s="5">
        <v>0</v>
      </c>
      <c r="H1027" s="2" t="s">
        <v>25</v>
      </c>
      <c r="I1027" s="2" t="s">
        <v>38</v>
      </c>
      <c r="J1027" s="2" t="s">
        <v>21</v>
      </c>
      <c r="K1027">
        <f>VLOOKUP(E1027,Products!$A$2:$E$23,5,0)</f>
        <v>899</v>
      </c>
      <c r="L1027">
        <f>VLOOKUP(E1027,Products!$A$2:$E$23,4,0)</f>
        <v>450</v>
      </c>
      <c r="M1027" s="2">
        <f>K1027*F1027-Table1[[#This Row],[discount_amount]]</f>
        <v>1798</v>
      </c>
      <c r="N1027">
        <f t="shared" ref="N1027:N1090" si="33">F1027*L1027</f>
        <v>900</v>
      </c>
      <c r="O1027">
        <f t="shared" si="32"/>
        <v>898</v>
      </c>
      <c r="P1027">
        <f>Table1[[#This Row],[Quantity]]*Table1[[#This Row],[unit_price]]*Table1[[#This Row],[Discount]]</f>
        <v>0</v>
      </c>
      <c r="Q1027" t="str">
        <f>VLOOKUP(E1027,Products!$A$2:$E$23,2,0)</f>
        <v>Track Pants</v>
      </c>
      <c r="R1027" t="str">
        <f>VLOOKUP(Table1[[#This Row],[Product ID]],Products!$A$2:$E$23,3,0)</f>
        <v>Clothing</v>
      </c>
      <c r="S1027" t="str">
        <f>VLOOKUP(C1027,Customers!$A$2:$F$201,4,0)</f>
        <v>Madhya Pradesh</v>
      </c>
      <c r="T1027" t="str">
        <f>VLOOKUP(Table1[[#This Row],[Customer ID]],Customers!$A$2:$F$201,5,0)</f>
        <v>Central</v>
      </c>
      <c r="U1027" t="str">
        <f>VLOOKUP(Table1[[#This Row],[Customer ID]],Customers!$A$2:$F$201,6,0)</f>
        <v>Corporate</v>
      </c>
      <c r="V1027" t="str">
        <f>TEXT(Table1[[#This Row],[Order Date]],"MMM")</f>
        <v>Sep</v>
      </c>
      <c r="W1027" t="str">
        <f>TEXT(Table1[[#This Row],[Order Date]],"yyyy")</f>
        <v>2025</v>
      </c>
    </row>
    <row r="1028" spans="1:23" x14ac:dyDescent="0.25">
      <c r="A1028" s="2" t="s">
        <v>1274</v>
      </c>
      <c r="B1028" s="4">
        <v>45926</v>
      </c>
      <c r="C1028" s="2" t="s">
        <v>68</v>
      </c>
      <c r="D1028" s="2" t="str">
        <f>TEXT(Table1[[#This Row],[Order Date]],"mmmm")</f>
        <v>September</v>
      </c>
      <c r="E1028" s="2" t="s">
        <v>135</v>
      </c>
      <c r="F1028" s="2">
        <v>2</v>
      </c>
      <c r="G1028" s="5">
        <v>0.2</v>
      </c>
      <c r="H1028" s="2" t="s">
        <v>30</v>
      </c>
      <c r="I1028" s="2" t="s">
        <v>38</v>
      </c>
      <c r="J1028" s="2" t="s">
        <v>21</v>
      </c>
      <c r="K1028">
        <f>VLOOKUP(E1028,Products!$A$2:$E$23,5,0)</f>
        <v>220</v>
      </c>
      <c r="L1028">
        <f>VLOOKUP(E1028,Products!$A$2:$E$23,4,0)</f>
        <v>120</v>
      </c>
      <c r="M1028" s="2">
        <f>K1028*F1028-Table1[[#This Row],[discount_amount]]</f>
        <v>352</v>
      </c>
      <c r="N1028">
        <f t="shared" si="33"/>
        <v>240</v>
      </c>
      <c r="O1028">
        <f t="shared" si="32"/>
        <v>112</v>
      </c>
      <c r="P1028">
        <f>Table1[[#This Row],[Quantity]]*Table1[[#This Row],[unit_price]]*Table1[[#This Row],[Discount]]</f>
        <v>88</v>
      </c>
      <c r="Q1028" t="str">
        <f>VLOOKUP(E1028,Products!$A$2:$E$23,2,0)</f>
        <v>Stapler</v>
      </c>
      <c r="R1028" t="str">
        <f>VLOOKUP(Table1[[#This Row],[Product ID]],Products!$A$2:$E$23,3,0)</f>
        <v>Office Supplies</v>
      </c>
      <c r="S1028" t="str">
        <f>VLOOKUP(C1028,Customers!$A$2:$F$201,4,0)</f>
        <v>Chandigarh</v>
      </c>
      <c r="T1028" t="str">
        <f>VLOOKUP(Table1[[#This Row],[Customer ID]],Customers!$A$2:$F$201,5,0)</f>
        <v>North</v>
      </c>
      <c r="U1028" t="str">
        <f>VLOOKUP(Table1[[#This Row],[Customer ID]],Customers!$A$2:$F$201,6,0)</f>
        <v>Consumer</v>
      </c>
      <c r="V1028" t="str">
        <f>TEXT(Table1[[#This Row],[Order Date]],"MMM")</f>
        <v>Sep</v>
      </c>
      <c r="W1028" t="str">
        <f>TEXT(Table1[[#This Row],[Order Date]],"yyyy")</f>
        <v>2025</v>
      </c>
    </row>
    <row r="1029" spans="1:23" x14ac:dyDescent="0.25">
      <c r="A1029" s="2" t="s">
        <v>1275</v>
      </c>
      <c r="B1029" s="4">
        <v>45927</v>
      </c>
      <c r="C1029" s="2" t="s">
        <v>942</v>
      </c>
      <c r="D1029" s="2" t="str">
        <f>TEXT(Table1[[#This Row],[Order Date]],"mmmm")</f>
        <v>September</v>
      </c>
      <c r="E1029" s="2" t="s">
        <v>24</v>
      </c>
      <c r="F1029" s="2">
        <v>6</v>
      </c>
      <c r="G1029" s="5">
        <v>0.1</v>
      </c>
      <c r="H1029" s="2" t="s">
        <v>25</v>
      </c>
      <c r="I1029" s="2" t="s">
        <v>26</v>
      </c>
      <c r="J1029" s="2" t="s">
        <v>42</v>
      </c>
      <c r="K1029">
        <f>VLOOKUP(E1029,Products!$A$2:$E$23,5,0)</f>
        <v>899</v>
      </c>
      <c r="L1029">
        <f>VLOOKUP(E1029,Products!$A$2:$E$23,4,0)</f>
        <v>500</v>
      </c>
      <c r="M1029" s="2">
        <f>K1029*F1029-Table1[[#This Row],[discount_amount]]</f>
        <v>4854.6000000000004</v>
      </c>
      <c r="N1029">
        <f t="shared" si="33"/>
        <v>3000</v>
      </c>
      <c r="O1029">
        <f t="shared" si="32"/>
        <v>1854.6000000000004</v>
      </c>
      <c r="P1029">
        <f>Table1[[#This Row],[Quantity]]*Table1[[#This Row],[unit_price]]*Table1[[#This Row],[Discount]]</f>
        <v>539.4</v>
      </c>
      <c r="Q1029" t="str">
        <f>VLOOKUP(E1029,Products!$A$2:$E$23,2,0)</f>
        <v>Monitor Stand</v>
      </c>
      <c r="R1029" t="str">
        <f>VLOOKUP(Table1[[#This Row],[Product ID]],Products!$A$2:$E$23,3,0)</f>
        <v>Furniture</v>
      </c>
      <c r="S1029" t="str">
        <f>VLOOKUP(C1029,Customers!$A$2:$F$201,4,0)</f>
        <v>Rajasthan</v>
      </c>
      <c r="T1029" t="str">
        <f>VLOOKUP(Table1[[#This Row],[Customer ID]],Customers!$A$2:$F$201,5,0)</f>
        <v>North</v>
      </c>
      <c r="U1029" t="str">
        <f>VLOOKUP(Table1[[#This Row],[Customer ID]],Customers!$A$2:$F$201,6,0)</f>
        <v>Corporate</v>
      </c>
      <c r="V1029" t="str">
        <f>TEXT(Table1[[#This Row],[Order Date]],"MMM")</f>
        <v>Sep</v>
      </c>
      <c r="W1029" t="str">
        <f>TEXT(Table1[[#This Row],[Order Date]],"yyyy")</f>
        <v>2025</v>
      </c>
    </row>
    <row r="1030" spans="1:23" x14ac:dyDescent="0.25">
      <c r="A1030" s="2" t="s">
        <v>1276</v>
      </c>
      <c r="B1030" s="4">
        <v>45927</v>
      </c>
      <c r="C1030" s="2" t="s">
        <v>291</v>
      </c>
      <c r="D1030" s="2" t="str">
        <f>TEXT(Table1[[#This Row],[Order Date]],"mmmm")</f>
        <v>September</v>
      </c>
      <c r="E1030" s="2" t="s">
        <v>91</v>
      </c>
      <c r="F1030" s="2">
        <v>4</v>
      </c>
      <c r="G1030" s="5">
        <v>0.05</v>
      </c>
      <c r="H1030" s="2" t="s">
        <v>30</v>
      </c>
      <c r="I1030" s="2" t="s">
        <v>38</v>
      </c>
      <c r="J1030" s="2" t="s">
        <v>21</v>
      </c>
      <c r="K1030">
        <f>VLOOKUP(E1030,Products!$A$2:$E$23,5,0)</f>
        <v>1199</v>
      </c>
      <c r="L1030">
        <f>VLOOKUP(E1030,Products!$A$2:$E$23,4,0)</f>
        <v>600</v>
      </c>
      <c r="M1030" s="2">
        <f>K1030*F1030-Table1[[#This Row],[discount_amount]]</f>
        <v>4556.2</v>
      </c>
      <c r="N1030">
        <f t="shared" si="33"/>
        <v>2400</v>
      </c>
      <c r="O1030">
        <f t="shared" si="32"/>
        <v>2156.1999999999998</v>
      </c>
      <c r="P1030">
        <f>Table1[[#This Row],[Quantity]]*Table1[[#This Row],[unit_price]]*Table1[[#This Row],[Discount]]</f>
        <v>239.8</v>
      </c>
      <c r="Q1030" t="str">
        <f>VLOOKUP(E1030,Products!$A$2:$E$23,2,0)</f>
        <v>Formal Shirt</v>
      </c>
      <c r="R1030" t="str">
        <f>VLOOKUP(Table1[[#This Row],[Product ID]],Products!$A$2:$E$23,3,0)</f>
        <v>Clothing</v>
      </c>
      <c r="S1030" t="str">
        <f>VLOOKUP(C1030,Customers!$A$2:$F$201,4,0)</f>
        <v>Rajasthan</v>
      </c>
      <c r="T1030" t="str">
        <f>VLOOKUP(Table1[[#This Row],[Customer ID]],Customers!$A$2:$F$201,5,0)</f>
        <v>North</v>
      </c>
      <c r="U1030" t="str">
        <f>VLOOKUP(Table1[[#This Row],[Customer ID]],Customers!$A$2:$F$201,6,0)</f>
        <v>Consumer</v>
      </c>
      <c r="V1030" t="str">
        <f>TEXT(Table1[[#This Row],[Order Date]],"MMM")</f>
        <v>Sep</v>
      </c>
      <c r="W1030" t="str">
        <f>TEXT(Table1[[#This Row],[Order Date]],"yyyy")</f>
        <v>2025</v>
      </c>
    </row>
    <row r="1031" spans="1:23" x14ac:dyDescent="0.25">
      <c r="A1031" s="2" t="s">
        <v>1277</v>
      </c>
      <c r="B1031" s="4">
        <v>45928</v>
      </c>
      <c r="C1031" s="2" t="s">
        <v>93</v>
      </c>
      <c r="D1031" s="2" t="str">
        <f>TEXT(Table1[[#This Row],[Order Date]],"mmmm")</f>
        <v>September</v>
      </c>
      <c r="E1031" s="2" t="s">
        <v>54</v>
      </c>
      <c r="F1031" s="2">
        <v>6</v>
      </c>
      <c r="G1031" s="5">
        <v>0</v>
      </c>
      <c r="H1031" s="2" t="s">
        <v>30</v>
      </c>
      <c r="I1031" s="2" t="s">
        <v>46</v>
      </c>
      <c r="J1031" s="2" t="s">
        <v>21</v>
      </c>
      <c r="K1031">
        <f>VLOOKUP(E1031,Products!$A$2:$E$23,5,0)</f>
        <v>299</v>
      </c>
      <c r="L1031">
        <f>VLOOKUP(E1031,Products!$A$2:$E$23,4,0)</f>
        <v>180</v>
      </c>
      <c r="M1031" s="2">
        <f>K1031*F1031-Table1[[#This Row],[discount_amount]]</f>
        <v>1794</v>
      </c>
      <c r="N1031">
        <f t="shared" si="33"/>
        <v>1080</v>
      </c>
      <c r="O1031">
        <f t="shared" si="32"/>
        <v>714</v>
      </c>
      <c r="P1031">
        <f>Table1[[#This Row],[Quantity]]*Table1[[#This Row],[unit_price]]*Table1[[#This Row],[Discount]]</f>
        <v>0</v>
      </c>
      <c r="Q1031" t="str">
        <f>VLOOKUP(E1031,Products!$A$2:$E$23,2,0)</f>
        <v>Notebook Pack of 5</v>
      </c>
      <c r="R1031" t="str">
        <f>VLOOKUP(Table1[[#This Row],[Product ID]],Products!$A$2:$E$23,3,0)</f>
        <v>Office Supplies</v>
      </c>
      <c r="S1031" t="str">
        <f>VLOOKUP(C1031,Customers!$A$2:$F$201,4,0)</f>
        <v>Gujarat</v>
      </c>
      <c r="T1031" t="str">
        <f>VLOOKUP(Table1[[#This Row],[Customer ID]],Customers!$A$2:$F$201,5,0)</f>
        <v>West</v>
      </c>
      <c r="U1031" t="str">
        <f>VLOOKUP(Table1[[#This Row],[Customer ID]],Customers!$A$2:$F$201,6,0)</f>
        <v>Consumer</v>
      </c>
      <c r="V1031" t="str">
        <f>TEXT(Table1[[#This Row],[Order Date]],"MMM")</f>
        <v>Sep</v>
      </c>
      <c r="W1031" t="str">
        <f>TEXT(Table1[[#This Row],[Order Date]],"yyyy")</f>
        <v>2025</v>
      </c>
    </row>
    <row r="1032" spans="1:23" x14ac:dyDescent="0.25">
      <c r="A1032" s="2" t="s">
        <v>1278</v>
      </c>
      <c r="B1032" s="4">
        <v>45929</v>
      </c>
      <c r="C1032" s="2" t="s">
        <v>896</v>
      </c>
      <c r="D1032" s="2" t="str">
        <f>TEXT(Table1[[#This Row],[Order Date]],"mmmm")</f>
        <v>September</v>
      </c>
      <c r="E1032" s="2" t="s">
        <v>54</v>
      </c>
      <c r="F1032" s="2">
        <v>2</v>
      </c>
      <c r="G1032" s="5">
        <v>0</v>
      </c>
      <c r="H1032" s="2" t="s">
        <v>19</v>
      </c>
      <c r="I1032" s="2" t="s">
        <v>20</v>
      </c>
      <c r="J1032" s="2" t="s">
        <v>21</v>
      </c>
      <c r="K1032">
        <f>VLOOKUP(E1032,Products!$A$2:$E$23,5,0)</f>
        <v>299</v>
      </c>
      <c r="L1032">
        <f>VLOOKUP(E1032,Products!$A$2:$E$23,4,0)</f>
        <v>180</v>
      </c>
      <c r="M1032" s="2">
        <f>K1032*F1032-Table1[[#This Row],[discount_amount]]</f>
        <v>598</v>
      </c>
      <c r="N1032">
        <f t="shared" si="33"/>
        <v>360</v>
      </c>
      <c r="O1032">
        <f t="shared" si="32"/>
        <v>238</v>
      </c>
      <c r="P1032">
        <f>Table1[[#This Row],[Quantity]]*Table1[[#This Row],[unit_price]]*Table1[[#This Row],[Discount]]</f>
        <v>0</v>
      </c>
      <c r="Q1032" t="str">
        <f>VLOOKUP(E1032,Products!$A$2:$E$23,2,0)</f>
        <v>Notebook Pack of 5</v>
      </c>
      <c r="R1032" t="str">
        <f>VLOOKUP(Table1[[#This Row],[Product ID]],Products!$A$2:$E$23,3,0)</f>
        <v>Office Supplies</v>
      </c>
      <c r="S1032" t="str">
        <f>VLOOKUP(C1032,Customers!$A$2:$F$201,4,0)</f>
        <v>Maharashtra</v>
      </c>
      <c r="T1032" t="str">
        <f>VLOOKUP(Table1[[#This Row],[Customer ID]],Customers!$A$2:$F$201,5,0)</f>
        <v>West</v>
      </c>
      <c r="U1032" t="str">
        <f>VLOOKUP(Table1[[#This Row],[Customer ID]],Customers!$A$2:$F$201,6,0)</f>
        <v>Consumer</v>
      </c>
      <c r="V1032" t="str">
        <f>TEXT(Table1[[#This Row],[Order Date]],"MMM")</f>
        <v>Sep</v>
      </c>
      <c r="W1032" t="str">
        <f>TEXT(Table1[[#This Row],[Order Date]],"yyyy")</f>
        <v>2025</v>
      </c>
    </row>
    <row r="1033" spans="1:23" x14ac:dyDescent="0.25">
      <c r="A1033" s="2" t="s">
        <v>1279</v>
      </c>
      <c r="B1033" s="4">
        <v>45929</v>
      </c>
      <c r="C1033" s="2" t="s">
        <v>104</v>
      </c>
      <c r="D1033" s="2" t="str">
        <f>TEXT(Table1[[#This Row],[Order Date]],"mmmm")</f>
        <v>September</v>
      </c>
      <c r="E1033" s="2" t="s">
        <v>63</v>
      </c>
      <c r="F1033" s="2">
        <v>2</v>
      </c>
      <c r="G1033" s="5">
        <v>0.1</v>
      </c>
      <c r="H1033" s="2" t="s">
        <v>30</v>
      </c>
      <c r="I1033" s="2" t="s">
        <v>38</v>
      </c>
      <c r="J1033" s="2" t="s">
        <v>21</v>
      </c>
      <c r="K1033">
        <f>VLOOKUP(E1033,Products!$A$2:$E$23,5,0)</f>
        <v>5499</v>
      </c>
      <c r="L1033">
        <f>VLOOKUP(E1033,Products!$A$2:$E$23,4,0)</f>
        <v>3500</v>
      </c>
      <c r="M1033" s="2">
        <f>K1033*F1033-Table1[[#This Row],[discount_amount]]</f>
        <v>9898.2000000000007</v>
      </c>
      <c r="N1033">
        <f t="shared" si="33"/>
        <v>7000</v>
      </c>
      <c r="O1033">
        <f t="shared" si="32"/>
        <v>2898.2000000000007</v>
      </c>
      <c r="P1033">
        <f>Table1[[#This Row],[Quantity]]*Table1[[#This Row],[unit_price]]*Table1[[#This Row],[Discount]]</f>
        <v>1099.8</v>
      </c>
      <c r="Q1033" t="str">
        <f>VLOOKUP(E1033,Products!$A$2:$E$23,2,0)</f>
        <v>Office Chair</v>
      </c>
      <c r="R1033" t="str">
        <f>VLOOKUP(Table1[[#This Row],[Product ID]],Products!$A$2:$E$23,3,0)</f>
        <v>Furniture</v>
      </c>
      <c r="S1033" t="str">
        <f>VLOOKUP(C1033,Customers!$A$2:$F$201,4,0)</f>
        <v>Rajasthan</v>
      </c>
      <c r="T1033" t="str">
        <f>VLOOKUP(Table1[[#This Row],[Customer ID]],Customers!$A$2:$F$201,5,0)</f>
        <v>North</v>
      </c>
      <c r="U1033" t="str">
        <f>VLOOKUP(Table1[[#This Row],[Customer ID]],Customers!$A$2:$F$201,6,0)</f>
        <v>Corporate</v>
      </c>
      <c r="V1033" t="str">
        <f>TEXT(Table1[[#This Row],[Order Date]],"MMM")</f>
        <v>Sep</v>
      </c>
      <c r="W1033" t="str">
        <f>TEXT(Table1[[#This Row],[Order Date]],"yyyy")</f>
        <v>2025</v>
      </c>
    </row>
    <row r="1034" spans="1:23" x14ac:dyDescent="0.25">
      <c r="A1034" s="2" t="s">
        <v>1280</v>
      </c>
      <c r="B1034" s="4">
        <v>45930</v>
      </c>
      <c r="C1034" s="2" t="s">
        <v>313</v>
      </c>
      <c r="D1034" s="2" t="str">
        <f>TEXT(Table1[[#This Row],[Order Date]],"mmmm")</f>
        <v>September</v>
      </c>
      <c r="E1034" s="2" t="s">
        <v>41</v>
      </c>
      <c r="F1034" s="2">
        <v>10</v>
      </c>
      <c r="G1034" s="5">
        <v>0</v>
      </c>
      <c r="H1034" s="2" t="s">
        <v>30</v>
      </c>
      <c r="I1034" s="2" t="s">
        <v>31</v>
      </c>
      <c r="J1034" s="2" t="s">
        <v>21</v>
      </c>
      <c r="K1034">
        <f>VLOOKUP(E1034,Products!$A$2:$E$23,5,0)</f>
        <v>320</v>
      </c>
      <c r="L1034">
        <f>VLOOKUP(E1034,Products!$A$2:$E$23,4,0)</f>
        <v>220</v>
      </c>
      <c r="M1034" s="2">
        <f>K1034*F1034-Table1[[#This Row],[discount_amount]]</f>
        <v>3200</v>
      </c>
      <c r="N1034">
        <f t="shared" si="33"/>
        <v>2200</v>
      </c>
      <c r="O1034">
        <f t="shared" si="32"/>
        <v>1000</v>
      </c>
      <c r="P1034">
        <f>Table1[[#This Row],[Quantity]]*Table1[[#This Row],[unit_price]]*Table1[[#This Row],[Discount]]</f>
        <v>0</v>
      </c>
      <c r="Q1034" t="str">
        <f>VLOOKUP(E1034,Products!$A$2:$E$23,2,0)</f>
        <v>A4 Paper Ream</v>
      </c>
      <c r="R1034" t="str">
        <f>VLOOKUP(Table1[[#This Row],[Product ID]],Products!$A$2:$E$23,3,0)</f>
        <v>Office Supplies</v>
      </c>
      <c r="S1034" t="str">
        <f>VLOOKUP(C1034,Customers!$A$2:$F$201,4,0)</f>
        <v>Kerala</v>
      </c>
      <c r="T1034" t="str">
        <f>VLOOKUP(Table1[[#This Row],[Customer ID]],Customers!$A$2:$F$201,5,0)</f>
        <v>South</v>
      </c>
      <c r="U1034" t="str">
        <f>VLOOKUP(Table1[[#This Row],[Customer ID]],Customers!$A$2:$F$201,6,0)</f>
        <v>Consumer</v>
      </c>
      <c r="V1034" t="str">
        <f>TEXT(Table1[[#This Row],[Order Date]],"MMM")</f>
        <v>Sep</v>
      </c>
      <c r="W1034" t="str">
        <f>TEXT(Table1[[#This Row],[Order Date]],"yyyy")</f>
        <v>2025</v>
      </c>
    </row>
    <row r="1035" spans="1:23" x14ac:dyDescent="0.25">
      <c r="A1035" s="2" t="s">
        <v>1281</v>
      </c>
      <c r="B1035" s="4">
        <v>45931</v>
      </c>
      <c r="C1035" s="2" t="s">
        <v>479</v>
      </c>
      <c r="D1035" s="2" t="str">
        <f>TEXT(Table1[[#This Row],[Order Date]],"mmmm")</f>
        <v>October</v>
      </c>
      <c r="E1035" s="2" t="s">
        <v>41</v>
      </c>
      <c r="F1035" s="2">
        <v>1</v>
      </c>
      <c r="G1035" s="5">
        <v>0</v>
      </c>
      <c r="H1035" s="2" t="s">
        <v>19</v>
      </c>
      <c r="I1035" s="2" t="s">
        <v>46</v>
      </c>
      <c r="J1035" s="2" t="s">
        <v>21</v>
      </c>
      <c r="K1035">
        <f>VLOOKUP(E1035,Products!$A$2:$E$23,5,0)</f>
        <v>320</v>
      </c>
      <c r="L1035">
        <f>VLOOKUP(E1035,Products!$A$2:$E$23,4,0)</f>
        <v>220</v>
      </c>
      <c r="M1035" s="2">
        <f>K1035*F1035-Table1[[#This Row],[discount_amount]]</f>
        <v>320</v>
      </c>
      <c r="N1035">
        <f t="shared" si="33"/>
        <v>220</v>
      </c>
      <c r="O1035">
        <f t="shared" si="32"/>
        <v>100</v>
      </c>
      <c r="P1035">
        <f>Table1[[#This Row],[Quantity]]*Table1[[#This Row],[unit_price]]*Table1[[#This Row],[Discount]]</f>
        <v>0</v>
      </c>
      <c r="Q1035" t="str">
        <f>VLOOKUP(E1035,Products!$A$2:$E$23,2,0)</f>
        <v>A4 Paper Ream</v>
      </c>
      <c r="R1035" t="str">
        <f>VLOOKUP(Table1[[#This Row],[Product ID]],Products!$A$2:$E$23,3,0)</f>
        <v>Office Supplies</v>
      </c>
      <c r="S1035" t="str">
        <f>VLOOKUP(C1035,Customers!$A$2:$F$201,4,0)</f>
        <v>Telangana</v>
      </c>
      <c r="T1035" t="str">
        <f>VLOOKUP(Table1[[#This Row],[Customer ID]],Customers!$A$2:$F$201,5,0)</f>
        <v>South</v>
      </c>
      <c r="U1035" t="str">
        <f>VLOOKUP(Table1[[#This Row],[Customer ID]],Customers!$A$2:$F$201,6,0)</f>
        <v>Consumer</v>
      </c>
      <c r="V1035" t="str">
        <f>TEXT(Table1[[#This Row],[Order Date]],"MMM")</f>
        <v>Oct</v>
      </c>
      <c r="W1035" t="str">
        <f>TEXT(Table1[[#This Row],[Order Date]],"yyyy")</f>
        <v>2025</v>
      </c>
    </row>
    <row r="1036" spans="1:23" x14ac:dyDescent="0.25">
      <c r="A1036" s="2" t="s">
        <v>1282</v>
      </c>
      <c r="B1036" s="4">
        <v>45931</v>
      </c>
      <c r="C1036" s="2" t="s">
        <v>629</v>
      </c>
      <c r="D1036" s="2" t="str">
        <f>TEXT(Table1[[#This Row],[Order Date]],"mmmm")</f>
        <v>October</v>
      </c>
      <c r="E1036" s="2" t="s">
        <v>24</v>
      </c>
      <c r="F1036" s="2">
        <v>2</v>
      </c>
      <c r="G1036" s="5">
        <v>0</v>
      </c>
      <c r="H1036" s="2" t="s">
        <v>19</v>
      </c>
      <c r="I1036" s="2" t="s">
        <v>38</v>
      </c>
      <c r="J1036" s="2" t="s">
        <v>21</v>
      </c>
      <c r="K1036">
        <f>VLOOKUP(E1036,Products!$A$2:$E$23,5,0)</f>
        <v>899</v>
      </c>
      <c r="L1036">
        <f>VLOOKUP(E1036,Products!$A$2:$E$23,4,0)</f>
        <v>500</v>
      </c>
      <c r="M1036" s="2">
        <f>K1036*F1036-Table1[[#This Row],[discount_amount]]</f>
        <v>1798</v>
      </c>
      <c r="N1036">
        <f t="shared" si="33"/>
        <v>1000</v>
      </c>
      <c r="O1036">
        <f t="shared" si="32"/>
        <v>798</v>
      </c>
      <c r="P1036">
        <f>Table1[[#This Row],[Quantity]]*Table1[[#This Row],[unit_price]]*Table1[[#This Row],[Discount]]</f>
        <v>0</v>
      </c>
      <c r="Q1036" t="str">
        <f>VLOOKUP(E1036,Products!$A$2:$E$23,2,0)</f>
        <v>Monitor Stand</v>
      </c>
      <c r="R1036" t="str">
        <f>VLOOKUP(Table1[[#This Row],[Product ID]],Products!$A$2:$E$23,3,0)</f>
        <v>Furniture</v>
      </c>
      <c r="S1036" t="str">
        <f>VLOOKUP(C1036,Customers!$A$2:$F$201,4,0)</f>
        <v>West Bengal</v>
      </c>
      <c r="T1036" t="str">
        <f>VLOOKUP(Table1[[#This Row],[Customer ID]],Customers!$A$2:$F$201,5,0)</f>
        <v>East</v>
      </c>
      <c r="U1036" t="str">
        <f>VLOOKUP(Table1[[#This Row],[Customer ID]],Customers!$A$2:$F$201,6,0)</f>
        <v>Consumer</v>
      </c>
      <c r="V1036" t="str">
        <f>TEXT(Table1[[#This Row],[Order Date]],"MMM")</f>
        <v>Oct</v>
      </c>
      <c r="W1036" t="str">
        <f>TEXT(Table1[[#This Row],[Order Date]],"yyyy")</f>
        <v>2025</v>
      </c>
    </row>
    <row r="1037" spans="1:23" x14ac:dyDescent="0.25">
      <c r="A1037" s="2" t="s">
        <v>1283</v>
      </c>
      <c r="B1037" s="4">
        <v>45931</v>
      </c>
      <c r="C1037" s="2" t="s">
        <v>217</v>
      </c>
      <c r="D1037" s="2" t="str">
        <f>TEXT(Table1[[#This Row],[Order Date]],"mmmm")</f>
        <v>October</v>
      </c>
      <c r="E1037" s="2" t="s">
        <v>49</v>
      </c>
      <c r="F1037" s="2">
        <v>2</v>
      </c>
      <c r="G1037" s="5">
        <v>0.1</v>
      </c>
      <c r="H1037" s="2" t="s">
        <v>19</v>
      </c>
      <c r="I1037" s="2" t="s">
        <v>46</v>
      </c>
      <c r="J1037" s="2" t="s">
        <v>79</v>
      </c>
      <c r="K1037">
        <f>VLOOKUP(E1037,Products!$A$2:$E$23,5,0)</f>
        <v>700</v>
      </c>
      <c r="L1037">
        <f>VLOOKUP(E1037,Products!$A$2:$E$23,4,0)</f>
        <v>450</v>
      </c>
      <c r="M1037" s="2">
        <f>K1037*F1037-Table1[[#This Row],[discount_amount]]</f>
        <v>1260</v>
      </c>
      <c r="N1037">
        <f t="shared" si="33"/>
        <v>900</v>
      </c>
      <c r="O1037">
        <f t="shared" si="32"/>
        <v>360</v>
      </c>
      <c r="P1037">
        <f>Table1[[#This Row],[Quantity]]*Table1[[#This Row],[unit_price]]*Table1[[#This Row],[Discount]]</f>
        <v>140</v>
      </c>
      <c r="Q1037" t="str">
        <f>VLOOKUP(E1037,Products!$A$2:$E$23,2,0)</f>
        <v>Wireless Mouse</v>
      </c>
      <c r="R1037" t="str">
        <f>VLOOKUP(Table1[[#This Row],[Product ID]],Products!$A$2:$E$23,3,0)</f>
        <v>Electronics</v>
      </c>
      <c r="S1037" t="str">
        <f>VLOOKUP(C1037,Customers!$A$2:$F$201,4,0)</f>
        <v>Madhya Pradesh</v>
      </c>
      <c r="T1037" t="str">
        <f>VLOOKUP(Table1[[#This Row],[Customer ID]],Customers!$A$2:$F$201,5,0)</f>
        <v>Central</v>
      </c>
      <c r="U1037" t="str">
        <f>VLOOKUP(Table1[[#This Row],[Customer ID]],Customers!$A$2:$F$201,6,0)</f>
        <v>Corporate</v>
      </c>
      <c r="V1037" t="str">
        <f>TEXT(Table1[[#This Row],[Order Date]],"MMM")</f>
        <v>Oct</v>
      </c>
      <c r="W1037" t="str">
        <f>TEXT(Table1[[#This Row],[Order Date]],"yyyy")</f>
        <v>2025</v>
      </c>
    </row>
    <row r="1038" spans="1:23" x14ac:dyDescent="0.25">
      <c r="A1038" s="2" t="s">
        <v>1284</v>
      </c>
      <c r="B1038" s="4">
        <v>45932</v>
      </c>
      <c r="C1038" s="2" t="s">
        <v>100</v>
      </c>
      <c r="D1038" s="2" t="str">
        <f>TEXT(Table1[[#This Row],[Order Date]],"mmmm")</f>
        <v>October</v>
      </c>
      <c r="E1038" s="2" t="s">
        <v>34</v>
      </c>
      <c r="F1038" s="2">
        <v>2</v>
      </c>
      <c r="G1038" s="5">
        <v>0.1</v>
      </c>
      <c r="H1038" s="2" t="s">
        <v>25</v>
      </c>
      <c r="I1038" s="2" t="s">
        <v>31</v>
      </c>
      <c r="J1038" s="2" t="s">
        <v>21</v>
      </c>
      <c r="K1038">
        <f>VLOOKUP(E1038,Products!$A$2:$E$23,5,0)</f>
        <v>4599</v>
      </c>
      <c r="L1038">
        <f>VLOOKUP(E1038,Products!$A$2:$E$23,4,0)</f>
        <v>3000</v>
      </c>
      <c r="M1038" s="2">
        <f>K1038*F1038-Table1[[#This Row],[discount_amount]]</f>
        <v>8278.2000000000007</v>
      </c>
      <c r="N1038">
        <f t="shared" si="33"/>
        <v>6000</v>
      </c>
      <c r="O1038">
        <f t="shared" si="32"/>
        <v>2278.2000000000007</v>
      </c>
      <c r="P1038">
        <f>Table1[[#This Row],[Quantity]]*Table1[[#This Row],[unit_price]]*Table1[[#This Row],[Discount]]</f>
        <v>919.80000000000007</v>
      </c>
      <c r="Q1038" t="str">
        <f>VLOOKUP(E1038,Products!$A$2:$E$23,2,0)</f>
        <v>Filing Cabinet</v>
      </c>
      <c r="R1038" t="str">
        <f>VLOOKUP(Table1[[#This Row],[Product ID]],Products!$A$2:$E$23,3,0)</f>
        <v>Furniture</v>
      </c>
      <c r="S1038" t="str">
        <f>VLOOKUP(C1038,Customers!$A$2:$F$201,4,0)</f>
        <v>Delhi</v>
      </c>
      <c r="T1038" t="str">
        <f>VLOOKUP(Table1[[#This Row],[Customer ID]],Customers!$A$2:$F$201,5,0)</f>
        <v>North</v>
      </c>
      <c r="U1038" t="str">
        <f>VLOOKUP(Table1[[#This Row],[Customer ID]],Customers!$A$2:$F$201,6,0)</f>
        <v>Consumer</v>
      </c>
      <c r="V1038" t="str">
        <f>TEXT(Table1[[#This Row],[Order Date]],"MMM")</f>
        <v>Oct</v>
      </c>
      <c r="W1038" t="str">
        <f>TEXT(Table1[[#This Row],[Order Date]],"yyyy")</f>
        <v>2025</v>
      </c>
    </row>
    <row r="1039" spans="1:23" x14ac:dyDescent="0.25">
      <c r="A1039" s="2" t="s">
        <v>1285</v>
      </c>
      <c r="B1039" s="4">
        <v>45932</v>
      </c>
      <c r="C1039" s="2" t="s">
        <v>347</v>
      </c>
      <c r="D1039" s="2" t="str">
        <f>TEXT(Table1[[#This Row],[Order Date]],"mmmm")</f>
        <v>October</v>
      </c>
      <c r="E1039" s="2" t="s">
        <v>135</v>
      </c>
      <c r="F1039" s="2">
        <v>1</v>
      </c>
      <c r="G1039" s="5">
        <v>0</v>
      </c>
      <c r="H1039" s="2" t="s">
        <v>30</v>
      </c>
      <c r="I1039" s="2" t="s">
        <v>46</v>
      </c>
      <c r="J1039" s="2" t="s">
        <v>94</v>
      </c>
      <c r="K1039">
        <f>VLOOKUP(E1039,Products!$A$2:$E$23,5,0)</f>
        <v>220</v>
      </c>
      <c r="L1039">
        <f>VLOOKUP(E1039,Products!$A$2:$E$23,4,0)</f>
        <v>120</v>
      </c>
      <c r="M1039" s="2">
        <f>K1039*F1039-Table1[[#This Row],[discount_amount]]</f>
        <v>220</v>
      </c>
      <c r="N1039">
        <f t="shared" si="33"/>
        <v>120</v>
      </c>
      <c r="O1039">
        <f t="shared" si="32"/>
        <v>100</v>
      </c>
      <c r="P1039">
        <f>Table1[[#This Row],[Quantity]]*Table1[[#This Row],[unit_price]]*Table1[[#This Row],[Discount]]</f>
        <v>0</v>
      </c>
      <c r="Q1039" t="str">
        <f>VLOOKUP(E1039,Products!$A$2:$E$23,2,0)</f>
        <v>Stapler</v>
      </c>
      <c r="R1039" t="str">
        <f>VLOOKUP(Table1[[#This Row],[Product ID]],Products!$A$2:$E$23,3,0)</f>
        <v>Office Supplies</v>
      </c>
      <c r="S1039" t="str">
        <f>VLOOKUP(C1039,Customers!$A$2:$F$201,4,0)</f>
        <v>Madhya Pradesh</v>
      </c>
      <c r="T1039" t="str">
        <f>VLOOKUP(Table1[[#This Row],[Customer ID]],Customers!$A$2:$F$201,5,0)</f>
        <v>Central</v>
      </c>
      <c r="U1039" t="str">
        <f>VLOOKUP(Table1[[#This Row],[Customer ID]],Customers!$A$2:$F$201,6,0)</f>
        <v>Home Office</v>
      </c>
      <c r="V1039" t="str">
        <f>TEXT(Table1[[#This Row],[Order Date]],"MMM")</f>
        <v>Oct</v>
      </c>
      <c r="W1039" t="str">
        <f>TEXT(Table1[[#This Row],[Order Date]],"yyyy")</f>
        <v>2025</v>
      </c>
    </row>
    <row r="1040" spans="1:23" x14ac:dyDescent="0.25">
      <c r="A1040" s="2" t="s">
        <v>1286</v>
      </c>
      <c r="B1040" s="4">
        <v>45932</v>
      </c>
      <c r="C1040" s="2" t="s">
        <v>295</v>
      </c>
      <c r="D1040" s="2" t="str">
        <f>TEXT(Table1[[#This Row],[Order Date]],"mmmm")</f>
        <v>October</v>
      </c>
      <c r="E1040" s="2" t="s">
        <v>121</v>
      </c>
      <c r="F1040" s="2">
        <v>4</v>
      </c>
      <c r="G1040" s="5">
        <v>0.05</v>
      </c>
      <c r="H1040" s="2" t="s">
        <v>30</v>
      </c>
      <c r="I1040" s="2" t="s">
        <v>38</v>
      </c>
      <c r="J1040" s="2" t="s">
        <v>42</v>
      </c>
      <c r="K1040">
        <f>VLOOKUP(E1040,Products!$A$2:$E$23,5,0)</f>
        <v>499</v>
      </c>
      <c r="L1040">
        <f>VLOOKUP(E1040,Products!$A$2:$E$23,4,0)</f>
        <v>250</v>
      </c>
      <c r="M1040" s="2">
        <f>K1040*F1040-Table1[[#This Row],[discount_amount]]</f>
        <v>1896.2</v>
      </c>
      <c r="N1040">
        <f t="shared" si="33"/>
        <v>1000</v>
      </c>
      <c r="O1040">
        <f t="shared" si="32"/>
        <v>896.2</v>
      </c>
      <c r="P1040">
        <f>Table1[[#This Row],[Quantity]]*Table1[[#This Row],[unit_price]]*Table1[[#This Row],[Discount]]</f>
        <v>99.800000000000011</v>
      </c>
      <c r="Q1040" t="str">
        <f>VLOOKUP(E1040,Products!$A$2:$E$23,2,0)</f>
        <v>Cotton T-Shirt</v>
      </c>
      <c r="R1040" t="str">
        <f>VLOOKUP(Table1[[#This Row],[Product ID]],Products!$A$2:$E$23,3,0)</f>
        <v>Clothing</v>
      </c>
      <c r="S1040" t="str">
        <f>VLOOKUP(C1040,Customers!$A$2:$F$201,4,0)</f>
        <v>Gujarat</v>
      </c>
      <c r="T1040" t="str">
        <f>VLOOKUP(Table1[[#This Row],[Customer ID]],Customers!$A$2:$F$201,5,0)</f>
        <v>West</v>
      </c>
      <c r="U1040" t="str">
        <f>VLOOKUP(Table1[[#This Row],[Customer ID]],Customers!$A$2:$F$201,6,0)</f>
        <v>Corporate</v>
      </c>
      <c r="V1040" t="str">
        <f>TEXT(Table1[[#This Row],[Order Date]],"MMM")</f>
        <v>Oct</v>
      </c>
      <c r="W1040" t="str">
        <f>TEXT(Table1[[#This Row],[Order Date]],"yyyy")</f>
        <v>2025</v>
      </c>
    </row>
    <row r="1041" spans="1:23" x14ac:dyDescent="0.25">
      <c r="A1041" s="2" t="s">
        <v>1287</v>
      </c>
      <c r="B1041" s="4">
        <v>45933</v>
      </c>
      <c r="C1041" s="2" t="s">
        <v>428</v>
      </c>
      <c r="D1041" s="2" t="str">
        <f>TEXT(Table1[[#This Row],[Order Date]],"mmmm")</f>
        <v>October</v>
      </c>
      <c r="E1041" s="2" t="s">
        <v>37</v>
      </c>
      <c r="F1041" s="2">
        <v>4</v>
      </c>
      <c r="G1041" s="5">
        <v>0</v>
      </c>
      <c r="H1041" s="2" t="s">
        <v>30</v>
      </c>
      <c r="I1041" s="2" t="s">
        <v>38</v>
      </c>
      <c r="J1041" s="2" t="s">
        <v>21</v>
      </c>
      <c r="K1041">
        <f>VLOOKUP(E1041,Products!$A$2:$E$23,5,0)</f>
        <v>1799</v>
      </c>
      <c r="L1041">
        <f>VLOOKUP(E1041,Products!$A$2:$E$23,4,0)</f>
        <v>900</v>
      </c>
      <c r="M1041" s="2">
        <f>K1041*F1041-Table1[[#This Row],[discount_amount]]</f>
        <v>7196</v>
      </c>
      <c r="N1041">
        <f t="shared" si="33"/>
        <v>3600</v>
      </c>
      <c r="O1041">
        <f t="shared" si="32"/>
        <v>3596</v>
      </c>
      <c r="P1041">
        <f>Table1[[#This Row],[Quantity]]*Table1[[#This Row],[unit_price]]*Table1[[#This Row],[Discount]]</f>
        <v>0</v>
      </c>
      <c r="Q1041" t="str">
        <f>VLOOKUP(E1041,Products!$A$2:$E$23,2,0)</f>
        <v>Denim Jeans</v>
      </c>
      <c r="R1041" t="str">
        <f>VLOOKUP(Table1[[#This Row],[Product ID]],Products!$A$2:$E$23,3,0)</f>
        <v>Clothing</v>
      </c>
      <c r="S1041" t="str">
        <f>VLOOKUP(C1041,Customers!$A$2:$F$201,4,0)</f>
        <v>Madhya Pradesh</v>
      </c>
      <c r="T1041" t="str">
        <f>VLOOKUP(Table1[[#This Row],[Customer ID]],Customers!$A$2:$F$201,5,0)</f>
        <v>Central</v>
      </c>
      <c r="U1041" t="str">
        <f>VLOOKUP(Table1[[#This Row],[Customer ID]],Customers!$A$2:$F$201,6,0)</f>
        <v>Consumer</v>
      </c>
      <c r="V1041" t="str">
        <f>TEXT(Table1[[#This Row],[Order Date]],"MMM")</f>
        <v>Oct</v>
      </c>
      <c r="W1041" t="str">
        <f>TEXT(Table1[[#This Row],[Order Date]],"yyyy")</f>
        <v>2025</v>
      </c>
    </row>
    <row r="1042" spans="1:23" x14ac:dyDescent="0.25">
      <c r="A1042" s="2" t="s">
        <v>1288</v>
      </c>
      <c r="B1042" s="4">
        <v>45934</v>
      </c>
      <c r="C1042" s="2" t="s">
        <v>56</v>
      </c>
      <c r="D1042" s="2" t="str">
        <f>TEXT(Table1[[#This Row],[Order Date]],"mmmm")</f>
        <v>October</v>
      </c>
      <c r="E1042" s="2" t="s">
        <v>57</v>
      </c>
      <c r="F1042" s="2">
        <v>4</v>
      </c>
      <c r="G1042" s="5">
        <v>0.2</v>
      </c>
      <c r="H1042" s="2" t="s">
        <v>30</v>
      </c>
      <c r="I1042" s="2" t="s">
        <v>38</v>
      </c>
      <c r="J1042" s="2" t="s">
        <v>79</v>
      </c>
      <c r="K1042">
        <f>VLOOKUP(E1042,Products!$A$2:$E$23,5,0)</f>
        <v>1599</v>
      </c>
      <c r="L1042">
        <f>VLOOKUP(E1042,Products!$A$2:$E$23,4,0)</f>
        <v>800</v>
      </c>
      <c r="M1042" s="2">
        <f>K1042*F1042-Table1[[#This Row],[discount_amount]]</f>
        <v>5116.8</v>
      </c>
      <c r="N1042">
        <f t="shared" si="33"/>
        <v>3200</v>
      </c>
      <c r="O1042">
        <f t="shared" si="32"/>
        <v>1916.8000000000002</v>
      </c>
      <c r="P1042">
        <f>Table1[[#This Row],[Quantity]]*Table1[[#This Row],[unit_price]]*Table1[[#This Row],[Discount]]</f>
        <v>1279.2</v>
      </c>
      <c r="Q1042" t="str">
        <f>VLOOKUP(E1042,Products!$A$2:$E$23,2,0)</f>
        <v>Hoodie</v>
      </c>
      <c r="R1042" t="str">
        <f>VLOOKUP(Table1[[#This Row],[Product ID]],Products!$A$2:$E$23,3,0)</f>
        <v>Clothing</v>
      </c>
      <c r="S1042" t="str">
        <f>VLOOKUP(C1042,Customers!$A$2:$F$201,4,0)</f>
        <v>Maharashtra</v>
      </c>
      <c r="T1042" t="str">
        <f>VLOOKUP(Table1[[#This Row],[Customer ID]],Customers!$A$2:$F$201,5,0)</f>
        <v>West</v>
      </c>
      <c r="U1042" t="str">
        <f>VLOOKUP(Table1[[#This Row],[Customer ID]],Customers!$A$2:$F$201,6,0)</f>
        <v>Consumer</v>
      </c>
      <c r="V1042" t="str">
        <f>TEXT(Table1[[#This Row],[Order Date]],"MMM")</f>
        <v>Oct</v>
      </c>
      <c r="W1042" t="str">
        <f>TEXT(Table1[[#This Row],[Order Date]],"yyyy")</f>
        <v>2025</v>
      </c>
    </row>
    <row r="1043" spans="1:23" x14ac:dyDescent="0.25">
      <c r="A1043" s="2" t="s">
        <v>1289</v>
      </c>
      <c r="B1043" s="4">
        <v>45934</v>
      </c>
      <c r="C1043" s="2" t="s">
        <v>201</v>
      </c>
      <c r="D1043" s="2" t="str">
        <f>TEXT(Table1[[#This Row],[Order Date]],"mmmm")</f>
        <v>October</v>
      </c>
      <c r="E1043" s="2" t="s">
        <v>111</v>
      </c>
      <c r="F1043" s="2">
        <v>1</v>
      </c>
      <c r="G1043" s="5">
        <v>0.05</v>
      </c>
      <c r="H1043" s="2" t="s">
        <v>25</v>
      </c>
      <c r="I1043" s="2" t="s">
        <v>31</v>
      </c>
      <c r="J1043" s="2" t="s">
        <v>21</v>
      </c>
      <c r="K1043">
        <f>VLOOKUP(E1043,Products!$A$2:$E$23,5,0)</f>
        <v>240</v>
      </c>
      <c r="L1043">
        <f>VLOOKUP(E1043,Products!$A$2:$E$23,4,0)</f>
        <v>140</v>
      </c>
      <c r="M1043" s="2">
        <f>K1043*F1043-Table1[[#This Row],[discount_amount]]</f>
        <v>228</v>
      </c>
      <c r="N1043">
        <f t="shared" si="33"/>
        <v>140</v>
      </c>
      <c r="O1043">
        <f t="shared" si="32"/>
        <v>88</v>
      </c>
      <c r="P1043">
        <f>Table1[[#This Row],[Quantity]]*Table1[[#This Row],[unit_price]]*Table1[[#This Row],[Discount]]</f>
        <v>12</v>
      </c>
      <c r="Q1043" t="str">
        <f>VLOOKUP(E1043,Products!$A$2:$E$23,2,0)</f>
        <v>Whiteboard Marker Set</v>
      </c>
      <c r="R1043" t="str">
        <f>VLOOKUP(Table1[[#This Row],[Product ID]],Products!$A$2:$E$23,3,0)</f>
        <v>Office Supplies</v>
      </c>
      <c r="S1043" t="str">
        <f>VLOOKUP(C1043,Customers!$A$2:$F$201,4,0)</f>
        <v>Maharashtra</v>
      </c>
      <c r="T1043" t="str">
        <f>VLOOKUP(Table1[[#This Row],[Customer ID]],Customers!$A$2:$F$201,5,0)</f>
        <v>Central</v>
      </c>
      <c r="U1043" t="str">
        <f>VLOOKUP(Table1[[#This Row],[Customer ID]],Customers!$A$2:$F$201,6,0)</f>
        <v>Corporate</v>
      </c>
      <c r="V1043" t="str">
        <f>TEXT(Table1[[#This Row],[Order Date]],"MMM")</f>
        <v>Oct</v>
      </c>
      <c r="W1043" t="str">
        <f>TEXT(Table1[[#This Row],[Order Date]],"yyyy")</f>
        <v>2025</v>
      </c>
    </row>
    <row r="1044" spans="1:23" x14ac:dyDescent="0.25">
      <c r="A1044" s="2" t="s">
        <v>1290</v>
      </c>
      <c r="B1044" s="4">
        <v>45935</v>
      </c>
      <c r="C1044" s="2" t="s">
        <v>460</v>
      </c>
      <c r="D1044" s="2" t="str">
        <f>TEXT(Table1[[#This Row],[Order Date]],"mmmm")</f>
        <v>October</v>
      </c>
      <c r="E1044" s="2" t="s">
        <v>41</v>
      </c>
      <c r="F1044" s="2">
        <v>10</v>
      </c>
      <c r="G1044" s="5">
        <v>0</v>
      </c>
      <c r="H1044" s="2" t="s">
        <v>25</v>
      </c>
      <c r="I1044" s="2" t="s">
        <v>20</v>
      </c>
      <c r="J1044" s="2" t="s">
        <v>21</v>
      </c>
      <c r="K1044">
        <f>VLOOKUP(E1044,Products!$A$2:$E$23,5,0)</f>
        <v>320</v>
      </c>
      <c r="L1044">
        <f>VLOOKUP(E1044,Products!$A$2:$E$23,4,0)</f>
        <v>220</v>
      </c>
      <c r="M1044" s="2">
        <f>K1044*F1044-Table1[[#This Row],[discount_amount]]</f>
        <v>3200</v>
      </c>
      <c r="N1044">
        <f t="shared" si="33"/>
        <v>2200</v>
      </c>
      <c r="O1044">
        <f t="shared" si="32"/>
        <v>1000</v>
      </c>
      <c r="P1044">
        <f>Table1[[#This Row],[Quantity]]*Table1[[#This Row],[unit_price]]*Table1[[#This Row],[Discount]]</f>
        <v>0</v>
      </c>
      <c r="Q1044" t="str">
        <f>VLOOKUP(E1044,Products!$A$2:$E$23,2,0)</f>
        <v>A4 Paper Ream</v>
      </c>
      <c r="R1044" t="str">
        <f>VLOOKUP(Table1[[#This Row],[Product ID]],Products!$A$2:$E$23,3,0)</f>
        <v>Office Supplies</v>
      </c>
      <c r="S1044" t="str">
        <f>VLOOKUP(C1044,Customers!$A$2:$F$201,4,0)</f>
        <v>Maharashtra</v>
      </c>
      <c r="T1044" t="str">
        <f>VLOOKUP(Table1[[#This Row],[Customer ID]],Customers!$A$2:$F$201,5,0)</f>
        <v>Central</v>
      </c>
      <c r="U1044" t="str">
        <f>VLOOKUP(Table1[[#This Row],[Customer ID]],Customers!$A$2:$F$201,6,0)</f>
        <v>Corporate</v>
      </c>
      <c r="V1044" t="str">
        <f>TEXT(Table1[[#This Row],[Order Date]],"MMM")</f>
        <v>Oct</v>
      </c>
      <c r="W1044" t="str">
        <f>TEXT(Table1[[#This Row],[Order Date]],"yyyy")</f>
        <v>2025</v>
      </c>
    </row>
    <row r="1045" spans="1:23" x14ac:dyDescent="0.25">
      <c r="A1045" s="2" t="s">
        <v>1291</v>
      </c>
      <c r="B1045" s="4">
        <v>45935</v>
      </c>
      <c r="C1045" s="2" t="s">
        <v>137</v>
      </c>
      <c r="D1045" s="2" t="str">
        <f>TEXT(Table1[[#This Row],[Order Date]],"mmmm")</f>
        <v>October</v>
      </c>
      <c r="E1045" s="2" t="s">
        <v>111</v>
      </c>
      <c r="F1045" s="2">
        <v>6</v>
      </c>
      <c r="G1045" s="5">
        <v>0.05</v>
      </c>
      <c r="H1045" s="2" t="s">
        <v>25</v>
      </c>
      <c r="I1045" s="2" t="s">
        <v>38</v>
      </c>
      <c r="J1045" s="2" t="s">
        <v>94</v>
      </c>
      <c r="K1045">
        <f>VLOOKUP(E1045,Products!$A$2:$E$23,5,0)</f>
        <v>240</v>
      </c>
      <c r="L1045">
        <f>VLOOKUP(E1045,Products!$A$2:$E$23,4,0)</f>
        <v>140</v>
      </c>
      <c r="M1045" s="2">
        <f>K1045*F1045-Table1[[#This Row],[discount_amount]]</f>
        <v>1368</v>
      </c>
      <c r="N1045">
        <f t="shared" si="33"/>
        <v>840</v>
      </c>
      <c r="O1045">
        <f t="shared" si="32"/>
        <v>528</v>
      </c>
      <c r="P1045">
        <f>Table1[[#This Row],[Quantity]]*Table1[[#This Row],[unit_price]]*Table1[[#This Row],[Discount]]</f>
        <v>72</v>
      </c>
      <c r="Q1045" t="str">
        <f>VLOOKUP(E1045,Products!$A$2:$E$23,2,0)</f>
        <v>Whiteboard Marker Set</v>
      </c>
      <c r="R1045" t="str">
        <f>VLOOKUP(Table1[[#This Row],[Product ID]],Products!$A$2:$E$23,3,0)</f>
        <v>Office Supplies</v>
      </c>
      <c r="S1045" t="str">
        <f>VLOOKUP(C1045,Customers!$A$2:$F$201,4,0)</f>
        <v>Telangana</v>
      </c>
      <c r="T1045" t="str">
        <f>VLOOKUP(Table1[[#This Row],[Customer ID]],Customers!$A$2:$F$201,5,0)</f>
        <v>South</v>
      </c>
      <c r="U1045" t="str">
        <f>VLOOKUP(Table1[[#This Row],[Customer ID]],Customers!$A$2:$F$201,6,0)</f>
        <v>Corporate</v>
      </c>
      <c r="V1045" t="str">
        <f>TEXT(Table1[[#This Row],[Order Date]],"MMM")</f>
        <v>Oct</v>
      </c>
      <c r="W1045" t="str">
        <f>TEXT(Table1[[#This Row],[Order Date]],"yyyy")</f>
        <v>2025</v>
      </c>
    </row>
    <row r="1046" spans="1:23" x14ac:dyDescent="0.25">
      <c r="A1046" s="2" t="s">
        <v>1292</v>
      </c>
      <c r="B1046" s="4">
        <v>45935</v>
      </c>
      <c r="C1046" s="2" t="s">
        <v>732</v>
      </c>
      <c r="D1046" s="2" t="str">
        <f>TEXT(Table1[[#This Row],[Order Date]],"mmmm")</f>
        <v>October</v>
      </c>
      <c r="E1046" s="2" t="s">
        <v>63</v>
      </c>
      <c r="F1046" s="2">
        <v>2</v>
      </c>
      <c r="G1046" s="5">
        <v>0.15</v>
      </c>
      <c r="H1046" s="2" t="s">
        <v>19</v>
      </c>
      <c r="I1046" s="2" t="s">
        <v>20</v>
      </c>
      <c r="J1046" s="2" t="s">
        <v>21</v>
      </c>
      <c r="K1046">
        <f>VLOOKUP(E1046,Products!$A$2:$E$23,5,0)</f>
        <v>5499</v>
      </c>
      <c r="L1046">
        <f>VLOOKUP(E1046,Products!$A$2:$E$23,4,0)</f>
        <v>3500</v>
      </c>
      <c r="M1046" s="2">
        <f>K1046*F1046-Table1[[#This Row],[discount_amount]]</f>
        <v>9348.2999999999993</v>
      </c>
      <c r="N1046">
        <f t="shared" si="33"/>
        <v>7000</v>
      </c>
      <c r="O1046">
        <f t="shared" si="32"/>
        <v>2348.2999999999993</v>
      </c>
      <c r="P1046">
        <f>Table1[[#This Row],[Quantity]]*Table1[[#This Row],[unit_price]]*Table1[[#This Row],[Discount]]</f>
        <v>1649.7</v>
      </c>
      <c r="Q1046" t="str">
        <f>VLOOKUP(E1046,Products!$A$2:$E$23,2,0)</f>
        <v>Office Chair</v>
      </c>
      <c r="R1046" t="str">
        <f>VLOOKUP(Table1[[#This Row],[Product ID]],Products!$A$2:$E$23,3,0)</f>
        <v>Furniture</v>
      </c>
      <c r="S1046" t="str">
        <f>VLOOKUP(C1046,Customers!$A$2:$F$201,4,0)</f>
        <v>Karnataka</v>
      </c>
      <c r="T1046" t="str">
        <f>VLOOKUP(Table1[[#This Row],[Customer ID]],Customers!$A$2:$F$201,5,0)</f>
        <v>South</v>
      </c>
      <c r="U1046" t="str">
        <f>VLOOKUP(Table1[[#This Row],[Customer ID]],Customers!$A$2:$F$201,6,0)</f>
        <v>Consumer</v>
      </c>
      <c r="V1046" t="str">
        <f>TEXT(Table1[[#This Row],[Order Date]],"MMM")</f>
        <v>Oct</v>
      </c>
      <c r="W1046" t="str">
        <f>TEXT(Table1[[#This Row],[Order Date]],"yyyy")</f>
        <v>2025</v>
      </c>
    </row>
    <row r="1047" spans="1:23" x14ac:dyDescent="0.25">
      <c r="A1047" s="2" t="s">
        <v>1293</v>
      </c>
      <c r="B1047" s="4">
        <v>45936</v>
      </c>
      <c r="C1047" s="2" t="s">
        <v>154</v>
      </c>
      <c r="D1047" s="2" t="str">
        <f>TEXT(Table1[[#This Row],[Order Date]],"mmmm")</f>
        <v>October</v>
      </c>
      <c r="E1047" s="2" t="s">
        <v>118</v>
      </c>
      <c r="F1047" s="2">
        <v>2</v>
      </c>
      <c r="G1047" s="5">
        <v>0</v>
      </c>
      <c r="H1047" s="2" t="s">
        <v>30</v>
      </c>
      <c r="I1047" s="2" t="s">
        <v>26</v>
      </c>
      <c r="J1047" s="2" t="s">
        <v>21</v>
      </c>
      <c r="K1047">
        <f>VLOOKUP(E1047,Products!$A$2:$E$23,5,0)</f>
        <v>150</v>
      </c>
      <c r="L1047">
        <f>VLOOKUP(E1047,Products!$A$2:$E$23,4,0)</f>
        <v>90</v>
      </c>
      <c r="M1047" s="2">
        <f>K1047*F1047-Table1[[#This Row],[discount_amount]]</f>
        <v>300</v>
      </c>
      <c r="N1047">
        <f t="shared" si="33"/>
        <v>180</v>
      </c>
      <c r="O1047">
        <f t="shared" si="32"/>
        <v>120</v>
      </c>
      <c r="P1047">
        <f>Table1[[#This Row],[Quantity]]*Table1[[#This Row],[unit_price]]*Table1[[#This Row],[Discount]]</f>
        <v>0</v>
      </c>
      <c r="Q1047" t="str">
        <f>VLOOKUP(E1047,Products!$A$2:$E$23,2,0)</f>
        <v>Gel Pen Box</v>
      </c>
      <c r="R1047" t="str">
        <f>VLOOKUP(Table1[[#This Row],[Product ID]],Products!$A$2:$E$23,3,0)</f>
        <v>Office Supplies</v>
      </c>
      <c r="S1047" t="str">
        <f>VLOOKUP(C1047,Customers!$A$2:$F$201,4,0)</f>
        <v>Telangana</v>
      </c>
      <c r="T1047" t="str">
        <f>VLOOKUP(Table1[[#This Row],[Customer ID]],Customers!$A$2:$F$201,5,0)</f>
        <v>South</v>
      </c>
      <c r="U1047" t="str">
        <f>VLOOKUP(Table1[[#This Row],[Customer ID]],Customers!$A$2:$F$201,6,0)</f>
        <v>Consumer</v>
      </c>
      <c r="V1047" t="str">
        <f>TEXT(Table1[[#This Row],[Order Date]],"MMM")</f>
        <v>Oct</v>
      </c>
      <c r="W1047" t="str">
        <f>TEXT(Table1[[#This Row],[Order Date]],"yyyy")</f>
        <v>2025</v>
      </c>
    </row>
    <row r="1048" spans="1:23" x14ac:dyDescent="0.25">
      <c r="A1048" s="2" t="s">
        <v>1294</v>
      </c>
      <c r="B1048" s="4">
        <v>45937</v>
      </c>
      <c r="C1048" s="2" t="s">
        <v>86</v>
      </c>
      <c r="D1048" s="2" t="str">
        <f>TEXT(Table1[[#This Row],[Order Date]],"mmmm")</f>
        <v>October</v>
      </c>
      <c r="E1048" s="2" t="s">
        <v>54</v>
      </c>
      <c r="F1048" s="2">
        <v>4</v>
      </c>
      <c r="G1048" s="5">
        <v>0.05</v>
      </c>
      <c r="H1048" s="2" t="s">
        <v>25</v>
      </c>
      <c r="I1048" s="2" t="s">
        <v>26</v>
      </c>
      <c r="J1048" s="2" t="s">
        <v>21</v>
      </c>
      <c r="K1048">
        <f>VLOOKUP(E1048,Products!$A$2:$E$23,5,0)</f>
        <v>299</v>
      </c>
      <c r="L1048">
        <f>VLOOKUP(E1048,Products!$A$2:$E$23,4,0)</f>
        <v>180</v>
      </c>
      <c r="M1048" s="2">
        <f>K1048*F1048-Table1[[#This Row],[discount_amount]]</f>
        <v>1136.2</v>
      </c>
      <c r="N1048">
        <f t="shared" si="33"/>
        <v>720</v>
      </c>
      <c r="O1048">
        <f t="shared" si="32"/>
        <v>416.20000000000005</v>
      </c>
      <c r="P1048">
        <f>Table1[[#This Row],[Quantity]]*Table1[[#This Row],[unit_price]]*Table1[[#This Row],[Discount]]</f>
        <v>59.800000000000004</v>
      </c>
      <c r="Q1048" t="str">
        <f>VLOOKUP(E1048,Products!$A$2:$E$23,2,0)</f>
        <v>Notebook Pack of 5</v>
      </c>
      <c r="R1048" t="str">
        <f>VLOOKUP(Table1[[#This Row],[Product ID]],Products!$A$2:$E$23,3,0)</f>
        <v>Office Supplies</v>
      </c>
      <c r="S1048" t="str">
        <f>VLOOKUP(C1048,Customers!$A$2:$F$201,4,0)</f>
        <v>Delhi</v>
      </c>
      <c r="T1048" t="str">
        <f>VLOOKUP(Table1[[#This Row],[Customer ID]],Customers!$A$2:$F$201,5,0)</f>
        <v>North</v>
      </c>
      <c r="U1048" t="str">
        <f>VLOOKUP(Table1[[#This Row],[Customer ID]],Customers!$A$2:$F$201,6,0)</f>
        <v>Consumer</v>
      </c>
      <c r="V1048" t="str">
        <f>TEXT(Table1[[#This Row],[Order Date]],"MMM")</f>
        <v>Oct</v>
      </c>
      <c r="W1048" t="str">
        <f>TEXT(Table1[[#This Row],[Order Date]],"yyyy")</f>
        <v>2025</v>
      </c>
    </row>
    <row r="1049" spans="1:23" x14ac:dyDescent="0.25">
      <c r="A1049" s="2" t="s">
        <v>1295</v>
      </c>
      <c r="B1049" s="4">
        <v>45938</v>
      </c>
      <c r="C1049" s="2" t="s">
        <v>719</v>
      </c>
      <c r="D1049" s="2" t="str">
        <f>TEXT(Table1[[#This Row],[Order Date]],"mmmm")</f>
        <v>October</v>
      </c>
      <c r="E1049" s="2" t="s">
        <v>135</v>
      </c>
      <c r="F1049" s="2">
        <v>6</v>
      </c>
      <c r="G1049" s="5">
        <v>0.05</v>
      </c>
      <c r="H1049" s="2" t="s">
        <v>19</v>
      </c>
      <c r="I1049" s="2" t="s">
        <v>26</v>
      </c>
      <c r="J1049" s="2" t="s">
        <v>21</v>
      </c>
      <c r="K1049">
        <f>VLOOKUP(E1049,Products!$A$2:$E$23,5,0)</f>
        <v>220</v>
      </c>
      <c r="L1049">
        <f>VLOOKUP(E1049,Products!$A$2:$E$23,4,0)</f>
        <v>120</v>
      </c>
      <c r="M1049" s="2">
        <f>K1049*F1049-Table1[[#This Row],[discount_amount]]</f>
        <v>1254</v>
      </c>
      <c r="N1049">
        <f t="shared" si="33"/>
        <v>720</v>
      </c>
      <c r="O1049">
        <f t="shared" si="32"/>
        <v>534</v>
      </c>
      <c r="P1049">
        <f>Table1[[#This Row],[Quantity]]*Table1[[#This Row],[unit_price]]*Table1[[#This Row],[Discount]]</f>
        <v>66</v>
      </c>
      <c r="Q1049" t="str">
        <f>VLOOKUP(E1049,Products!$A$2:$E$23,2,0)</f>
        <v>Stapler</v>
      </c>
      <c r="R1049" t="str">
        <f>VLOOKUP(Table1[[#This Row],[Product ID]],Products!$A$2:$E$23,3,0)</f>
        <v>Office Supplies</v>
      </c>
      <c r="S1049" t="str">
        <f>VLOOKUP(C1049,Customers!$A$2:$F$201,4,0)</f>
        <v>Gujarat</v>
      </c>
      <c r="T1049" t="str">
        <f>VLOOKUP(Table1[[#This Row],[Customer ID]],Customers!$A$2:$F$201,5,0)</f>
        <v>West</v>
      </c>
      <c r="U1049" t="str">
        <f>VLOOKUP(Table1[[#This Row],[Customer ID]],Customers!$A$2:$F$201,6,0)</f>
        <v>Corporate</v>
      </c>
      <c r="V1049" t="str">
        <f>TEXT(Table1[[#This Row],[Order Date]],"MMM")</f>
        <v>Oct</v>
      </c>
      <c r="W1049" t="str">
        <f>TEXT(Table1[[#This Row],[Order Date]],"yyyy")</f>
        <v>2025</v>
      </c>
    </row>
    <row r="1050" spans="1:23" x14ac:dyDescent="0.25">
      <c r="A1050" s="2" t="s">
        <v>1296</v>
      </c>
      <c r="B1050" s="4">
        <v>45938</v>
      </c>
      <c r="C1050" s="2" t="s">
        <v>439</v>
      </c>
      <c r="D1050" s="2" t="str">
        <f>TEXT(Table1[[#This Row],[Order Date]],"mmmm")</f>
        <v>October</v>
      </c>
      <c r="E1050" s="2" t="s">
        <v>118</v>
      </c>
      <c r="F1050" s="2">
        <v>2</v>
      </c>
      <c r="G1050" s="5">
        <v>0</v>
      </c>
      <c r="H1050" s="2" t="s">
        <v>19</v>
      </c>
      <c r="I1050" s="2" t="s">
        <v>38</v>
      </c>
      <c r="J1050" s="2" t="s">
        <v>21</v>
      </c>
      <c r="K1050">
        <f>VLOOKUP(E1050,Products!$A$2:$E$23,5,0)</f>
        <v>150</v>
      </c>
      <c r="L1050">
        <f>VLOOKUP(E1050,Products!$A$2:$E$23,4,0)</f>
        <v>90</v>
      </c>
      <c r="M1050" s="2">
        <f>K1050*F1050-Table1[[#This Row],[discount_amount]]</f>
        <v>300</v>
      </c>
      <c r="N1050">
        <f t="shared" si="33"/>
        <v>180</v>
      </c>
      <c r="O1050">
        <f t="shared" si="32"/>
        <v>120</v>
      </c>
      <c r="P1050">
        <f>Table1[[#This Row],[Quantity]]*Table1[[#This Row],[unit_price]]*Table1[[#This Row],[Discount]]</f>
        <v>0</v>
      </c>
      <c r="Q1050" t="str">
        <f>VLOOKUP(E1050,Products!$A$2:$E$23,2,0)</f>
        <v>Gel Pen Box</v>
      </c>
      <c r="R1050" t="str">
        <f>VLOOKUP(Table1[[#This Row],[Product ID]],Products!$A$2:$E$23,3,0)</f>
        <v>Office Supplies</v>
      </c>
      <c r="S1050" t="str">
        <f>VLOOKUP(C1050,Customers!$A$2:$F$201,4,0)</f>
        <v>Chandigarh</v>
      </c>
      <c r="T1050" t="str">
        <f>VLOOKUP(Table1[[#This Row],[Customer ID]],Customers!$A$2:$F$201,5,0)</f>
        <v>North</v>
      </c>
      <c r="U1050" t="str">
        <f>VLOOKUP(Table1[[#This Row],[Customer ID]],Customers!$A$2:$F$201,6,0)</f>
        <v>Corporate</v>
      </c>
      <c r="V1050" t="str">
        <f>TEXT(Table1[[#This Row],[Order Date]],"MMM")</f>
        <v>Oct</v>
      </c>
      <c r="W1050" t="str">
        <f>TEXT(Table1[[#This Row],[Order Date]],"yyyy")</f>
        <v>2025</v>
      </c>
    </row>
    <row r="1051" spans="1:23" x14ac:dyDescent="0.25">
      <c r="A1051" s="2" t="s">
        <v>1297</v>
      </c>
      <c r="B1051" s="4">
        <v>45938</v>
      </c>
      <c r="C1051" s="2" t="s">
        <v>212</v>
      </c>
      <c r="D1051" s="2" t="str">
        <f>TEXT(Table1[[#This Row],[Order Date]],"mmmm")</f>
        <v>October</v>
      </c>
      <c r="E1051" s="2" t="s">
        <v>34</v>
      </c>
      <c r="F1051" s="2">
        <v>20</v>
      </c>
      <c r="G1051" s="5">
        <v>0.05</v>
      </c>
      <c r="H1051" s="2" t="s">
        <v>30</v>
      </c>
      <c r="I1051" s="2" t="s">
        <v>38</v>
      </c>
      <c r="J1051" s="2" t="s">
        <v>21</v>
      </c>
      <c r="K1051">
        <f>VLOOKUP(E1051,Products!$A$2:$E$23,5,0)</f>
        <v>4599</v>
      </c>
      <c r="L1051">
        <f>VLOOKUP(E1051,Products!$A$2:$E$23,4,0)</f>
        <v>3000</v>
      </c>
      <c r="M1051" s="2">
        <f>K1051*F1051-Table1[[#This Row],[discount_amount]]</f>
        <v>87381</v>
      </c>
      <c r="N1051">
        <f t="shared" si="33"/>
        <v>60000</v>
      </c>
      <c r="O1051">
        <f t="shared" si="32"/>
        <v>27381</v>
      </c>
      <c r="P1051">
        <f>Table1[[#This Row],[Quantity]]*Table1[[#This Row],[unit_price]]*Table1[[#This Row],[Discount]]</f>
        <v>4599</v>
      </c>
      <c r="Q1051" t="str">
        <f>VLOOKUP(E1051,Products!$A$2:$E$23,2,0)</f>
        <v>Filing Cabinet</v>
      </c>
      <c r="R1051" t="str">
        <f>VLOOKUP(Table1[[#This Row],[Product ID]],Products!$A$2:$E$23,3,0)</f>
        <v>Furniture</v>
      </c>
      <c r="S1051" t="str">
        <f>VLOOKUP(C1051,Customers!$A$2:$F$201,4,0)</f>
        <v>Rajasthan</v>
      </c>
      <c r="T1051" t="str">
        <f>VLOOKUP(Table1[[#This Row],[Customer ID]],Customers!$A$2:$F$201,5,0)</f>
        <v>North</v>
      </c>
      <c r="U1051" t="str">
        <f>VLOOKUP(Table1[[#This Row],[Customer ID]],Customers!$A$2:$F$201,6,0)</f>
        <v>Corporate</v>
      </c>
      <c r="V1051" t="str">
        <f>TEXT(Table1[[#This Row],[Order Date]],"MMM")</f>
        <v>Oct</v>
      </c>
      <c r="W1051" t="str">
        <f>TEXT(Table1[[#This Row],[Order Date]],"yyyy")</f>
        <v>2025</v>
      </c>
    </row>
    <row r="1052" spans="1:23" x14ac:dyDescent="0.25">
      <c r="A1052" s="2" t="s">
        <v>1298</v>
      </c>
      <c r="B1052" s="4">
        <v>45938</v>
      </c>
      <c r="C1052" s="2" t="s">
        <v>65</v>
      </c>
      <c r="D1052" s="2" t="str">
        <f>TEXT(Table1[[#This Row],[Order Date]],"mmmm")</f>
        <v>October</v>
      </c>
      <c r="E1052" s="2" t="s">
        <v>155</v>
      </c>
      <c r="F1052" s="2">
        <v>4</v>
      </c>
      <c r="G1052" s="5">
        <v>0.05</v>
      </c>
      <c r="H1052" s="2" t="s">
        <v>25</v>
      </c>
      <c r="I1052" s="2" t="s">
        <v>26</v>
      </c>
      <c r="J1052" s="2" t="s">
        <v>21</v>
      </c>
      <c r="K1052">
        <f>VLOOKUP(E1052,Products!$A$2:$E$23,5,0)</f>
        <v>1599</v>
      </c>
      <c r="L1052">
        <f>VLOOKUP(E1052,Products!$A$2:$E$23,4,0)</f>
        <v>900</v>
      </c>
      <c r="M1052" s="2">
        <f>K1052*F1052-Table1[[#This Row],[discount_amount]]</f>
        <v>6076.2</v>
      </c>
      <c r="N1052">
        <f t="shared" si="33"/>
        <v>3600</v>
      </c>
      <c r="O1052">
        <f t="shared" si="32"/>
        <v>2476.1999999999998</v>
      </c>
      <c r="P1052">
        <f>Table1[[#This Row],[Quantity]]*Table1[[#This Row],[unit_price]]*Table1[[#This Row],[Discount]]</f>
        <v>319.8</v>
      </c>
      <c r="Q1052" t="str">
        <f>VLOOKUP(E1052,Products!$A$2:$E$23,2,0)</f>
        <v>Headphones</v>
      </c>
      <c r="R1052" t="str">
        <f>VLOOKUP(Table1[[#This Row],[Product ID]],Products!$A$2:$E$23,3,0)</f>
        <v>Electronics</v>
      </c>
      <c r="S1052" t="str">
        <f>VLOOKUP(C1052,Customers!$A$2:$F$201,4,0)</f>
        <v>Madhya Pradesh</v>
      </c>
      <c r="T1052" t="str">
        <f>VLOOKUP(Table1[[#This Row],[Customer ID]],Customers!$A$2:$F$201,5,0)</f>
        <v>Central</v>
      </c>
      <c r="U1052" t="str">
        <f>VLOOKUP(Table1[[#This Row],[Customer ID]],Customers!$A$2:$F$201,6,0)</f>
        <v>Consumer</v>
      </c>
      <c r="V1052" t="str">
        <f>TEXT(Table1[[#This Row],[Order Date]],"MMM")</f>
        <v>Oct</v>
      </c>
      <c r="W1052" t="str">
        <f>TEXT(Table1[[#This Row],[Order Date]],"yyyy")</f>
        <v>2025</v>
      </c>
    </row>
    <row r="1053" spans="1:23" x14ac:dyDescent="0.25">
      <c r="A1053" s="2" t="s">
        <v>1299</v>
      </c>
      <c r="B1053" s="4">
        <v>45939</v>
      </c>
      <c r="C1053" s="2" t="s">
        <v>407</v>
      </c>
      <c r="D1053" s="2" t="str">
        <f>TEXT(Table1[[#This Row],[Order Date]],"mmmm")</f>
        <v>October</v>
      </c>
      <c r="E1053" s="2" t="s">
        <v>18</v>
      </c>
      <c r="F1053" s="2">
        <v>3</v>
      </c>
      <c r="G1053" s="5">
        <v>0.1</v>
      </c>
      <c r="H1053" s="2" t="s">
        <v>25</v>
      </c>
      <c r="I1053" s="2" t="s">
        <v>31</v>
      </c>
      <c r="J1053" s="2" t="s">
        <v>42</v>
      </c>
      <c r="K1053">
        <f>VLOOKUP(E1053,Products!$A$2:$E$23,5,0)</f>
        <v>4299</v>
      </c>
      <c r="L1053">
        <f>VLOOKUP(E1053,Products!$A$2:$E$23,4,0)</f>
        <v>2800</v>
      </c>
      <c r="M1053" s="2">
        <f>K1053*F1053-Table1[[#This Row],[discount_amount]]</f>
        <v>11607.3</v>
      </c>
      <c r="N1053">
        <f t="shared" si="33"/>
        <v>8400</v>
      </c>
      <c r="O1053">
        <f t="shared" si="32"/>
        <v>3207.2999999999993</v>
      </c>
      <c r="P1053">
        <f>Table1[[#This Row],[Quantity]]*Table1[[#This Row],[unit_price]]*Table1[[#This Row],[Discount]]</f>
        <v>1289.7</v>
      </c>
      <c r="Q1053" t="str">
        <f>VLOOKUP(E1053,Products!$A$2:$E$23,2,0)</f>
        <v>Bookshelf</v>
      </c>
      <c r="R1053" t="str">
        <f>VLOOKUP(Table1[[#This Row],[Product ID]],Products!$A$2:$E$23,3,0)</f>
        <v>Furniture</v>
      </c>
      <c r="S1053" t="str">
        <f>VLOOKUP(C1053,Customers!$A$2:$F$201,4,0)</f>
        <v>Maharashtra</v>
      </c>
      <c r="T1053" t="str">
        <f>VLOOKUP(Table1[[#This Row],[Customer ID]],Customers!$A$2:$F$201,5,0)</f>
        <v>West</v>
      </c>
      <c r="U1053" t="str">
        <f>VLOOKUP(Table1[[#This Row],[Customer ID]],Customers!$A$2:$F$201,6,0)</f>
        <v>Consumer</v>
      </c>
      <c r="V1053" t="str">
        <f>TEXT(Table1[[#This Row],[Order Date]],"MMM")</f>
        <v>Oct</v>
      </c>
      <c r="W1053" t="str">
        <f>TEXT(Table1[[#This Row],[Order Date]],"yyyy")</f>
        <v>2025</v>
      </c>
    </row>
    <row r="1054" spans="1:23" x14ac:dyDescent="0.25">
      <c r="A1054" s="2" t="s">
        <v>1300</v>
      </c>
      <c r="B1054" s="4">
        <v>45940</v>
      </c>
      <c r="C1054" s="2" t="s">
        <v>464</v>
      </c>
      <c r="D1054" s="2" t="str">
        <f>TEXT(Table1[[#This Row],[Order Date]],"mmmm")</f>
        <v>October</v>
      </c>
      <c r="E1054" s="2" t="s">
        <v>18</v>
      </c>
      <c r="F1054" s="2">
        <v>3</v>
      </c>
      <c r="G1054" s="5">
        <v>0.1</v>
      </c>
      <c r="H1054" s="2" t="s">
        <v>19</v>
      </c>
      <c r="I1054" s="2" t="s">
        <v>20</v>
      </c>
      <c r="J1054" s="2" t="s">
        <v>21</v>
      </c>
      <c r="K1054">
        <f>VLOOKUP(E1054,Products!$A$2:$E$23,5,0)</f>
        <v>4299</v>
      </c>
      <c r="L1054">
        <f>VLOOKUP(E1054,Products!$A$2:$E$23,4,0)</f>
        <v>2800</v>
      </c>
      <c r="M1054" s="2">
        <f>K1054*F1054-Table1[[#This Row],[discount_amount]]</f>
        <v>11607.3</v>
      </c>
      <c r="N1054">
        <f t="shared" si="33"/>
        <v>8400</v>
      </c>
      <c r="O1054">
        <f t="shared" si="32"/>
        <v>3207.2999999999993</v>
      </c>
      <c r="P1054">
        <f>Table1[[#This Row],[Quantity]]*Table1[[#This Row],[unit_price]]*Table1[[#This Row],[Discount]]</f>
        <v>1289.7</v>
      </c>
      <c r="Q1054" t="str">
        <f>VLOOKUP(E1054,Products!$A$2:$E$23,2,0)</f>
        <v>Bookshelf</v>
      </c>
      <c r="R1054" t="str">
        <f>VLOOKUP(Table1[[#This Row],[Product ID]],Products!$A$2:$E$23,3,0)</f>
        <v>Furniture</v>
      </c>
      <c r="S1054" t="str">
        <f>VLOOKUP(C1054,Customers!$A$2:$F$201,4,0)</f>
        <v>Madhya Pradesh</v>
      </c>
      <c r="T1054" t="str">
        <f>VLOOKUP(Table1[[#This Row],[Customer ID]],Customers!$A$2:$F$201,5,0)</f>
        <v>Central</v>
      </c>
      <c r="U1054" t="str">
        <f>VLOOKUP(Table1[[#This Row],[Customer ID]],Customers!$A$2:$F$201,6,0)</f>
        <v>Consumer</v>
      </c>
      <c r="V1054" t="str">
        <f>TEXT(Table1[[#This Row],[Order Date]],"MMM")</f>
        <v>Oct</v>
      </c>
      <c r="W1054" t="str">
        <f>TEXT(Table1[[#This Row],[Order Date]],"yyyy")</f>
        <v>2025</v>
      </c>
    </row>
    <row r="1055" spans="1:23" x14ac:dyDescent="0.25">
      <c r="A1055" s="2" t="s">
        <v>1301</v>
      </c>
      <c r="B1055" s="4">
        <v>45940</v>
      </c>
      <c r="C1055" s="2" t="s">
        <v>333</v>
      </c>
      <c r="D1055" s="2" t="str">
        <f>TEXT(Table1[[#This Row],[Order Date]],"mmmm")</f>
        <v>October</v>
      </c>
      <c r="E1055" s="2" t="s">
        <v>91</v>
      </c>
      <c r="F1055" s="2">
        <v>1</v>
      </c>
      <c r="G1055" s="5">
        <v>0.1</v>
      </c>
      <c r="H1055" s="2" t="s">
        <v>30</v>
      </c>
      <c r="I1055" s="2" t="s">
        <v>20</v>
      </c>
      <c r="J1055" s="2" t="s">
        <v>42</v>
      </c>
      <c r="K1055">
        <f>VLOOKUP(E1055,Products!$A$2:$E$23,5,0)</f>
        <v>1199</v>
      </c>
      <c r="L1055">
        <f>VLOOKUP(E1055,Products!$A$2:$E$23,4,0)</f>
        <v>600</v>
      </c>
      <c r="M1055" s="2">
        <f>K1055*F1055-Table1[[#This Row],[discount_amount]]</f>
        <v>1079.0999999999999</v>
      </c>
      <c r="N1055">
        <f t="shared" si="33"/>
        <v>600</v>
      </c>
      <c r="O1055">
        <f t="shared" si="32"/>
        <v>479.09999999999991</v>
      </c>
      <c r="P1055">
        <f>Table1[[#This Row],[Quantity]]*Table1[[#This Row],[unit_price]]*Table1[[#This Row],[Discount]]</f>
        <v>119.9</v>
      </c>
      <c r="Q1055" t="str">
        <f>VLOOKUP(E1055,Products!$A$2:$E$23,2,0)</f>
        <v>Formal Shirt</v>
      </c>
      <c r="R1055" t="str">
        <f>VLOOKUP(Table1[[#This Row],[Product ID]],Products!$A$2:$E$23,3,0)</f>
        <v>Clothing</v>
      </c>
      <c r="S1055" t="str">
        <f>VLOOKUP(C1055,Customers!$A$2:$F$201,4,0)</f>
        <v>Rajasthan</v>
      </c>
      <c r="T1055" t="str">
        <f>VLOOKUP(Table1[[#This Row],[Customer ID]],Customers!$A$2:$F$201,5,0)</f>
        <v>North</v>
      </c>
      <c r="U1055" t="str">
        <f>VLOOKUP(Table1[[#This Row],[Customer ID]],Customers!$A$2:$F$201,6,0)</f>
        <v>Corporate</v>
      </c>
      <c r="V1055" t="str">
        <f>TEXT(Table1[[#This Row],[Order Date]],"MMM")</f>
        <v>Oct</v>
      </c>
      <c r="W1055" t="str">
        <f>TEXT(Table1[[#This Row],[Order Date]],"yyyy")</f>
        <v>2025</v>
      </c>
    </row>
    <row r="1056" spans="1:23" x14ac:dyDescent="0.25">
      <c r="A1056" s="2" t="s">
        <v>1302</v>
      </c>
      <c r="B1056" s="4">
        <v>45940</v>
      </c>
      <c r="C1056" s="2" t="s">
        <v>482</v>
      </c>
      <c r="D1056" s="2" t="str">
        <f>TEXT(Table1[[#This Row],[Order Date]],"mmmm")</f>
        <v>October</v>
      </c>
      <c r="E1056" s="2" t="s">
        <v>73</v>
      </c>
      <c r="F1056" s="2">
        <v>2</v>
      </c>
      <c r="G1056" s="5">
        <v>0</v>
      </c>
      <c r="H1056" s="2" t="s">
        <v>25</v>
      </c>
      <c r="I1056" s="2" t="s">
        <v>20</v>
      </c>
      <c r="J1056" s="2" t="s">
        <v>21</v>
      </c>
      <c r="K1056">
        <f>VLOOKUP(E1056,Products!$A$2:$E$23,5,0)</f>
        <v>6499</v>
      </c>
      <c r="L1056">
        <f>VLOOKUP(E1056,Products!$A$2:$E$23,4,0)</f>
        <v>4200</v>
      </c>
      <c r="M1056" s="2">
        <f>K1056*F1056-Table1[[#This Row],[discount_amount]]</f>
        <v>12998</v>
      </c>
      <c r="N1056">
        <f t="shared" si="33"/>
        <v>8400</v>
      </c>
      <c r="O1056">
        <f t="shared" si="32"/>
        <v>4598</v>
      </c>
      <c r="P1056">
        <f>Table1[[#This Row],[Quantity]]*Table1[[#This Row],[unit_price]]*Table1[[#This Row],[Discount]]</f>
        <v>0</v>
      </c>
      <c r="Q1056" t="str">
        <f>VLOOKUP(E1056,Products!$A$2:$E$23,2,0)</f>
        <v>Study Table</v>
      </c>
      <c r="R1056" t="str">
        <f>VLOOKUP(Table1[[#This Row],[Product ID]],Products!$A$2:$E$23,3,0)</f>
        <v>Furniture</v>
      </c>
      <c r="S1056" t="str">
        <f>VLOOKUP(C1056,Customers!$A$2:$F$201,4,0)</f>
        <v>Chandigarh</v>
      </c>
      <c r="T1056" t="str">
        <f>VLOOKUP(Table1[[#This Row],[Customer ID]],Customers!$A$2:$F$201,5,0)</f>
        <v>North</v>
      </c>
      <c r="U1056" t="str">
        <f>VLOOKUP(Table1[[#This Row],[Customer ID]],Customers!$A$2:$F$201,6,0)</f>
        <v>Home Office</v>
      </c>
      <c r="V1056" t="str">
        <f>TEXT(Table1[[#This Row],[Order Date]],"MMM")</f>
        <v>Oct</v>
      </c>
      <c r="W1056" t="str">
        <f>TEXT(Table1[[#This Row],[Order Date]],"yyyy")</f>
        <v>2025</v>
      </c>
    </row>
    <row r="1057" spans="1:23" x14ac:dyDescent="0.25">
      <c r="A1057" s="2" t="s">
        <v>1303</v>
      </c>
      <c r="B1057" s="4">
        <v>45940</v>
      </c>
      <c r="C1057" s="2" t="s">
        <v>587</v>
      </c>
      <c r="D1057" s="2" t="str">
        <f>TEXT(Table1[[#This Row],[Order Date]],"mmmm")</f>
        <v>October</v>
      </c>
      <c r="E1057" s="2" t="s">
        <v>54</v>
      </c>
      <c r="F1057" s="2">
        <v>1</v>
      </c>
      <c r="G1057" s="5">
        <v>0.1</v>
      </c>
      <c r="H1057" s="2" t="s">
        <v>25</v>
      </c>
      <c r="I1057" s="2" t="s">
        <v>20</v>
      </c>
      <c r="J1057" s="2" t="s">
        <v>21</v>
      </c>
      <c r="K1057">
        <f>VLOOKUP(E1057,Products!$A$2:$E$23,5,0)</f>
        <v>299</v>
      </c>
      <c r="L1057">
        <f>VLOOKUP(E1057,Products!$A$2:$E$23,4,0)</f>
        <v>180</v>
      </c>
      <c r="M1057" s="2">
        <f>K1057*F1057-Table1[[#This Row],[discount_amount]]</f>
        <v>269.10000000000002</v>
      </c>
      <c r="N1057">
        <f t="shared" si="33"/>
        <v>180</v>
      </c>
      <c r="O1057">
        <f t="shared" si="32"/>
        <v>89.100000000000023</v>
      </c>
      <c r="P1057">
        <f>Table1[[#This Row],[Quantity]]*Table1[[#This Row],[unit_price]]*Table1[[#This Row],[Discount]]</f>
        <v>29.900000000000002</v>
      </c>
      <c r="Q1057" t="str">
        <f>VLOOKUP(E1057,Products!$A$2:$E$23,2,0)</f>
        <v>Notebook Pack of 5</v>
      </c>
      <c r="R1057" t="str">
        <f>VLOOKUP(Table1[[#This Row],[Product ID]],Products!$A$2:$E$23,3,0)</f>
        <v>Office Supplies</v>
      </c>
      <c r="S1057" t="str">
        <f>VLOOKUP(C1057,Customers!$A$2:$F$201,4,0)</f>
        <v>Karnataka</v>
      </c>
      <c r="T1057" t="str">
        <f>VLOOKUP(Table1[[#This Row],[Customer ID]],Customers!$A$2:$F$201,5,0)</f>
        <v>South</v>
      </c>
      <c r="U1057" t="str">
        <f>VLOOKUP(Table1[[#This Row],[Customer ID]],Customers!$A$2:$F$201,6,0)</f>
        <v>Corporate</v>
      </c>
      <c r="V1057" t="str">
        <f>TEXT(Table1[[#This Row],[Order Date]],"MMM")</f>
        <v>Oct</v>
      </c>
      <c r="W1057" t="str">
        <f>TEXT(Table1[[#This Row],[Order Date]],"yyyy")</f>
        <v>2025</v>
      </c>
    </row>
    <row r="1058" spans="1:23" x14ac:dyDescent="0.25">
      <c r="A1058" s="2" t="s">
        <v>1304</v>
      </c>
      <c r="B1058" s="4">
        <v>45942</v>
      </c>
      <c r="C1058" s="2" t="s">
        <v>142</v>
      </c>
      <c r="D1058" s="2" t="str">
        <f>TEXT(Table1[[#This Row],[Order Date]],"mmmm")</f>
        <v>October</v>
      </c>
      <c r="E1058" s="2" t="s">
        <v>63</v>
      </c>
      <c r="F1058" s="2">
        <v>12</v>
      </c>
      <c r="G1058" s="5">
        <v>0</v>
      </c>
      <c r="H1058" s="2" t="s">
        <v>30</v>
      </c>
      <c r="I1058" s="2" t="s">
        <v>26</v>
      </c>
      <c r="J1058" s="2" t="s">
        <v>21</v>
      </c>
      <c r="K1058">
        <f>VLOOKUP(E1058,Products!$A$2:$E$23,5,0)</f>
        <v>5499</v>
      </c>
      <c r="L1058">
        <f>VLOOKUP(E1058,Products!$A$2:$E$23,4,0)</f>
        <v>3500</v>
      </c>
      <c r="M1058" s="2">
        <f>K1058*F1058-Table1[[#This Row],[discount_amount]]</f>
        <v>65988</v>
      </c>
      <c r="N1058">
        <f t="shared" si="33"/>
        <v>42000</v>
      </c>
      <c r="O1058">
        <f t="shared" si="32"/>
        <v>23988</v>
      </c>
      <c r="P1058">
        <f>Table1[[#This Row],[Quantity]]*Table1[[#This Row],[unit_price]]*Table1[[#This Row],[Discount]]</f>
        <v>0</v>
      </c>
      <c r="Q1058" t="str">
        <f>VLOOKUP(E1058,Products!$A$2:$E$23,2,0)</f>
        <v>Office Chair</v>
      </c>
      <c r="R1058" t="str">
        <f>VLOOKUP(Table1[[#This Row],[Product ID]],Products!$A$2:$E$23,3,0)</f>
        <v>Furniture</v>
      </c>
      <c r="S1058" t="str">
        <f>VLOOKUP(C1058,Customers!$A$2:$F$201,4,0)</f>
        <v>Tamil Nadu</v>
      </c>
      <c r="T1058" t="str">
        <f>VLOOKUP(Table1[[#This Row],[Customer ID]],Customers!$A$2:$F$201,5,0)</f>
        <v>South</v>
      </c>
      <c r="U1058" t="str">
        <f>VLOOKUP(Table1[[#This Row],[Customer ID]],Customers!$A$2:$F$201,6,0)</f>
        <v>Corporate</v>
      </c>
      <c r="V1058" t="str">
        <f>TEXT(Table1[[#This Row],[Order Date]],"MMM")</f>
        <v>Oct</v>
      </c>
      <c r="W1058" t="str">
        <f>TEXT(Table1[[#This Row],[Order Date]],"yyyy")</f>
        <v>2025</v>
      </c>
    </row>
    <row r="1059" spans="1:23" x14ac:dyDescent="0.25">
      <c r="A1059" s="2" t="s">
        <v>1305</v>
      </c>
      <c r="B1059" s="4">
        <v>45942</v>
      </c>
      <c r="C1059" s="2" t="s">
        <v>460</v>
      </c>
      <c r="D1059" s="2" t="str">
        <f>TEXT(Table1[[#This Row],[Order Date]],"mmmm")</f>
        <v>October</v>
      </c>
      <c r="E1059" s="2" t="s">
        <v>49</v>
      </c>
      <c r="F1059" s="2">
        <v>4</v>
      </c>
      <c r="G1059" s="5">
        <v>0</v>
      </c>
      <c r="H1059" s="2" t="s">
        <v>19</v>
      </c>
      <c r="I1059" s="2" t="s">
        <v>31</v>
      </c>
      <c r="J1059" s="2" t="s">
        <v>21</v>
      </c>
      <c r="K1059">
        <f>VLOOKUP(E1059,Products!$A$2:$E$23,5,0)</f>
        <v>700</v>
      </c>
      <c r="L1059">
        <f>VLOOKUP(E1059,Products!$A$2:$E$23,4,0)</f>
        <v>450</v>
      </c>
      <c r="M1059" s="2">
        <f>K1059*F1059-Table1[[#This Row],[discount_amount]]</f>
        <v>2800</v>
      </c>
      <c r="N1059">
        <f t="shared" si="33"/>
        <v>1800</v>
      </c>
      <c r="O1059">
        <f t="shared" si="32"/>
        <v>1000</v>
      </c>
      <c r="P1059">
        <f>Table1[[#This Row],[Quantity]]*Table1[[#This Row],[unit_price]]*Table1[[#This Row],[Discount]]</f>
        <v>0</v>
      </c>
      <c r="Q1059" t="str">
        <f>VLOOKUP(E1059,Products!$A$2:$E$23,2,0)</f>
        <v>Wireless Mouse</v>
      </c>
      <c r="R1059" t="str">
        <f>VLOOKUP(Table1[[#This Row],[Product ID]],Products!$A$2:$E$23,3,0)</f>
        <v>Electronics</v>
      </c>
      <c r="S1059" t="str">
        <f>VLOOKUP(C1059,Customers!$A$2:$F$201,4,0)</f>
        <v>Maharashtra</v>
      </c>
      <c r="T1059" t="str">
        <f>VLOOKUP(Table1[[#This Row],[Customer ID]],Customers!$A$2:$F$201,5,0)</f>
        <v>Central</v>
      </c>
      <c r="U1059" t="str">
        <f>VLOOKUP(Table1[[#This Row],[Customer ID]],Customers!$A$2:$F$201,6,0)</f>
        <v>Corporate</v>
      </c>
      <c r="V1059" t="str">
        <f>TEXT(Table1[[#This Row],[Order Date]],"MMM")</f>
        <v>Oct</v>
      </c>
      <c r="W1059" t="str">
        <f>TEXT(Table1[[#This Row],[Order Date]],"yyyy")</f>
        <v>2025</v>
      </c>
    </row>
    <row r="1060" spans="1:23" x14ac:dyDescent="0.25">
      <c r="A1060" s="2" t="s">
        <v>1306</v>
      </c>
      <c r="B1060" s="4">
        <v>45942</v>
      </c>
      <c r="C1060" s="2" t="s">
        <v>178</v>
      </c>
      <c r="D1060" s="2" t="str">
        <f>TEXT(Table1[[#This Row],[Order Date]],"mmmm")</f>
        <v>October</v>
      </c>
      <c r="E1060" s="2" t="s">
        <v>34</v>
      </c>
      <c r="F1060" s="2">
        <v>2</v>
      </c>
      <c r="G1060" s="5">
        <v>0.1</v>
      </c>
      <c r="H1060" s="2" t="s">
        <v>30</v>
      </c>
      <c r="I1060" s="2" t="s">
        <v>26</v>
      </c>
      <c r="J1060" s="2" t="s">
        <v>94</v>
      </c>
      <c r="K1060">
        <f>VLOOKUP(E1060,Products!$A$2:$E$23,5,0)</f>
        <v>4599</v>
      </c>
      <c r="L1060">
        <f>VLOOKUP(E1060,Products!$A$2:$E$23,4,0)</f>
        <v>3000</v>
      </c>
      <c r="M1060" s="2">
        <f>K1060*F1060-Table1[[#This Row],[discount_amount]]</f>
        <v>8278.2000000000007</v>
      </c>
      <c r="N1060">
        <f t="shared" si="33"/>
        <v>6000</v>
      </c>
      <c r="O1060">
        <f t="shared" si="32"/>
        <v>2278.2000000000007</v>
      </c>
      <c r="P1060">
        <f>Table1[[#This Row],[Quantity]]*Table1[[#This Row],[unit_price]]*Table1[[#This Row],[Discount]]</f>
        <v>919.80000000000007</v>
      </c>
      <c r="Q1060" t="str">
        <f>VLOOKUP(E1060,Products!$A$2:$E$23,2,0)</f>
        <v>Filing Cabinet</v>
      </c>
      <c r="R1060" t="str">
        <f>VLOOKUP(Table1[[#This Row],[Product ID]],Products!$A$2:$E$23,3,0)</f>
        <v>Furniture</v>
      </c>
      <c r="S1060" t="str">
        <f>VLOOKUP(C1060,Customers!$A$2:$F$201,4,0)</f>
        <v>Bihar</v>
      </c>
      <c r="T1060" t="str">
        <f>VLOOKUP(Table1[[#This Row],[Customer ID]],Customers!$A$2:$F$201,5,0)</f>
        <v>East</v>
      </c>
      <c r="U1060" t="str">
        <f>VLOOKUP(Table1[[#This Row],[Customer ID]],Customers!$A$2:$F$201,6,0)</f>
        <v>Corporate</v>
      </c>
      <c r="V1060" t="str">
        <f>TEXT(Table1[[#This Row],[Order Date]],"MMM")</f>
        <v>Oct</v>
      </c>
      <c r="W1060" t="str">
        <f>TEXT(Table1[[#This Row],[Order Date]],"yyyy")</f>
        <v>2025</v>
      </c>
    </row>
    <row r="1061" spans="1:23" x14ac:dyDescent="0.25">
      <c r="A1061" s="2" t="s">
        <v>1307</v>
      </c>
      <c r="B1061" s="4">
        <v>45942</v>
      </c>
      <c r="C1061" s="2" t="s">
        <v>956</v>
      </c>
      <c r="D1061" s="2" t="str">
        <f>TEXT(Table1[[#This Row],[Order Date]],"mmmm")</f>
        <v>October</v>
      </c>
      <c r="E1061" s="2" t="s">
        <v>91</v>
      </c>
      <c r="F1061" s="2">
        <v>5</v>
      </c>
      <c r="G1061" s="5">
        <v>0</v>
      </c>
      <c r="H1061" s="2" t="s">
        <v>25</v>
      </c>
      <c r="I1061" s="2" t="s">
        <v>20</v>
      </c>
      <c r="J1061" s="2" t="s">
        <v>21</v>
      </c>
      <c r="K1061">
        <f>VLOOKUP(E1061,Products!$A$2:$E$23,5,0)</f>
        <v>1199</v>
      </c>
      <c r="L1061">
        <f>VLOOKUP(E1061,Products!$A$2:$E$23,4,0)</f>
        <v>600</v>
      </c>
      <c r="M1061" s="2">
        <f>K1061*F1061-Table1[[#This Row],[discount_amount]]</f>
        <v>5995</v>
      </c>
      <c r="N1061">
        <f t="shared" si="33"/>
        <v>3000</v>
      </c>
      <c r="O1061">
        <f t="shared" si="32"/>
        <v>2995</v>
      </c>
      <c r="P1061">
        <f>Table1[[#This Row],[Quantity]]*Table1[[#This Row],[unit_price]]*Table1[[#This Row],[Discount]]</f>
        <v>0</v>
      </c>
      <c r="Q1061" t="str">
        <f>VLOOKUP(E1061,Products!$A$2:$E$23,2,0)</f>
        <v>Formal Shirt</v>
      </c>
      <c r="R1061" t="str">
        <f>VLOOKUP(Table1[[#This Row],[Product ID]],Products!$A$2:$E$23,3,0)</f>
        <v>Clothing</v>
      </c>
      <c r="S1061" t="str">
        <f>VLOOKUP(C1061,Customers!$A$2:$F$201,4,0)</f>
        <v>Telangana</v>
      </c>
      <c r="T1061" t="str">
        <f>VLOOKUP(Table1[[#This Row],[Customer ID]],Customers!$A$2:$F$201,5,0)</f>
        <v>South</v>
      </c>
      <c r="U1061" t="str">
        <f>VLOOKUP(Table1[[#This Row],[Customer ID]],Customers!$A$2:$F$201,6,0)</f>
        <v>Home Office</v>
      </c>
      <c r="V1061" t="str">
        <f>TEXT(Table1[[#This Row],[Order Date]],"MMM")</f>
        <v>Oct</v>
      </c>
      <c r="W1061" t="str">
        <f>TEXT(Table1[[#This Row],[Order Date]],"yyyy")</f>
        <v>2025</v>
      </c>
    </row>
    <row r="1062" spans="1:23" x14ac:dyDescent="0.25">
      <c r="A1062" s="2" t="s">
        <v>1308</v>
      </c>
      <c r="B1062" s="4">
        <v>45943</v>
      </c>
      <c r="C1062" s="2" t="s">
        <v>137</v>
      </c>
      <c r="D1062" s="2" t="str">
        <f>TEXT(Table1[[#This Row],[Order Date]],"mmmm")</f>
        <v>October</v>
      </c>
      <c r="E1062" s="2" t="s">
        <v>63</v>
      </c>
      <c r="F1062" s="2">
        <v>1</v>
      </c>
      <c r="G1062" s="5">
        <v>0.05</v>
      </c>
      <c r="H1062" s="2" t="s">
        <v>19</v>
      </c>
      <c r="I1062" s="2" t="s">
        <v>38</v>
      </c>
      <c r="J1062" s="2" t="s">
        <v>21</v>
      </c>
      <c r="K1062">
        <f>VLOOKUP(E1062,Products!$A$2:$E$23,5,0)</f>
        <v>5499</v>
      </c>
      <c r="L1062">
        <f>VLOOKUP(E1062,Products!$A$2:$E$23,4,0)</f>
        <v>3500</v>
      </c>
      <c r="M1062" s="2">
        <f>K1062*F1062-Table1[[#This Row],[discount_amount]]</f>
        <v>5224.05</v>
      </c>
      <c r="N1062">
        <f t="shared" si="33"/>
        <v>3500</v>
      </c>
      <c r="O1062">
        <f t="shared" si="32"/>
        <v>1724.0500000000002</v>
      </c>
      <c r="P1062">
        <f>Table1[[#This Row],[Quantity]]*Table1[[#This Row],[unit_price]]*Table1[[#This Row],[Discount]]</f>
        <v>274.95</v>
      </c>
      <c r="Q1062" t="str">
        <f>VLOOKUP(E1062,Products!$A$2:$E$23,2,0)</f>
        <v>Office Chair</v>
      </c>
      <c r="R1062" t="str">
        <f>VLOOKUP(Table1[[#This Row],[Product ID]],Products!$A$2:$E$23,3,0)</f>
        <v>Furniture</v>
      </c>
      <c r="S1062" t="str">
        <f>VLOOKUP(C1062,Customers!$A$2:$F$201,4,0)</f>
        <v>Telangana</v>
      </c>
      <c r="T1062" t="str">
        <f>VLOOKUP(Table1[[#This Row],[Customer ID]],Customers!$A$2:$F$201,5,0)</f>
        <v>South</v>
      </c>
      <c r="U1062" t="str">
        <f>VLOOKUP(Table1[[#This Row],[Customer ID]],Customers!$A$2:$F$201,6,0)</f>
        <v>Corporate</v>
      </c>
      <c r="V1062" t="str">
        <f>TEXT(Table1[[#This Row],[Order Date]],"MMM")</f>
        <v>Oct</v>
      </c>
      <c r="W1062" t="str">
        <f>TEXT(Table1[[#This Row],[Order Date]],"yyyy")</f>
        <v>2025</v>
      </c>
    </row>
    <row r="1063" spans="1:23" x14ac:dyDescent="0.25">
      <c r="A1063" s="2" t="s">
        <v>1309</v>
      </c>
      <c r="B1063" s="4">
        <v>45945</v>
      </c>
      <c r="C1063" s="2" t="s">
        <v>276</v>
      </c>
      <c r="D1063" s="2" t="str">
        <f>TEXT(Table1[[#This Row],[Order Date]],"mmmm")</f>
        <v>October</v>
      </c>
      <c r="E1063" s="2" t="s">
        <v>82</v>
      </c>
      <c r="F1063" s="2">
        <v>10</v>
      </c>
      <c r="G1063" s="5">
        <v>0</v>
      </c>
      <c r="H1063" s="2" t="s">
        <v>19</v>
      </c>
      <c r="I1063" s="2" t="s">
        <v>38</v>
      </c>
      <c r="J1063" s="2" t="s">
        <v>21</v>
      </c>
      <c r="K1063">
        <f>VLOOKUP(E1063,Products!$A$2:$E$23,5,0)</f>
        <v>1799</v>
      </c>
      <c r="L1063">
        <f>VLOOKUP(E1063,Products!$A$2:$E$23,4,0)</f>
        <v>1100</v>
      </c>
      <c r="M1063" s="2">
        <f>K1063*F1063-Table1[[#This Row],[discount_amount]]</f>
        <v>17990</v>
      </c>
      <c r="N1063">
        <f t="shared" si="33"/>
        <v>11000</v>
      </c>
      <c r="O1063">
        <f t="shared" si="32"/>
        <v>6990</v>
      </c>
      <c r="P1063">
        <f>Table1[[#This Row],[Quantity]]*Table1[[#This Row],[unit_price]]*Table1[[#This Row],[Discount]]</f>
        <v>0</v>
      </c>
      <c r="Q1063" t="str">
        <f>VLOOKUP(E1063,Products!$A$2:$E$23,2,0)</f>
        <v>Webcam HD</v>
      </c>
      <c r="R1063" t="str">
        <f>VLOOKUP(Table1[[#This Row],[Product ID]],Products!$A$2:$E$23,3,0)</f>
        <v>Electronics</v>
      </c>
      <c r="S1063" t="str">
        <f>VLOOKUP(C1063,Customers!$A$2:$F$201,4,0)</f>
        <v>Tamil Nadu</v>
      </c>
      <c r="T1063" t="str">
        <f>VLOOKUP(Table1[[#This Row],[Customer ID]],Customers!$A$2:$F$201,5,0)</f>
        <v>South</v>
      </c>
      <c r="U1063" t="str">
        <f>VLOOKUP(Table1[[#This Row],[Customer ID]],Customers!$A$2:$F$201,6,0)</f>
        <v>Consumer</v>
      </c>
      <c r="V1063" t="str">
        <f>TEXT(Table1[[#This Row],[Order Date]],"MMM")</f>
        <v>Oct</v>
      </c>
      <c r="W1063" t="str">
        <f>TEXT(Table1[[#This Row],[Order Date]],"yyyy")</f>
        <v>2025</v>
      </c>
    </row>
    <row r="1064" spans="1:23" x14ac:dyDescent="0.25">
      <c r="A1064" s="2" t="s">
        <v>1310</v>
      </c>
      <c r="B1064" s="4">
        <v>45945</v>
      </c>
      <c r="C1064" s="2" t="s">
        <v>239</v>
      </c>
      <c r="D1064" s="2" t="str">
        <f>TEXT(Table1[[#This Row],[Order Date]],"mmmm")</f>
        <v>October</v>
      </c>
      <c r="E1064" s="2" t="s">
        <v>82</v>
      </c>
      <c r="F1064" s="2">
        <v>1</v>
      </c>
      <c r="G1064" s="5">
        <v>0</v>
      </c>
      <c r="H1064" s="2" t="s">
        <v>25</v>
      </c>
      <c r="I1064" s="2" t="s">
        <v>31</v>
      </c>
      <c r="J1064" s="2" t="s">
        <v>21</v>
      </c>
      <c r="K1064">
        <f>VLOOKUP(E1064,Products!$A$2:$E$23,5,0)</f>
        <v>1799</v>
      </c>
      <c r="L1064">
        <f>VLOOKUP(E1064,Products!$A$2:$E$23,4,0)</f>
        <v>1100</v>
      </c>
      <c r="M1064" s="2">
        <f>K1064*F1064-Table1[[#This Row],[discount_amount]]</f>
        <v>1799</v>
      </c>
      <c r="N1064">
        <f t="shared" si="33"/>
        <v>1100</v>
      </c>
      <c r="O1064">
        <f t="shared" si="32"/>
        <v>699</v>
      </c>
      <c r="P1064">
        <f>Table1[[#This Row],[Quantity]]*Table1[[#This Row],[unit_price]]*Table1[[#This Row],[Discount]]</f>
        <v>0</v>
      </c>
      <c r="Q1064" t="str">
        <f>VLOOKUP(E1064,Products!$A$2:$E$23,2,0)</f>
        <v>Webcam HD</v>
      </c>
      <c r="R1064" t="str">
        <f>VLOOKUP(Table1[[#This Row],[Product ID]],Products!$A$2:$E$23,3,0)</f>
        <v>Electronics</v>
      </c>
      <c r="S1064" t="str">
        <f>VLOOKUP(C1064,Customers!$A$2:$F$201,4,0)</f>
        <v>Karnataka</v>
      </c>
      <c r="T1064" t="str">
        <f>VLOOKUP(Table1[[#This Row],[Customer ID]],Customers!$A$2:$F$201,5,0)</f>
        <v>South</v>
      </c>
      <c r="U1064" t="str">
        <f>VLOOKUP(Table1[[#This Row],[Customer ID]],Customers!$A$2:$F$201,6,0)</f>
        <v>Consumer</v>
      </c>
      <c r="V1064" t="str">
        <f>TEXT(Table1[[#This Row],[Order Date]],"MMM")</f>
        <v>Oct</v>
      </c>
      <c r="W1064" t="str">
        <f>TEXT(Table1[[#This Row],[Order Date]],"yyyy")</f>
        <v>2025</v>
      </c>
    </row>
    <row r="1065" spans="1:23" x14ac:dyDescent="0.25">
      <c r="A1065" s="2" t="s">
        <v>1311</v>
      </c>
      <c r="B1065" s="4">
        <v>45945</v>
      </c>
      <c r="C1065" s="2" t="s">
        <v>100</v>
      </c>
      <c r="D1065" s="2" t="str">
        <f>TEXT(Table1[[#This Row],[Order Date]],"mmmm")</f>
        <v>October</v>
      </c>
      <c r="E1065" s="2" t="s">
        <v>29</v>
      </c>
      <c r="F1065" s="2">
        <v>1</v>
      </c>
      <c r="G1065" s="5">
        <v>0.05</v>
      </c>
      <c r="H1065" s="2" t="s">
        <v>19</v>
      </c>
      <c r="I1065" s="2" t="s">
        <v>20</v>
      </c>
      <c r="J1065" s="2" t="s">
        <v>21</v>
      </c>
      <c r="K1065">
        <f>VLOOKUP(E1065,Products!$A$2:$E$23,5,0)</f>
        <v>599</v>
      </c>
      <c r="L1065">
        <f>VLOOKUP(E1065,Products!$A$2:$E$23,4,0)</f>
        <v>350</v>
      </c>
      <c r="M1065" s="2">
        <f>K1065*F1065-Table1[[#This Row],[discount_amount]]</f>
        <v>569.04999999999995</v>
      </c>
      <c r="N1065">
        <f t="shared" si="33"/>
        <v>350</v>
      </c>
      <c r="O1065">
        <f t="shared" si="32"/>
        <v>219.04999999999995</v>
      </c>
      <c r="P1065">
        <f>Table1[[#This Row],[Quantity]]*Table1[[#This Row],[unit_price]]*Table1[[#This Row],[Discount]]</f>
        <v>29.950000000000003</v>
      </c>
      <c r="Q1065" t="str">
        <f>VLOOKUP(E1065,Products!$A$2:$E$23,2,0)</f>
        <v>USB Flash Drive 64GB</v>
      </c>
      <c r="R1065" t="str">
        <f>VLOOKUP(Table1[[#This Row],[Product ID]],Products!$A$2:$E$23,3,0)</f>
        <v>Electronics</v>
      </c>
      <c r="S1065" t="str">
        <f>VLOOKUP(C1065,Customers!$A$2:$F$201,4,0)</f>
        <v>Delhi</v>
      </c>
      <c r="T1065" t="str">
        <f>VLOOKUP(Table1[[#This Row],[Customer ID]],Customers!$A$2:$F$201,5,0)</f>
        <v>North</v>
      </c>
      <c r="U1065" t="str">
        <f>VLOOKUP(Table1[[#This Row],[Customer ID]],Customers!$A$2:$F$201,6,0)</f>
        <v>Consumer</v>
      </c>
      <c r="V1065" t="str">
        <f>TEXT(Table1[[#This Row],[Order Date]],"MMM")</f>
        <v>Oct</v>
      </c>
      <c r="W1065" t="str">
        <f>TEXT(Table1[[#This Row],[Order Date]],"yyyy")</f>
        <v>2025</v>
      </c>
    </row>
    <row r="1066" spans="1:23" x14ac:dyDescent="0.25">
      <c r="A1066" s="2" t="s">
        <v>1312</v>
      </c>
      <c r="B1066" s="4">
        <v>45946</v>
      </c>
      <c r="C1066" s="2" t="s">
        <v>735</v>
      </c>
      <c r="D1066" s="2" t="str">
        <f>TEXT(Table1[[#This Row],[Order Date]],"mmmm")</f>
        <v>October</v>
      </c>
      <c r="E1066" s="2" t="s">
        <v>82</v>
      </c>
      <c r="F1066" s="2">
        <v>4</v>
      </c>
      <c r="G1066" s="5">
        <v>0.05</v>
      </c>
      <c r="H1066" s="2" t="s">
        <v>19</v>
      </c>
      <c r="I1066" s="2" t="s">
        <v>46</v>
      </c>
      <c r="J1066" s="2" t="s">
        <v>21</v>
      </c>
      <c r="K1066">
        <f>VLOOKUP(E1066,Products!$A$2:$E$23,5,0)</f>
        <v>1799</v>
      </c>
      <c r="L1066">
        <f>VLOOKUP(E1066,Products!$A$2:$E$23,4,0)</f>
        <v>1100</v>
      </c>
      <c r="M1066" s="2">
        <f>K1066*F1066-Table1[[#This Row],[discount_amount]]</f>
        <v>6836.2</v>
      </c>
      <c r="N1066">
        <f t="shared" si="33"/>
        <v>4400</v>
      </c>
      <c r="O1066">
        <f t="shared" si="32"/>
        <v>2436.1999999999998</v>
      </c>
      <c r="P1066">
        <f>Table1[[#This Row],[Quantity]]*Table1[[#This Row],[unit_price]]*Table1[[#This Row],[Discount]]</f>
        <v>359.8</v>
      </c>
      <c r="Q1066" t="str">
        <f>VLOOKUP(E1066,Products!$A$2:$E$23,2,0)</f>
        <v>Webcam HD</v>
      </c>
      <c r="R1066" t="str">
        <f>VLOOKUP(Table1[[#This Row],[Product ID]],Products!$A$2:$E$23,3,0)</f>
        <v>Electronics</v>
      </c>
      <c r="S1066" t="str">
        <f>VLOOKUP(C1066,Customers!$A$2:$F$201,4,0)</f>
        <v>Maharashtra</v>
      </c>
      <c r="T1066" t="str">
        <f>VLOOKUP(Table1[[#This Row],[Customer ID]],Customers!$A$2:$F$201,5,0)</f>
        <v>West</v>
      </c>
      <c r="U1066" t="str">
        <f>VLOOKUP(Table1[[#This Row],[Customer ID]],Customers!$A$2:$F$201,6,0)</f>
        <v>Consumer</v>
      </c>
      <c r="V1066" t="str">
        <f>TEXT(Table1[[#This Row],[Order Date]],"MMM")</f>
        <v>Oct</v>
      </c>
      <c r="W1066" t="str">
        <f>TEXT(Table1[[#This Row],[Order Date]],"yyyy")</f>
        <v>2025</v>
      </c>
    </row>
    <row r="1067" spans="1:23" x14ac:dyDescent="0.25">
      <c r="A1067" s="2" t="s">
        <v>1313</v>
      </c>
      <c r="B1067" s="4">
        <v>45946</v>
      </c>
      <c r="C1067" s="2" t="s">
        <v>102</v>
      </c>
      <c r="D1067" s="2" t="str">
        <f>TEXT(Table1[[#This Row],[Order Date]],"mmmm")</f>
        <v>October</v>
      </c>
      <c r="E1067" s="2" t="s">
        <v>66</v>
      </c>
      <c r="F1067" s="2">
        <v>3</v>
      </c>
      <c r="G1067" s="5">
        <v>0.1</v>
      </c>
      <c r="H1067" s="2" t="s">
        <v>30</v>
      </c>
      <c r="I1067" s="2" t="s">
        <v>31</v>
      </c>
      <c r="J1067" s="2" t="s">
        <v>21</v>
      </c>
      <c r="K1067">
        <f>VLOOKUP(E1067,Products!$A$2:$E$23,5,0)</f>
        <v>1299</v>
      </c>
      <c r="L1067">
        <f>VLOOKUP(E1067,Products!$A$2:$E$23,4,0)</f>
        <v>800</v>
      </c>
      <c r="M1067" s="2">
        <f>K1067*F1067-Table1[[#This Row],[discount_amount]]</f>
        <v>3507.3</v>
      </c>
      <c r="N1067">
        <f t="shared" si="33"/>
        <v>2400</v>
      </c>
      <c r="O1067">
        <f t="shared" si="32"/>
        <v>1107.3000000000002</v>
      </c>
      <c r="P1067">
        <f>Table1[[#This Row],[Quantity]]*Table1[[#This Row],[unit_price]]*Table1[[#This Row],[Discount]]</f>
        <v>389.70000000000005</v>
      </c>
      <c r="Q1067" t="str">
        <f>VLOOKUP(E1067,Products!$A$2:$E$23,2,0)</f>
        <v>Power Bank 10000mAh</v>
      </c>
      <c r="R1067" t="str">
        <f>VLOOKUP(Table1[[#This Row],[Product ID]],Products!$A$2:$E$23,3,0)</f>
        <v>Electronics</v>
      </c>
      <c r="S1067" t="str">
        <f>VLOOKUP(C1067,Customers!$A$2:$F$201,4,0)</f>
        <v>Madhya Pradesh</v>
      </c>
      <c r="T1067" t="str">
        <f>VLOOKUP(Table1[[#This Row],[Customer ID]],Customers!$A$2:$F$201,5,0)</f>
        <v>Central</v>
      </c>
      <c r="U1067" t="str">
        <f>VLOOKUP(Table1[[#This Row],[Customer ID]],Customers!$A$2:$F$201,6,0)</f>
        <v>Consumer</v>
      </c>
      <c r="V1067" t="str">
        <f>TEXT(Table1[[#This Row],[Order Date]],"MMM")</f>
        <v>Oct</v>
      </c>
      <c r="W1067" t="str">
        <f>TEXT(Table1[[#This Row],[Order Date]],"yyyy")</f>
        <v>2025</v>
      </c>
    </row>
    <row r="1068" spans="1:23" x14ac:dyDescent="0.25">
      <c r="A1068" s="2" t="s">
        <v>1314</v>
      </c>
      <c r="B1068" s="4">
        <v>45946</v>
      </c>
      <c r="C1068" s="2" t="s">
        <v>806</v>
      </c>
      <c r="D1068" s="2" t="str">
        <f>TEXT(Table1[[#This Row],[Order Date]],"mmmm")</f>
        <v>October</v>
      </c>
      <c r="E1068" s="2" t="s">
        <v>91</v>
      </c>
      <c r="F1068" s="2">
        <v>4</v>
      </c>
      <c r="G1068" s="5">
        <v>0.1</v>
      </c>
      <c r="H1068" s="2" t="s">
        <v>30</v>
      </c>
      <c r="I1068" s="2" t="s">
        <v>38</v>
      </c>
      <c r="J1068" s="2" t="s">
        <v>21</v>
      </c>
      <c r="K1068">
        <f>VLOOKUP(E1068,Products!$A$2:$E$23,5,0)</f>
        <v>1199</v>
      </c>
      <c r="L1068">
        <f>VLOOKUP(E1068,Products!$A$2:$E$23,4,0)</f>
        <v>600</v>
      </c>
      <c r="M1068" s="2">
        <f>K1068*F1068-Table1[[#This Row],[discount_amount]]</f>
        <v>4316.3999999999996</v>
      </c>
      <c r="N1068">
        <f t="shared" si="33"/>
        <v>2400</v>
      </c>
      <c r="O1068">
        <f t="shared" si="32"/>
        <v>1916.3999999999996</v>
      </c>
      <c r="P1068">
        <f>Table1[[#This Row],[Quantity]]*Table1[[#This Row],[unit_price]]*Table1[[#This Row],[Discount]]</f>
        <v>479.6</v>
      </c>
      <c r="Q1068" t="str">
        <f>VLOOKUP(E1068,Products!$A$2:$E$23,2,0)</f>
        <v>Formal Shirt</v>
      </c>
      <c r="R1068" t="str">
        <f>VLOOKUP(Table1[[#This Row],[Product ID]],Products!$A$2:$E$23,3,0)</f>
        <v>Clothing</v>
      </c>
      <c r="S1068" t="str">
        <f>VLOOKUP(C1068,Customers!$A$2:$F$201,4,0)</f>
        <v>Madhya Pradesh</v>
      </c>
      <c r="T1068" t="str">
        <f>VLOOKUP(Table1[[#This Row],[Customer ID]],Customers!$A$2:$F$201,5,0)</f>
        <v>Central</v>
      </c>
      <c r="U1068" t="str">
        <f>VLOOKUP(Table1[[#This Row],[Customer ID]],Customers!$A$2:$F$201,6,0)</f>
        <v>Consumer</v>
      </c>
      <c r="V1068" t="str">
        <f>TEXT(Table1[[#This Row],[Order Date]],"MMM")</f>
        <v>Oct</v>
      </c>
      <c r="W1068" t="str">
        <f>TEXT(Table1[[#This Row],[Order Date]],"yyyy")</f>
        <v>2025</v>
      </c>
    </row>
    <row r="1069" spans="1:23" x14ac:dyDescent="0.25">
      <c r="A1069" s="2" t="s">
        <v>1315</v>
      </c>
      <c r="B1069" s="4">
        <v>45947</v>
      </c>
      <c r="C1069" s="2" t="s">
        <v>615</v>
      </c>
      <c r="D1069" s="2" t="str">
        <f>TEXT(Table1[[#This Row],[Order Date]],"mmmm")</f>
        <v>October</v>
      </c>
      <c r="E1069" s="2" t="s">
        <v>66</v>
      </c>
      <c r="F1069" s="2">
        <v>1</v>
      </c>
      <c r="G1069" s="5">
        <v>0.05</v>
      </c>
      <c r="H1069" s="2" t="s">
        <v>19</v>
      </c>
      <c r="I1069" s="2" t="s">
        <v>31</v>
      </c>
      <c r="J1069" s="2" t="s">
        <v>21</v>
      </c>
      <c r="K1069">
        <f>VLOOKUP(E1069,Products!$A$2:$E$23,5,0)</f>
        <v>1299</v>
      </c>
      <c r="L1069">
        <f>VLOOKUP(E1069,Products!$A$2:$E$23,4,0)</f>
        <v>800</v>
      </c>
      <c r="M1069" s="2">
        <f>K1069*F1069-Table1[[#This Row],[discount_amount]]</f>
        <v>1234.05</v>
      </c>
      <c r="N1069">
        <f t="shared" si="33"/>
        <v>800</v>
      </c>
      <c r="O1069">
        <f t="shared" si="32"/>
        <v>434.04999999999995</v>
      </c>
      <c r="P1069">
        <f>Table1[[#This Row],[Quantity]]*Table1[[#This Row],[unit_price]]*Table1[[#This Row],[Discount]]</f>
        <v>64.95</v>
      </c>
      <c r="Q1069" t="str">
        <f>VLOOKUP(E1069,Products!$A$2:$E$23,2,0)</f>
        <v>Power Bank 10000mAh</v>
      </c>
      <c r="R1069" t="str">
        <f>VLOOKUP(Table1[[#This Row],[Product ID]],Products!$A$2:$E$23,3,0)</f>
        <v>Electronics</v>
      </c>
      <c r="S1069" t="str">
        <f>VLOOKUP(C1069,Customers!$A$2:$F$201,4,0)</f>
        <v>Delhi</v>
      </c>
      <c r="T1069" t="str">
        <f>VLOOKUP(Table1[[#This Row],[Customer ID]],Customers!$A$2:$F$201,5,0)</f>
        <v>North</v>
      </c>
      <c r="U1069" t="str">
        <f>VLOOKUP(Table1[[#This Row],[Customer ID]],Customers!$A$2:$F$201,6,0)</f>
        <v>Corporate</v>
      </c>
      <c r="V1069" t="str">
        <f>TEXT(Table1[[#This Row],[Order Date]],"MMM")</f>
        <v>Oct</v>
      </c>
      <c r="W1069" t="str">
        <f>TEXT(Table1[[#This Row],[Order Date]],"yyyy")</f>
        <v>2025</v>
      </c>
    </row>
    <row r="1070" spans="1:23" x14ac:dyDescent="0.25">
      <c r="A1070" s="2" t="s">
        <v>1316</v>
      </c>
      <c r="B1070" s="4">
        <v>45948</v>
      </c>
      <c r="C1070" s="2" t="s">
        <v>413</v>
      </c>
      <c r="D1070" s="2" t="str">
        <f>TEXT(Table1[[#This Row],[Order Date]],"mmmm")</f>
        <v>October</v>
      </c>
      <c r="E1070" s="2" t="s">
        <v>111</v>
      </c>
      <c r="F1070" s="2">
        <v>12</v>
      </c>
      <c r="G1070" s="5">
        <v>0</v>
      </c>
      <c r="H1070" s="2" t="s">
        <v>25</v>
      </c>
      <c r="I1070" s="2" t="s">
        <v>20</v>
      </c>
      <c r="J1070" s="2" t="s">
        <v>21</v>
      </c>
      <c r="K1070">
        <f>VLOOKUP(E1070,Products!$A$2:$E$23,5,0)</f>
        <v>240</v>
      </c>
      <c r="L1070">
        <f>VLOOKUP(E1070,Products!$A$2:$E$23,4,0)</f>
        <v>140</v>
      </c>
      <c r="M1070" s="2">
        <f>K1070*F1070-Table1[[#This Row],[discount_amount]]</f>
        <v>2880</v>
      </c>
      <c r="N1070">
        <f t="shared" si="33"/>
        <v>1680</v>
      </c>
      <c r="O1070">
        <f t="shared" si="32"/>
        <v>1200</v>
      </c>
      <c r="P1070">
        <f>Table1[[#This Row],[Quantity]]*Table1[[#This Row],[unit_price]]*Table1[[#This Row],[Discount]]</f>
        <v>0</v>
      </c>
      <c r="Q1070" t="str">
        <f>VLOOKUP(E1070,Products!$A$2:$E$23,2,0)</f>
        <v>Whiteboard Marker Set</v>
      </c>
      <c r="R1070" t="str">
        <f>VLOOKUP(Table1[[#This Row],[Product ID]],Products!$A$2:$E$23,3,0)</f>
        <v>Office Supplies</v>
      </c>
      <c r="S1070" t="str">
        <f>VLOOKUP(C1070,Customers!$A$2:$F$201,4,0)</f>
        <v>Karnataka</v>
      </c>
      <c r="T1070" t="str">
        <f>VLOOKUP(Table1[[#This Row],[Customer ID]],Customers!$A$2:$F$201,5,0)</f>
        <v>South</v>
      </c>
      <c r="U1070" t="str">
        <f>VLOOKUP(Table1[[#This Row],[Customer ID]],Customers!$A$2:$F$201,6,0)</f>
        <v>Corporate</v>
      </c>
      <c r="V1070" t="str">
        <f>TEXT(Table1[[#This Row],[Order Date]],"MMM")</f>
        <v>Oct</v>
      </c>
      <c r="W1070" t="str">
        <f>TEXT(Table1[[#This Row],[Order Date]],"yyyy")</f>
        <v>2025</v>
      </c>
    </row>
    <row r="1071" spans="1:23" x14ac:dyDescent="0.25">
      <c r="A1071" s="2" t="s">
        <v>1317</v>
      </c>
      <c r="B1071" s="4">
        <v>45949</v>
      </c>
      <c r="C1071" s="2" t="s">
        <v>490</v>
      </c>
      <c r="D1071" s="2" t="str">
        <f>TEXT(Table1[[#This Row],[Order Date]],"mmmm")</f>
        <v>October</v>
      </c>
      <c r="E1071" s="2" t="s">
        <v>41</v>
      </c>
      <c r="F1071" s="2">
        <v>3</v>
      </c>
      <c r="G1071" s="5">
        <v>0.05</v>
      </c>
      <c r="H1071" s="2" t="s">
        <v>30</v>
      </c>
      <c r="I1071" s="2" t="s">
        <v>20</v>
      </c>
      <c r="J1071" s="2" t="s">
        <v>21</v>
      </c>
      <c r="K1071">
        <f>VLOOKUP(E1071,Products!$A$2:$E$23,5,0)</f>
        <v>320</v>
      </c>
      <c r="L1071">
        <f>VLOOKUP(E1071,Products!$A$2:$E$23,4,0)</f>
        <v>220</v>
      </c>
      <c r="M1071" s="2">
        <f>K1071*F1071-Table1[[#This Row],[discount_amount]]</f>
        <v>912</v>
      </c>
      <c r="N1071">
        <f t="shared" si="33"/>
        <v>660</v>
      </c>
      <c r="O1071">
        <f t="shared" si="32"/>
        <v>252</v>
      </c>
      <c r="P1071">
        <f>Table1[[#This Row],[Quantity]]*Table1[[#This Row],[unit_price]]*Table1[[#This Row],[Discount]]</f>
        <v>48</v>
      </c>
      <c r="Q1071" t="str">
        <f>VLOOKUP(E1071,Products!$A$2:$E$23,2,0)</f>
        <v>A4 Paper Ream</v>
      </c>
      <c r="R1071" t="str">
        <f>VLOOKUP(Table1[[#This Row],[Product ID]],Products!$A$2:$E$23,3,0)</f>
        <v>Office Supplies</v>
      </c>
      <c r="S1071" t="str">
        <f>VLOOKUP(C1071,Customers!$A$2:$F$201,4,0)</f>
        <v>West Bengal</v>
      </c>
      <c r="T1071" t="str">
        <f>VLOOKUP(Table1[[#This Row],[Customer ID]],Customers!$A$2:$F$201,5,0)</f>
        <v>East</v>
      </c>
      <c r="U1071" t="str">
        <f>VLOOKUP(Table1[[#This Row],[Customer ID]],Customers!$A$2:$F$201,6,0)</f>
        <v>Consumer</v>
      </c>
      <c r="V1071" t="str">
        <f>TEXT(Table1[[#This Row],[Order Date]],"MMM")</f>
        <v>Oct</v>
      </c>
      <c r="W1071" t="str">
        <f>TEXT(Table1[[#This Row],[Order Date]],"yyyy")</f>
        <v>2025</v>
      </c>
    </row>
    <row r="1072" spans="1:23" x14ac:dyDescent="0.25">
      <c r="A1072" s="2" t="s">
        <v>1318</v>
      </c>
      <c r="B1072" s="4">
        <v>45950</v>
      </c>
      <c r="C1072" s="2" t="s">
        <v>676</v>
      </c>
      <c r="D1072" s="2" t="str">
        <f>TEXT(Table1[[#This Row],[Order Date]],"mmmm")</f>
        <v>October</v>
      </c>
      <c r="E1072" s="2" t="s">
        <v>73</v>
      </c>
      <c r="F1072" s="2">
        <v>5</v>
      </c>
      <c r="G1072" s="5">
        <v>0</v>
      </c>
      <c r="H1072" s="2" t="s">
        <v>25</v>
      </c>
      <c r="I1072" s="2" t="s">
        <v>31</v>
      </c>
      <c r="J1072" s="2" t="s">
        <v>21</v>
      </c>
      <c r="K1072">
        <f>VLOOKUP(E1072,Products!$A$2:$E$23,5,0)</f>
        <v>6499</v>
      </c>
      <c r="L1072">
        <f>VLOOKUP(E1072,Products!$A$2:$E$23,4,0)</f>
        <v>4200</v>
      </c>
      <c r="M1072" s="2">
        <f>K1072*F1072-Table1[[#This Row],[discount_amount]]</f>
        <v>32495</v>
      </c>
      <c r="N1072">
        <f t="shared" si="33"/>
        <v>21000</v>
      </c>
      <c r="O1072">
        <f t="shared" si="32"/>
        <v>11495</v>
      </c>
      <c r="P1072">
        <f>Table1[[#This Row],[Quantity]]*Table1[[#This Row],[unit_price]]*Table1[[#This Row],[Discount]]</f>
        <v>0</v>
      </c>
      <c r="Q1072" t="str">
        <f>VLOOKUP(E1072,Products!$A$2:$E$23,2,0)</f>
        <v>Study Table</v>
      </c>
      <c r="R1072" t="str">
        <f>VLOOKUP(Table1[[#This Row],[Product ID]],Products!$A$2:$E$23,3,0)</f>
        <v>Furniture</v>
      </c>
      <c r="S1072" t="str">
        <f>VLOOKUP(C1072,Customers!$A$2:$F$201,4,0)</f>
        <v>Tamil Nadu</v>
      </c>
      <c r="T1072" t="str">
        <f>VLOOKUP(Table1[[#This Row],[Customer ID]],Customers!$A$2:$F$201,5,0)</f>
        <v>South</v>
      </c>
      <c r="U1072" t="str">
        <f>VLOOKUP(Table1[[#This Row],[Customer ID]],Customers!$A$2:$F$201,6,0)</f>
        <v>Consumer</v>
      </c>
      <c r="V1072" t="str">
        <f>TEXT(Table1[[#This Row],[Order Date]],"MMM")</f>
        <v>Oct</v>
      </c>
      <c r="W1072" t="str">
        <f>TEXT(Table1[[#This Row],[Order Date]],"yyyy")</f>
        <v>2025</v>
      </c>
    </row>
    <row r="1073" spans="1:23" x14ac:dyDescent="0.25">
      <c r="A1073" s="2" t="s">
        <v>1319</v>
      </c>
      <c r="B1073" s="4">
        <v>45950</v>
      </c>
      <c r="C1073" s="2" t="s">
        <v>203</v>
      </c>
      <c r="D1073" s="2" t="str">
        <f>TEXT(Table1[[#This Row],[Order Date]],"mmmm")</f>
        <v>October</v>
      </c>
      <c r="E1073" s="2" t="s">
        <v>155</v>
      </c>
      <c r="F1073" s="2">
        <v>1</v>
      </c>
      <c r="G1073" s="5">
        <v>0.15</v>
      </c>
      <c r="H1073" s="2" t="s">
        <v>25</v>
      </c>
      <c r="I1073" s="2" t="s">
        <v>31</v>
      </c>
      <c r="J1073" s="2" t="s">
        <v>21</v>
      </c>
      <c r="K1073">
        <f>VLOOKUP(E1073,Products!$A$2:$E$23,5,0)</f>
        <v>1599</v>
      </c>
      <c r="L1073">
        <f>VLOOKUP(E1073,Products!$A$2:$E$23,4,0)</f>
        <v>900</v>
      </c>
      <c r="M1073" s="2">
        <f>K1073*F1073-Table1[[#This Row],[discount_amount]]</f>
        <v>1359.15</v>
      </c>
      <c r="N1073">
        <f t="shared" si="33"/>
        <v>900</v>
      </c>
      <c r="O1073">
        <f t="shared" si="32"/>
        <v>459.15000000000009</v>
      </c>
      <c r="P1073">
        <f>Table1[[#This Row],[Quantity]]*Table1[[#This Row],[unit_price]]*Table1[[#This Row],[Discount]]</f>
        <v>239.85</v>
      </c>
      <c r="Q1073" t="str">
        <f>VLOOKUP(E1073,Products!$A$2:$E$23,2,0)</f>
        <v>Headphones</v>
      </c>
      <c r="R1073" t="str">
        <f>VLOOKUP(Table1[[#This Row],[Product ID]],Products!$A$2:$E$23,3,0)</f>
        <v>Electronics</v>
      </c>
      <c r="S1073" t="str">
        <f>VLOOKUP(C1073,Customers!$A$2:$F$201,4,0)</f>
        <v>Kerala</v>
      </c>
      <c r="T1073" t="str">
        <f>VLOOKUP(Table1[[#This Row],[Customer ID]],Customers!$A$2:$F$201,5,0)</f>
        <v>South</v>
      </c>
      <c r="U1073" t="str">
        <f>VLOOKUP(Table1[[#This Row],[Customer ID]],Customers!$A$2:$F$201,6,0)</f>
        <v>Corporate</v>
      </c>
      <c r="V1073" t="str">
        <f>TEXT(Table1[[#This Row],[Order Date]],"MMM")</f>
        <v>Oct</v>
      </c>
      <c r="W1073" t="str">
        <f>TEXT(Table1[[#This Row],[Order Date]],"yyyy")</f>
        <v>2025</v>
      </c>
    </row>
    <row r="1074" spans="1:23" x14ac:dyDescent="0.25">
      <c r="A1074" s="2" t="s">
        <v>1320</v>
      </c>
      <c r="B1074" s="4">
        <v>45950</v>
      </c>
      <c r="C1074" s="2" t="s">
        <v>353</v>
      </c>
      <c r="D1074" s="2" t="str">
        <f>TEXT(Table1[[#This Row],[Order Date]],"mmmm")</f>
        <v>October</v>
      </c>
      <c r="E1074" s="2" t="s">
        <v>34</v>
      </c>
      <c r="F1074" s="2">
        <v>2</v>
      </c>
      <c r="G1074" s="5">
        <v>0.1</v>
      </c>
      <c r="H1074" s="2" t="s">
        <v>19</v>
      </c>
      <c r="I1074" s="2" t="s">
        <v>20</v>
      </c>
      <c r="J1074" s="2" t="s">
        <v>79</v>
      </c>
      <c r="K1074">
        <f>VLOOKUP(E1074,Products!$A$2:$E$23,5,0)</f>
        <v>4599</v>
      </c>
      <c r="L1074">
        <f>VLOOKUP(E1074,Products!$A$2:$E$23,4,0)</f>
        <v>3000</v>
      </c>
      <c r="M1074" s="2">
        <f>K1074*F1074-Table1[[#This Row],[discount_amount]]</f>
        <v>8278.2000000000007</v>
      </c>
      <c r="N1074">
        <f t="shared" si="33"/>
        <v>6000</v>
      </c>
      <c r="O1074">
        <f t="shared" si="32"/>
        <v>2278.2000000000007</v>
      </c>
      <c r="P1074">
        <f>Table1[[#This Row],[Quantity]]*Table1[[#This Row],[unit_price]]*Table1[[#This Row],[Discount]]</f>
        <v>919.80000000000007</v>
      </c>
      <c r="Q1074" t="str">
        <f>VLOOKUP(E1074,Products!$A$2:$E$23,2,0)</f>
        <v>Filing Cabinet</v>
      </c>
      <c r="R1074" t="str">
        <f>VLOOKUP(Table1[[#This Row],[Product ID]],Products!$A$2:$E$23,3,0)</f>
        <v>Furniture</v>
      </c>
      <c r="S1074" t="str">
        <f>VLOOKUP(C1074,Customers!$A$2:$F$201,4,0)</f>
        <v>Maharashtra</v>
      </c>
      <c r="T1074" t="str">
        <f>VLOOKUP(Table1[[#This Row],[Customer ID]],Customers!$A$2:$F$201,5,0)</f>
        <v>West</v>
      </c>
      <c r="U1074" t="str">
        <f>VLOOKUP(Table1[[#This Row],[Customer ID]],Customers!$A$2:$F$201,6,0)</f>
        <v>Corporate</v>
      </c>
      <c r="V1074" t="str">
        <f>TEXT(Table1[[#This Row],[Order Date]],"MMM")</f>
        <v>Oct</v>
      </c>
      <c r="W1074" t="str">
        <f>TEXT(Table1[[#This Row],[Order Date]],"yyyy")</f>
        <v>2025</v>
      </c>
    </row>
    <row r="1075" spans="1:23" x14ac:dyDescent="0.25">
      <c r="A1075" s="2" t="s">
        <v>1321</v>
      </c>
      <c r="B1075" s="4">
        <v>45950</v>
      </c>
      <c r="C1075" s="2" t="s">
        <v>17</v>
      </c>
      <c r="D1075" s="2" t="str">
        <f>TEXT(Table1[[#This Row],[Order Date]],"mmmm")</f>
        <v>October</v>
      </c>
      <c r="E1075" s="2" t="s">
        <v>121</v>
      </c>
      <c r="F1075" s="2">
        <v>4</v>
      </c>
      <c r="G1075" s="5">
        <v>0.1</v>
      </c>
      <c r="H1075" s="2" t="s">
        <v>19</v>
      </c>
      <c r="I1075" s="2" t="s">
        <v>20</v>
      </c>
      <c r="J1075" s="2" t="s">
        <v>21</v>
      </c>
      <c r="K1075">
        <f>VLOOKUP(E1075,Products!$A$2:$E$23,5,0)</f>
        <v>499</v>
      </c>
      <c r="L1075">
        <f>VLOOKUP(E1075,Products!$A$2:$E$23,4,0)</f>
        <v>250</v>
      </c>
      <c r="M1075" s="2">
        <f>K1075*F1075-Table1[[#This Row],[discount_amount]]</f>
        <v>1796.4</v>
      </c>
      <c r="N1075">
        <f t="shared" si="33"/>
        <v>1000</v>
      </c>
      <c r="O1075">
        <f t="shared" si="32"/>
        <v>796.40000000000009</v>
      </c>
      <c r="P1075">
        <f>Table1[[#This Row],[Quantity]]*Table1[[#This Row],[unit_price]]*Table1[[#This Row],[Discount]]</f>
        <v>199.60000000000002</v>
      </c>
      <c r="Q1075" t="str">
        <f>VLOOKUP(E1075,Products!$A$2:$E$23,2,0)</f>
        <v>Cotton T-Shirt</v>
      </c>
      <c r="R1075" t="str">
        <f>VLOOKUP(Table1[[#This Row],[Product ID]],Products!$A$2:$E$23,3,0)</f>
        <v>Clothing</v>
      </c>
      <c r="S1075" t="str">
        <f>VLOOKUP(C1075,Customers!$A$2:$F$201,4,0)</f>
        <v>Madhya Pradesh</v>
      </c>
      <c r="T1075" t="str">
        <f>VLOOKUP(Table1[[#This Row],[Customer ID]],Customers!$A$2:$F$201,5,0)</f>
        <v>Central</v>
      </c>
      <c r="U1075" t="str">
        <f>VLOOKUP(Table1[[#This Row],[Customer ID]],Customers!$A$2:$F$201,6,0)</f>
        <v>Corporate</v>
      </c>
      <c r="V1075" t="str">
        <f>TEXT(Table1[[#This Row],[Order Date]],"MMM")</f>
        <v>Oct</v>
      </c>
      <c r="W1075" t="str">
        <f>TEXT(Table1[[#This Row],[Order Date]],"yyyy")</f>
        <v>2025</v>
      </c>
    </row>
    <row r="1076" spans="1:23" x14ac:dyDescent="0.25">
      <c r="A1076" s="2" t="s">
        <v>1322</v>
      </c>
      <c r="B1076" s="4">
        <v>45950</v>
      </c>
      <c r="C1076" s="2" t="s">
        <v>310</v>
      </c>
      <c r="D1076" s="2" t="str">
        <f>TEXT(Table1[[#This Row],[Order Date]],"mmmm")</f>
        <v>October</v>
      </c>
      <c r="E1076" s="2" t="s">
        <v>54</v>
      </c>
      <c r="F1076" s="2">
        <v>3</v>
      </c>
      <c r="G1076" s="5">
        <v>0.05</v>
      </c>
      <c r="H1076" s="2" t="s">
        <v>30</v>
      </c>
      <c r="I1076" s="2" t="s">
        <v>20</v>
      </c>
      <c r="J1076" s="2" t="s">
        <v>21</v>
      </c>
      <c r="K1076">
        <f>VLOOKUP(E1076,Products!$A$2:$E$23,5,0)</f>
        <v>299</v>
      </c>
      <c r="L1076">
        <f>VLOOKUP(E1076,Products!$A$2:$E$23,4,0)</f>
        <v>180</v>
      </c>
      <c r="M1076" s="2">
        <f>K1076*F1076-Table1[[#This Row],[discount_amount]]</f>
        <v>852.15</v>
      </c>
      <c r="N1076">
        <f t="shared" si="33"/>
        <v>540</v>
      </c>
      <c r="O1076">
        <f t="shared" si="32"/>
        <v>312.14999999999998</v>
      </c>
      <c r="P1076">
        <f>Table1[[#This Row],[Quantity]]*Table1[[#This Row],[unit_price]]*Table1[[#This Row],[Discount]]</f>
        <v>44.85</v>
      </c>
      <c r="Q1076" t="str">
        <f>VLOOKUP(E1076,Products!$A$2:$E$23,2,0)</f>
        <v>Notebook Pack of 5</v>
      </c>
      <c r="R1076" t="str">
        <f>VLOOKUP(Table1[[#This Row],[Product ID]],Products!$A$2:$E$23,3,0)</f>
        <v>Office Supplies</v>
      </c>
      <c r="S1076" t="str">
        <f>VLOOKUP(C1076,Customers!$A$2:$F$201,4,0)</f>
        <v>Odisha</v>
      </c>
      <c r="T1076" t="str">
        <f>VLOOKUP(Table1[[#This Row],[Customer ID]],Customers!$A$2:$F$201,5,0)</f>
        <v>East</v>
      </c>
      <c r="U1076" t="str">
        <f>VLOOKUP(Table1[[#This Row],[Customer ID]],Customers!$A$2:$F$201,6,0)</f>
        <v>Consumer</v>
      </c>
      <c r="V1076" t="str">
        <f>TEXT(Table1[[#This Row],[Order Date]],"MMM")</f>
        <v>Oct</v>
      </c>
      <c r="W1076" t="str">
        <f>TEXT(Table1[[#This Row],[Order Date]],"yyyy")</f>
        <v>2025</v>
      </c>
    </row>
    <row r="1077" spans="1:23" x14ac:dyDescent="0.25">
      <c r="A1077" s="2" t="s">
        <v>1323</v>
      </c>
      <c r="B1077" s="4">
        <v>45952</v>
      </c>
      <c r="C1077" s="2" t="s">
        <v>587</v>
      </c>
      <c r="D1077" s="2" t="str">
        <f>TEXT(Table1[[#This Row],[Order Date]],"mmmm")</f>
        <v>October</v>
      </c>
      <c r="E1077" s="2" t="s">
        <v>118</v>
      </c>
      <c r="F1077" s="2">
        <v>5</v>
      </c>
      <c r="G1077" s="5">
        <v>0</v>
      </c>
      <c r="H1077" s="2" t="s">
        <v>30</v>
      </c>
      <c r="I1077" s="2" t="s">
        <v>46</v>
      </c>
      <c r="J1077" s="2" t="s">
        <v>21</v>
      </c>
      <c r="K1077">
        <f>VLOOKUP(E1077,Products!$A$2:$E$23,5,0)</f>
        <v>150</v>
      </c>
      <c r="L1077">
        <f>VLOOKUP(E1077,Products!$A$2:$E$23,4,0)</f>
        <v>90</v>
      </c>
      <c r="M1077" s="2">
        <f>K1077*F1077-Table1[[#This Row],[discount_amount]]</f>
        <v>750</v>
      </c>
      <c r="N1077">
        <f t="shared" si="33"/>
        <v>450</v>
      </c>
      <c r="O1077">
        <f t="shared" si="32"/>
        <v>300</v>
      </c>
      <c r="P1077">
        <f>Table1[[#This Row],[Quantity]]*Table1[[#This Row],[unit_price]]*Table1[[#This Row],[Discount]]</f>
        <v>0</v>
      </c>
      <c r="Q1077" t="str">
        <f>VLOOKUP(E1077,Products!$A$2:$E$23,2,0)</f>
        <v>Gel Pen Box</v>
      </c>
      <c r="R1077" t="str">
        <f>VLOOKUP(Table1[[#This Row],[Product ID]],Products!$A$2:$E$23,3,0)</f>
        <v>Office Supplies</v>
      </c>
      <c r="S1077" t="str">
        <f>VLOOKUP(C1077,Customers!$A$2:$F$201,4,0)</f>
        <v>Karnataka</v>
      </c>
      <c r="T1077" t="str">
        <f>VLOOKUP(Table1[[#This Row],[Customer ID]],Customers!$A$2:$F$201,5,0)</f>
        <v>South</v>
      </c>
      <c r="U1077" t="str">
        <f>VLOOKUP(Table1[[#This Row],[Customer ID]],Customers!$A$2:$F$201,6,0)</f>
        <v>Corporate</v>
      </c>
      <c r="V1077" t="str">
        <f>TEXT(Table1[[#This Row],[Order Date]],"MMM")</f>
        <v>Oct</v>
      </c>
      <c r="W1077" t="str">
        <f>TEXT(Table1[[#This Row],[Order Date]],"yyyy")</f>
        <v>2025</v>
      </c>
    </row>
    <row r="1078" spans="1:23" x14ac:dyDescent="0.25">
      <c r="A1078" s="2" t="s">
        <v>1324</v>
      </c>
      <c r="B1078" s="4">
        <v>45952</v>
      </c>
      <c r="C1078" s="2" t="s">
        <v>788</v>
      </c>
      <c r="D1078" s="2" t="str">
        <f>TEXT(Table1[[#This Row],[Order Date]],"mmmm")</f>
        <v>October</v>
      </c>
      <c r="E1078" s="2" t="s">
        <v>24</v>
      </c>
      <c r="F1078" s="2">
        <v>6</v>
      </c>
      <c r="G1078" s="5">
        <v>0.05</v>
      </c>
      <c r="H1078" s="2" t="s">
        <v>25</v>
      </c>
      <c r="I1078" s="2" t="s">
        <v>46</v>
      </c>
      <c r="J1078" s="2" t="s">
        <v>21</v>
      </c>
      <c r="K1078">
        <f>VLOOKUP(E1078,Products!$A$2:$E$23,5,0)</f>
        <v>899</v>
      </c>
      <c r="L1078">
        <f>VLOOKUP(E1078,Products!$A$2:$E$23,4,0)</f>
        <v>500</v>
      </c>
      <c r="M1078" s="2">
        <f>K1078*F1078-Table1[[#This Row],[discount_amount]]</f>
        <v>5124.3</v>
      </c>
      <c r="N1078">
        <f t="shared" si="33"/>
        <v>3000</v>
      </c>
      <c r="O1078">
        <f t="shared" si="32"/>
        <v>2124.3000000000002</v>
      </c>
      <c r="P1078">
        <f>Table1[[#This Row],[Quantity]]*Table1[[#This Row],[unit_price]]*Table1[[#This Row],[Discount]]</f>
        <v>269.7</v>
      </c>
      <c r="Q1078" t="str">
        <f>VLOOKUP(E1078,Products!$A$2:$E$23,2,0)</f>
        <v>Monitor Stand</v>
      </c>
      <c r="R1078" t="str">
        <f>VLOOKUP(Table1[[#This Row],[Product ID]],Products!$A$2:$E$23,3,0)</f>
        <v>Furniture</v>
      </c>
      <c r="S1078" t="str">
        <f>VLOOKUP(C1078,Customers!$A$2:$F$201,4,0)</f>
        <v>Uttar Pradesh</v>
      </c>
      <c r="T1078" t="str">
        <f>VLOOKUP(Table1[[#This Row],[Customer ID]],Customers!$A$2:$F$201,5,0)</f>
        <v>North</v>
      </c>
      <c r="U1078" t="str">
        <f>VLOOKUP(Table1[[#This Row],[Customer ID]],Customers!$A$2:$F$201,6,0)</f>
        <v>Home Office</v>
      </c>
      <c r="V1078" t="str">
        <f>TEXT(Table1[[#This Row],[Order Date]],"MMM")</f>
        <v>Oct</v>
      </c>
      <c r="W1078" t="str">
        <f>TEXT(Table1[[#This Row],[Order Date]],"yyyy")</f>
        <v>2025</v>
      </c>
    </row>
    <row r="1079" spans="1:23" x14ac:dyDescent="0.25">
      <c r="A1079" s="2" t="s">
        <v>1325</v>
      </c>
      <c r="B1079" s="4">
        <v>45952</v>
      </c>
      <c r="C1079" s="2" t="s">
        <v>341</v>
      </c>
      <c r="D1079" s="2" t="str">
        <f>TEXT(Table1[[#This Row],[Order Date]],"mmmm")</f>
        <v>October</v>
      </c>
      <c r="E1079" s="2" t="s">
        <v>54</v>
      </c>
      <c r="F1079" s="2">
        <v>6</v>
      </c>
      <c r="G1079" s="5">
        <v>0.1</v>
      </c>
      <c r="H1079" s="2" t="s">
        <v>30</v>
      </c>
      <c r="I1079" s="2" t="s">
        <v>31</v>
      </c>
      <c r="J1079" s="2" t="s">
        <v>21</v>
      </c>
      <c r="K1079">
        <f>VLOOKUP(E1079,Products!$A$2:$E$23,5,0)</f>
        <v>299</v>
      </c>
      <c r="L1079">
        <f>VLOOKUP(E1079,Products!$A$2:$E$23,4,0)</f>
        <v>180</v>
      </c>
      <c r="M1079" s="2">
        <f>K1079*F1079-Table1[[#This Row],[discount_amount]]</f>
        <v>1614.6</v>
      </c>
      <c r="N1079">
        <f t="shared" si="33"/>
        <v>1080</v>
      </c>
      <c r="O1079">
        <f t="shared" si="32"/>
        <v>534.59999999999991</v>
      </c>
      <c r="P1079">
        <f>Table1[[#This Row],[Quantity]]*Table1[[#This Row],[unit_price]]*Table1[[#This Row],[Discount]]</f>
        <v>179.4</v>
      </c>
      <c r="Q1079" t="str">
        <f>VLOOKUP(E1079,Products!$A$2:$E$23,2,0)</f>
        <v>Notebook Pack of 5</v>
      </c>
      <c r="R1079" t="str">
        <f>VLOOKUP(Table1[[#This Row],[Product ID]],Products!$A$2:$E$23,3,0)</f>
        <v>Office Supplies</v>
      </c>
      <c r="S1079" t="str">
        <f>VLOOKUP(C1079,Customers!$A$2:$F$201,4,0)</f>
        <v>Bihar</v>
      </c>
      <c r="T1079" t="str">
        <f>VLOOKUP(Table1[[#This Row],[Customer ID]],Customers!$A$2:$F$201,5,0)</f>
        <v>East</v>
      </c>
      <c r="U1079" t="str">
        <f>VLOOKUP(Table1[[#This Row],[Customer ID]],Customers!$A$2:$F$201,6,0)</f>
        <v>Consumer</v>
      </c>
      <c r="V1079" t="str">
        <f>TEXT(Table1[[#This Row],[Order Date]],"MMM")</f>
        <v>Oct</v>
      </c>
      <c r="W1079" t="str">
        <f>TEXT(Table1[[#This Row],[Order Date]],"yyyy")</f>
        <v>2025</v>
      </c>
    </row>
    <row r="1080" spans="1:23" x14ac:dyDescent="0.25">
      <c r="A1080" s="2" t="s">
        <v>1326</v>
      </c>
      <c r="B1080" s="4">
        <v>45953</v>
      </c>
      <c r="C1080" s="2" t="s">
        <v>676</v>
      </c>
      <c r="D1080" s="2" t="str">
        <f>TEXT(Table1[[#This Row],[Order Date]],"mmmm")</f>
        <v>October</v>
      </c>
      <c r="E1080" s="2" t="s">
        <v>155</v>
      </c>
      <c r="F1080" s="2">
        <v>3</v>
      </c>
      <c r="G1080" s="5">
        <v>0.05</v>
      </c>
      <c r="H1080" s="2" t="s">
        <v>30</v>
      </c>
      <c r="I1080" s="2" t="s">
        <v>38</v>
      </c>
      <c r="J1080" s="2" t="s">
        <v>21</v>
      </c>
      <c r="K1080">
        <f>VLOOKUP(E1080,Products!$A$2:$E$23,5,0)</f>
        <v>1599</v>
      </c>
      <c r="L1080">
        <f>VLOOKUP(E1080,Products!$A$2:$E$23,4,0)</f>
        <v>900</v>
      </c>
      <c r="M1080" s="2">
        <f>K1080*F1080-Table1[[#This Row],[discount_amount]]</f>
        <v>4557.1499999999996</v>
      </c>
      <c r="N1080">
        <f t="shared" si="33"/>
        <v>2700</v>
      </c>
      <c r="O1080">
        <f t="shared" si="32"/>
        <v>1857.1499999999996</v>
      </c>
      <c r="P1080">
        <f>Table1[[#This Row],[Quantity]]*Table1[[#This Row],[unit_price]]*Table1[[#This Row],[Discount]]</f>
        <v>239.85000000000002</v>
      </c>
      <c r="Q1080" t="str">
        <f>VLOOKUP(E1080,Products!$A$2:$E$23,2,0)</f>
        <v>Headphones</v>
      </c>
      <c r="R1080" t="str">
        <f>VLOOKUP(Table1[[#This Row],[Product ID]],Products!$A$2:$E$23,3,0)</f>
        <v>Electronics</v>
      </c>
      <c r="S1080" t="str">
        <f>VLOOKUP(C1080,Customers!$A$2:$F$201,4,0)</f>
        <v>Tamil Nadu</v>
      </c>
      <c r="T1080" t="str">
        <f>VLOOKUP(Table1[[#This Row],[Customer ID]],Customers!$A$2:$F$201,5,0)</f>
        <v>South</v>
      </c>
      <c r="U1080" t="str">
        <f>VLOOKUP(Table1[[#This Row],[Customer ID]],Customers!$A$2:$F$201,6,0)</f>
        <v>Consumer</v>
      </c>
      <c r="V1080" t="str">
        <f>TEXT(Table1[[#This Row],[Order Date]],"MMM")</f>
        <v>Oct</v>
      </c>
      <c r="W1080" t="str">
        <f>TEXT(Table1[[#This Row],[Order Date]],"yyyy")</f>
        <v>2025</v>
      </c>
    </row>
    <row r="1081" spans="1:23" x14ac:dyDescent="0.25">
      <c r="A1081" s="2" t="s">
        <v>1327</v>
      </c>
      <c r="B1081" s="4">
        <v>45953</v>
      </c>
      <c r="C1081" s="2" t="s">
        <v>261</v>
      </c>
      <c r="D1081" s="2" t="str">
        <f>TEXT(Table1[[#This Row],[Order Date]],"mmmm")</f>
        <v>October</v>
      </c>
      <c r="E1081" s="2" t="s">
        <v>45</v>
      </c>
      <c r="F1081" s="2">
        <v>2</v>
      </c>
      <c r="G1081" s="5">
        <v>0</v>
      </c>
      <c r="H1081" s="2" t="s">
        <v>30</v>
      </c>
      <c r="I1081" s="2" t="s">
        <v>31</v>
      </c>
      <c r="J1081" s="2" t="s">
        <v>21</v>
      </c>
      <c r="K1081">
        <f>VLOOKUP(E1081,Products!$A$2:$E$23,5,0)</f>
        <v>899</v>
      </c>
      <c r="L1081">
        <f>VLOOKUP(E1081,Products!$A$2:$E$23,4,0)</f>
        <v>450</v>
      </c>
      <c r="M1081" s="2">
        <f>K1081*F1081-Table1[[#This Row],[discount_amount]]</f>
        <v>1798</v>
      </c>
      <c r="N1081">
        <f t="shared" si="33"/>
        <v>900</v>
      </c>
      <c r="O1081">
        <f t="shared" si="32"/>
        <v>898</v>
      </c>
      <c r="P1081">
        <f>Table1[[#This Row],[Quantity]]*Table1[[#This Row],[unit_price]]*Table1[[#This Row],[Discount]]</f>
        <v>0</v>
      </c>
      <c r="Q1081" t="str">
        <f>VLOOKUP(E1081,Products!$A$2:$E$23,2,0)</f>
        <v>Track Pants</v>
      </c>
      <c r="R1081" t="str">
        <f>VLOOKUP(Table1[[#This Row],[Product ID]],Products!$A$2:$E$23,3,0)</f>
        <v>Clothing</v>
      </c>
      <c r="S1081" t="str">
        <f>VLOOKUP(C1081,Customers!$A$2:$F$201,4,0)</f>
        <v>Odisha</v>
      </c>
      <c r="T1081" t="str">
        <f>VLOOKUP(Table1[[#This Row],[Customer ID]],Customers!$A$2:$F$201,5,0)</f>
        <v>East</v>
      </c>
      <c r="U1081" t="str">
        <f>VLOOKUP(Table1[[#This Row],[Customer ID]],Customers!$A$2:$F$201,6,0)</f>
        <v>Home Office</v>
      </c>
      <c r="V1081" t="str">
        <f>TEXT(Table1[[#This Row],[Order Date]],"MMM")</f>
        <v>Oct</v>
      </c>
      <c r="W1081" t="str">
        <f>TEXT(Table1[[#This Row],[Order Date]],"yyyy")</f>
        <v>2025</v>
      </c>
    </row>
    <row r="1082" spans="1:23" x14ac:dyDescent="0.25">
      <c r="A1082" s="2" t="s">
        <v>1328</v>
      </c>
      <c r="B1082" s="4">
        <v>45953</v>
      </c>
      <c r="C1082" s="2" t="s">
        <v>366</v>
      </c>
      <c r="D1082" s="2" t="str">
        <f>TEXT(Table1[[#This Row],[Order Date]],"mmmm")</f>
        <v>October</v>
      </c>
      <c r="E1082" s="2" t="s">
        <v>63</v>
      </c>
      <c r="F1082" s="2">
        <v>2</v>
      </c>
      <c r="G1082" s="5">
        <v>0.1</v>
      </c>
      <c r="H1082" s="2" t="s">
        <v>25</v>
      </c>
      <c r="I1082" s="2" t="s">
        <v>38</v>
      </c>
      <c r="J1082" s="2" t="s">
        <v>21</v>
      </c>
      <c r="K1082">
        <f>VLOOKUP(E1082,Products!$A$2:$E$23,5,0)</f>
        <v>5499</v>
      </c>
      <c r="L1082">
        <f>VLOOKUP(E1082,Products!$A$2:$E$23,4,0)</f>
        <v>3500</v>
      </c>
      <c r="M1082" s="2">
        <f>K1082*F1082-Table1[[#This Row],[discount_amount]]</f>
        <v>9898.2000000000007</v>
      </c>
      <c r="N1082">
        <f t="shared" si="33"/>
        <v>7000</v>
      </c>
      <c r="O1082">
        <f t="shared" si="32"/>
        <v>2898.2000000000007</v>
      </c>
      <c r="P1082">
        <f>Table1[[#This Row],[Quantity]]*Table1[[#This Row],[unit_price]]*Table1[[#This Row],[Discount]]</f>
        <v>1099.8</v>
      </c>
      <c r="Q1082" t="str">
        <f>VLOOKUP(E1082,Products!$A$2:$E$23,2,0)</f>
        <v>Office Chair</v>
      </c>
      <c r="R1082" t="str">
        <f>VLOOKUP(Table1[[#This Row],[Product ID]],Products!$A$2:$E$23,3,0)</f>
        <v>Furniture</v>
      </c>
      <c r="S1082" t="str">
        <f>VLOOKUP(C1082,Customers!$A$2:$F$201,4,0)</f>
        <v>Bihar</v>
      </c>
      <c r="T1082" t="str">
        <f>VLOOKUP(Table1[[#This Row],[Customer ID]],Customers!$A$2:$F$201,5,0)</f>
        <v>East</v>
      </c>
      <c r="U1082" t="str">
        <f>VLOOKUP(Table1[[#This Row],[Customer ID]],Customers!$A$2:$F$201,6,0)</f>
        <v>Home Office</v>
      </c>
      <c r="V1082" t="str">
        <f>TEXT(Table1[[#This Row],[Order Date]],"MMM")</f>
        <v>Oct</v>
      </c>
      <c r="W1082" t="str">
        <f>TEXT(Table1[[#This Row],[Order Date]],"yyyy")</f>
        <v>2025</v>
      </c>
    </row>
    <row r="1083" spans="1:23" x14ac:dyDescent="0.25">
      <c r="A1083" s="2" t="s">
        <v>1329</v>
      </c>
      <c r="B1083" s="4">
        <v>45954</v>
      </c>
      <c r="C1083" s="2" t="s">
        <v>339</v>
      </c>
      <c r="D1083" s="2" t="str">
        <f>TEXT(Table1[[#This Row],[Order Date]],"mmmm")</f>
        <v>October</v>
      </c>
      <c r="E1083" s="2" t="s">
        <v>118</v>
      </c>
      <c r="F1083" s="2">
        <v>3</v>
      </c>
      <c r="G1083" s="5">
        <v>0</v>
      </c>
      <c r="H1083" s="2" t="s">
        <v>19</v>
      </c>
      <c r="I1083" s="2" t="s">
        <v>46</v>
      </c>
      <c r="J1083" s="2" t="s">
        <v>21</v>
      </c>
      <c r="K1083">
        <f>VLOOKUP(E1083,Products!$A$2:$E$23,5,0)</f>
        <v>150</v>
      </c>
      <c r="L1083">
        <f>VLOOKUP(E1083,Products!$A$2:$E$23,4,0)</f>
        <v>90</v>
      </c>
      <c r="M1083" s="2">
        <f>K1083*F1083-Table1[[#This Row],[discount_amount]]</f>
        <v>450</v>
      </c>
      <c r="N1083">
        <f t="shared" si="33"/>
        <v>270</v>
      </c>
      <c r="O1083">
        <f t="shared" si="32"/>
        <v>180</v>
      </c>
      <c r="P1083">
        <f>Table1[[#This Row],[Quantity]]*Table1[[#This Row],[unit_price]]*Table1[[#This Row],[Discount]]</f>
        <v>0</v>
      </c>
      <c r="Q1083" t="str">
        <f>VLOOKUP(E1083,Products!$A$2:$E$23,2,0)</f>
        <v>Gel Pen Box</v>
      </c>
      <c r="R1083" t="str">
        <f>VLOOKUP(Table1[[#This Row],[Product ID]],Products!$A$2:$E$23,3,0)</f>
        <v>Office Supplies</v>
      </c>
      <c r="S1083" t="str">
        <f>VLOOKUP(C1083,Customers!$A$2:$F$201,4,0)</f>
        <v>Tamil Nadu</v>
      </c>
      <c r="T1083" t="str">
        <f>VLOOKUP(Table1[[#This Row],[Customer ID]],Customers!$A$2:$F$201,5,0)</f>
        <v>South</v>
      </c>
      <c r="U1083" t="str">
        <f>VLOOKUP(Table1[[#This Row],[Customer ID]],Customers!$A$2:$F$201,6,0)</f>
        <v>Corporate</v>
      </c>
      <c r="V1083" t="str">
        <f>TEXT(Table1[[#This Row],[Order Date]],"MMM")</f>
        <v>Oct</v>
      </c>
      <c r="W1083" t="str">
        <f>TEXT(Table1[[#This Row],[Order Date]],"yyyy")</f>
        <v>2025</v>
      </c>
    </row>
    <row r="1084" spans="1:23" x14ac:dyDescent="0.25">
      <c r="A1084" s="2" t="s">
        <v>1330</v>
      </c>
      <c r="B1084" s="4">
        <v>45954</v>
      </c>
      <c r="C1084" s="2" t="s">
        <v>525</v>
      </c>
      <c r="D1084" s="2" t="str">
        <f>TEXT(Table1[[#This Row],[Order Date]],"mmmm")</f>
        <v>October</v>
      </c>
      <c r="E1084" s="2" t="s">
        <v>73</v>
      </c>
      <c r="F1084" s="2">
        <v>2</v>
      </c>
      <c r="G1084" s="5">
        <v>0</v>
      </c>
      <c r="H1084" s="2" t="s">
        <v>30</v>
      </c>
      <c r="I1084" s="2" t="s">
        <v>26</v>
      </c>
      <c r="J1084" s="2" t="s">
        <v>21</v>
      </c>
      <c r="K1084">
        <f>VLOOKUP(E1084,Products!$A$2:$E$23,5,0)</f>
        <v>6499</v>
      </c>
      <c r="L1084">
        <f>VLOOKUP(E1084,Products!$A$2:$E$23,4,0)</f>
        <v>4200</v>
      </c>
      <c r="M1084" s="2">
        <f>K1084*F1084-Table1[[#This Row],[discount_amount]]</f>
        <v>12998</v>
      </c>
      <c r="N1084">
        <f t="shared" si="33"/>
        <v>8400</v>
      </c>
      <c r="O1084">
        <f t="shared" si="32"/>
        <v>4598</v>
      </c>
      <c r="P1084">
        <f>Table1[[#This Row],[Quantity]]*Table1[[#This Row],[unit_price]]*Table1[[#This Row],[Discount]]</f>
        <v>0</v>
      </c>
      <c r="Q1084" t="str">
        <f>VLOOKUP(E1084,Products!$A$2:$E$23,2,0)</f>
        <v>Study Table</v>
      </c>
      <c r="R1084" t="str">
        <f>VLOOKUP(Table1[[#This Row],[Product ID]],Products!$A$2:$E$23,3,0)</f>
        <v>Furniture</v>
      </c>
      <c r="S1084" t="str">
        <f>VLOOKUP(C1084,Customers!$A$2:$F$201,4,0)</f>
        <v>Maharashtra</v>
      </c>
      <c r="T1084" t="str">
        <f>VLOOKUP(Table1[[#This Row],[Customer ID]],Customers!$A$2:$F$201,5,0)</f>
        <v>West</v>
      </c>
      <c r="U1084" t="str">
        <f>VLOOKUP(Table1[[#This Row],[Customer ID]],Customers!$A$2:$F$201,6,0)</f>
        <v>Consumer</v>
      </c>
      <c r="V1084" t="str">
        <f>TEXT(Table1[[#This Row],[Order Date]],"MMM")</f>
        <v>Oct</v>
      </c>
      <c r="W1084" t="str">
        <f>TEXT(Table1[[#This Row],[Order Date]],"yyyy")</f>
        <v>2025</v>
      </c>
    </row>
    <row r="1085" spans="1:23" x14ac:dyDescent="0.25">
      <c r="A1085" s="2" t="s">
        <v>1331</v>
      </c>
      <c r="B1085" s="4">
        <v>45955</v>
      </c>
      <c r="C1085" s="2" t="s">
        <v>123</v>
      </c>
      <c r="D1085" s="2" t="str">
        <f>TEXT(Table1[[#This Row],[Order Date]],"mmmm")</f>
        <v>October</v>
      </c>
      <c r="E1085" s="2" t="s">
        <v>63</v>
      </c>
      <c r="F1085" s="2">
        <v>1</v>
      </c>
      <c r="G1085" s="5">
        <v>0.2</v>
      </c>
      <c r="H1085" s="2" t="s">
        <v>25</v>
      </c>
      <c r="I1085" s="2" t="s">
        <v>46</v>
      </c>
      <c r="J1085" s="2" t="s">
        <v>21</v>
      </c>
      <c r="K1085">
        <f>VLOOKUP(E1085,Products!$A$2:$E$23,5,0)</f>
        <v>5499</v>
      </c>
      <c r="L1085">
        <f>VLOOKUP(E1085,Products!$A$2:$E$23,4,0)</f>
        <v>3500</v>
      </c>
      <c r="M1085" s="2">
        <f>K1085*F1085-Table1[[#This Row],[discount_amount]]</f>
        <v>4399.2</v>
      </c>
      <c r="N1085">
        <f t="shared" si="33"/>
        <v>3500</v>
      </c>
      <c r="O1085">
        <f t="shared" si="32"/>
        <v>899.19999999999982</v>
      </c>
      <c r="P1085">
        <f>Table1[[#This Row],[Quantity]]*Table1[[#This Row],[unit_price]]*Table1[[#This Row],[Discount]]</f>
        <v>1099.8</v>
      </c>
      <c r="Q1085" t="str">
        <f>VLOOKUP(E1085,Products!$A$2:$E$23,2,0)</f>
        <v>Office Chair</v>
      </c>
      <c r="R1085" t="str">
        <f>VLOOKUP(Table1[[#This Row],[Product ID]],Products!$A$2:$E$23,3,0)</f>
        <v>Furniture</v>
      </c>
      <c r="S1085" t="str">
        <f>VLOOKUP(C1085,Customers!$A$2:$F$201,4,0)</f>
        <v>Uttar Pradesh</v>
      </c>
      <c r="T1085" t="str">
        <f>VLOOKUP(Table1[[#This Row],[Customer ID]],Customers!$A$2:$F$201,5,0)</f>
        <v>North</v>
      </c>
      <c r="U1085" t="str">
        <f>VLOOKUP(Table1[[#This Row],[Customer ID]],Customers!$A$2:$F$201,6,0)</f>
        <v>Consumer</v>
      </c>
      <c r="V1085" t="str">
        <f>TEXT(Table1[[#This Row],[Order Date]],"MMM")</f>
        <v>Oct</v>
      </c>
      <c r="W1085" t="str">
        <f>TEXT(Table1[[#This Row],[Order Date]],"yyyy")</f>
        <v>2025</v>
      </c>
    </row>
    <row r="1086" spans="1:23" x14ac:dyDescent="0.25">
      <c r="A1086" s="2" t="s">
        <v>1332</v>
      </c>
      <c r="B1086" s="4">
        <v>45955</v>
      </c>
      <c r="C1086" s="2" t="s">
        <v>479</v>
      </c>
      <c r="D1086" s="2" t="str">
        <f>TEXT(Table1[[#This Row],[Order Date]],"mmmm")</f>
        <v>October</v>
      </c>
      <c r="E1086" s="2" t="s">
        <v>82</v>
      </c>
      <c r="F1086" s="2">
        <v>10</v>
      </c>
      <c r="G1086" s="5">
        <v>0</v>
      </c>
      <c r="H1086" s="2" t="s">
        <v>25</v>
      </c>
      <c r="I1086" s="2" t="s">
        <v>46</v>
      </c>
      <c r="J1086" s="2" t="s">
        <v>21</v>
      </c>
      <c r="K1086">
        <f>VLOOKUP(E1086,Products!$A$2:$E$23,5,0)</f>
        <v>1799</v>
      </c>
      <c r="L1086">
        <f>VLOOKUP(E1086,Products!$A$2:$E$23,4,0)</f>
        <v>1100</v>
      </c>
      <c r="M1086" s="2">
        <f>K1086*F1086-Table1[[#This Row],[discount_amount]]</f>
        <v>17990</v>
      </c>
      <c r="N1086">
        <f t="shared" si="33"/>
        <v>11000</v>
      </c>
      <c r="O1086">
        <f t="shared" si="32"/>
        <v>6990</v>
      </c>
      <c r="P1086">
        <f>Table1[[#This Row],[Quantity]]*Table1[[#This Row],[unit_price]]*Table1[[#This Row],[Discount]]</f>
        <v>0</v>
      </c>
      <c r="Q1086" t="str">
        <f>VLOOKUP(E1086,Products!$A$2:$E$23,2,0)</f>
        <v>Webcam HD</v>
      </c>
      <c r="R1086" t="str">
        <f>VLOOKUP(Table1[[#This Row],[Product ID]],Products!$A$2:$E$23,3,0)</f>
        <v>Electronics</v>
      </c>
      <c r="S1086" t="str">
        <f>VLOOKUP(C1086,Customers!$A$2:$F$201,4,0)</f>
        <v>Telangana</v>
      </c>
      <c r="T1086" t="str">
        <f>VLOOKUP(Table1[[#This Row],[Customer ID]],Customers!$A$2:$F$201,5,0)</f>
        <v>South</v>
      </c>
      <c r="U1086" t="str">
        <f>VLOOKUP(Table1[[#This Row],[Customer ID]],Customers!$A$2:$F$201,6,0)</f>
        <v>Consumer</v>
      </c>
      <c r="V1086" t="str">
        <f>TEXT(Table1[[#This Row],[Order Date]],"MMM")</f>
        <v>Oct</v>
      </c>
      <c r="W1086" t="str">
        <f>TEXT(Table1[[#This Row],[Order Date]],"yyyy")</f>
        <v>2025</v>
      </c>
    </row>
    <row r="1087" spans="1:23" x14ac:dyDescent="0.25">
      <c r="A1087" s="2" t="s">
        <v>1333</v>
      </c>
      <c r="B1087" s="4">
        <v>45955</v>
      </c>
      <c r="C1087" s="2" t="s">
        <v>96</v>
      </c>
      <c r="D1087" s="2" t="str">
        <f>TEXT(Table1[[#This Row],[Order Date]],"mmmm")</f>
        <v>October</v>
      </c>
      <c r="E1087" s="2" t="s">
        <v>37</v>
      </c>
      <c r="F1087" s="2">
        <v>10</v>
      </c>
      <c r="G1087" s="5">
        <v>0.15</v>
      </c>
      <c r="H1087" s="2" t="s">
        <v>30</v>
      </c>
      <c r="I1087" s="2" t="s">
        <v>38</v>
      </c>
      <c r="J1087" s="2" t="s">
        <v>21</v>
      </c>
      <c r="K1087">
        <f>VLOOKUP(E1087,Products!$A$2:$E$23,5,0)</f>
        <v>1799</v>
      </c>
      <c r="L1087">
        <f>VLOOKUP(E1087,Products!$A$2:$E$23,4,0)</f>
        <v>900</v>
      </c>
      <c r="M1087" s="2">
        <f>K1087*F1087-Table1[[#This Row],[discount_amount]]</f>
        <v>15291.5</v>
      </c>
      <c r="N1087">
        <f t="shared" si="33"/>
        <v>9000</v>
      </c>
      <c r="O1087">
        <f t="shared" si="32"/>
        <v>6291.5</v>
      </c>
      <c r="P1087">
        <f>Table1[[#This Row],[Quantity]]*Table1[[#This Row],[unit_price]]*Table1[[#This Row],[Discount]]</f>
        <v>2698.5</v>
      </c>
      <c r="Q1087" t="str">
        <f>VLOOKUP(E1087,Products!$A$2:$E$23,2,0)</f>
        <v>Denim Jeans</v>
      </c>
      <c r="R1087" t="str">
        <f>VLOOKUP(Table1[[#This Row],[Product ID]],Products!$A$2:$E$23,3,0)</f>
        <v>Clothing</v>
      </c>
      <c r="S1087" t="str">
        <f>VLOOKUP(C1087,Customers!$A$2:$F$201,4,0)</f>
        <v>Odisha</v>
      </c>
      <c r="T1087" t="str">
        <f>VLOOKUP(Table1[[#This Row],[Customer ID]],Customers!$A$2:$F$201,5,0)</f>
        <v>East</v>
      </c>
      <c r="U1087" t="str">
        <f>VLOOKUP(Table1[[#This Row],[Customer ID]],Customers!$A$2:$F$201,6,0)</f>
        <v>Consumer</v>
      </c>
      <c r="V1087" t="str">
        <f>TEXT(Table1[[#This Row],[Order Date]],"MMM")</f>
        <v>Oct</v>
      </c>
      <c r="W1087" t="str">
        <f>TEXT(Table1[[#This Row],[Order Date]],"yyyy")</f>
        <v>2025</v>
      </c>
    </row>
    <row r="1088" spans="1:23" x14ac:dyDescent="0.25">
      <c r="A1088" s="2" t="s">
        <v>1334</v>
      </c>
      <c r="B1088" s="4">
        <v>45956</v>
      </c>
      <c r="C1088" s="2" t="s">
        <v>33</v>
      </c>
      <c r="D1088" s="2" t="str">
        <f>TEXT(Table1[[#This Row],[Order Date]],"mmmm")</f>
        <v>October</v>
      </c>
      <c r="E1088" s="2" t="s">
        <v>41</v>
      </c>
      <c r="F1088" s="2">
        <v>2</v>
      </c>
      <c r="G1088" s="5">
        <v>0.05</v>
      </c>
      <c r="H1088" s="2" t="s">
        <v>19</v>
      </c>
      <c r="I1088" s="2" t="s">
        <v>46</v>
      </c>
      <c r="J1088" s="2" t="s">
        <v>21</v>
      </c>
      <c r="K1088">
        <f>VLOOKUP(E1088,Products!$A$2:$E$23,5,0)</f>
        <v>320</v>
      </c>
      <c r="L1088">
        <f>VLOOKUP(E1088,Products!$A$2:$E$23,4,0)</f>
        <v>220</v>
      </c>
      <c r="M1088" s="2">
        <f>K1088*F1088-Table1[[#This Row],[discount_amount]]</f>
        <v>608</v>
      </c>
      <c r="N1088">
        <f t="shared" si="33"/>
        <v>440</v>
      </c>
      <c r="O1088">
        <f t="shared" si="32"/>
        <v>168</v>
      </c>
      <c r="P1088">
        <f>Table1[[#This Row],[Quantity]]*Table1[[#This Row],[unit_price]]*Table1[[#This Row],[Discount]]</f>
        <v>32</v>
      </c>
      <c r="Q1088" t="str">
        <f>VLOOKUP(E1088,Products!$A$2:$E$23,2,0)</f>
        <v>A4 Paper Ream</v>
      </c>
      <c r="R1088" t="str">
        <f>VLOOKUP(Table1[[#This Row],[Product ID]],Products!$A$2:$E$23,3,0)</f>
        <v>Office Supplies</v>
      </c>
      <c r="S1088" t="str">
        <f>VLOOKUP(C1088,Customers!$A$2:$F$201,4,0)</f>
        <v>West Bengal</v>
      </c>
      <c r="T1088" t="str">
        <f>VLOOKUP(Table1[[#This Row],[Customer ID]],Customers!$A$2:$F$201,5,0)</f>
        <v>East</v>
      </c>
      <c r="U1088" t="str">
        <f>VLOOKUP(Table1[[#This Row],[Customer ID]],Customers!$A$2:$F$201,6,0)</f>
        <v>Consumer</v>
      </c>
      <c r="V1088" t="str">
        <f>TEXT(Table1[[#This Row],[Order Date]],"MMM")</f>
        <v>Oct</v>
      </c>
      <c r="W1088" t="str">
        <f>TEXT(Table1[[#This Row],[Order Date]],"yyyy")</f>
        <v>2025</v>
      </c>
    </row>
    <row r="1089" spans="1:23" x14ac:dyDescent="0.25">
      <c r="A1089" s="2" t="s">
        <v>1335</v>
      </c>
      <c r="B1089" s="4">
        <v>45957</v>
      </c>
      <c r="C1089" s="2" t="s">
        <v>732</v>
      </c>
      <c r="D1089" s="2" t="str">
        <f>TEXT(Table1[[#This Row],[Order Date]],"mmmm")</f>
        <v>October</v>
      </c>
      <c r="E1089" s="2" t="s">
        <v>54</v>
      </c>
      <c r="F1089" s="2">
        <v>2</v>
      </c>
      <c r="G1089" s="5">
        <v>0.1</v>
      </c>
      <c r="H1089" s="2" t="s">
        <v>19</v>
      </c>
      <c r="I1089" s="2" t="s">
        <v>38</v>
      </c>
      <c r="J1089" s="2" t="s">
        <v>21</v>
      </c>
      <c r="K1089">
        <f>VLOOKUP(E1089,Products!$A$2:$E$23,5,0)</f>
        <v>299</v>
      </c>
      <c r="L1089">
        <f>VLOOKUP(E1089,Products!$A$2:$E$23,4,0)</f>
        <v>180</v>
      </c>
      <c r="M1089" s="2">
        <f>K1089*F1089-Table1[[#This Row],[discount_amount]]</f>
        <v>538.20000000000005</v>
      </c>
      <c r="N1089">
        <f t="shared" si="33"/>
        <v>360</v>
      </c>
      <c r="O1089">
        <f t="shared" si="32"/>
        <v>178.20000000000005</v>
      </c>
      <c r="P1089">
        <f>Table1[[#This Row],[Quantity]]*Table1[[#This Row],[unit_price]]*Table1[[#This Row],[Discount]]</f>
        <v>59.800000000000004</v>
      </c>
      <c r="Q1089" t="str">
        <f>VLOOKUP(E1089,Products!$A$2:$E$23,2,0)</f>
        <v>Notebook Pack of 5</v>
      </c>
      <c r="R1089" t="str">
        <f>VLOOKUP(Table1[[#This Row],[Product ID]],Products!$A$2:$E$23,3,0)</f>
        <v>Office Supplies</v>
      </c>
      <c r="S1089" t="str">
        <f>VLOOKUP(C1089,Customers!$A$2:$F$201,4,0)</f>
        <v>Karnataka</v>
      </c>
      <c r="T1089" t="str">
        <f>VLOOKUP(Table1[[#This Row],[Customer ID]],Customers!$A$2:$F$201,5,0)</f>
        <v>South</v>
      </c>
      <c r="U1089" t="str">
        <f>VLOOKUP(Table1[[#This Row],[Customer ID]],Customers!$A$2:$F$201,6,0)</f>
        <v>Consumer</v>
      </c>
      <c r="V1089" t="str">
        <f>TEXT(Table1[[#This Row],[Order Date]],"MMM")</f>
        <v>Oct</v>
      </c>
      <c r="W1089" t="str">
        <f>TEXT(Table1[[#This Row],[Order Date]],"yyyy")</f>
        <v>2025</v>
      </c>
    </row>
    <row r="1090" spans="1:23" x14ac:dyDescent="0.25">
      <c r="A1090" s="2" t="s">
        <v>1336</v>
      </c>
      <c r="B1090" s="4">
        <v>45957</v>
      </c>
      <c r="C1090" s="2" t="s">
        <v>113</v>
      </c>
      <c r="D1090" s="2" t="str">
        <f>TEXT(Table1[[#This Row],[Order Date]],"mmmm")</f>
        <v>October</v>
      </c>
      <c r="E1090" s="2" t="s">
        <v>29</v>
      </c>
      <c r="F1090" s="2">
        <v>5</v>
      </c>
      <c r="G1090" s="5">
        <v>0.1</v>
      </c>
      <c r="H1090" s="2" t="s">
        <v>30</v>
      </c>
      <c r="I1090" s="2" t="s">
        <v>31</v>
      </c>
      <c r="J1090" s="2" t="s">
        <v>21</v>
      </c>
      <c r="K1090">
        <f>VLOOKUP(E1090,Products!$A$2:$E$23,5,0)</f>
        <v>599</v>
      </c>
      <c r="L1090">
        <f>VLOOKUP(E1090,Products!$A$2:$E$23,4,0)</f>
        <v>350</v>
      </c>
      <c r="M1090" s="2">
        <f>K1090*F1090-Table1[[#This Row],[discount_amount]]</f>
        <v>2695.5</v>
      </c>
      <c r="N1090">
        <f t="shared" si="33"/>
        <v>1750</v>
      </c>
      <c r="O1090">
        <f t="shared" ref="O1090:O1153" si="34">M1090-N1090</f>
        <v>945.5</v>
      </c>
      <c r="P1090">
        <f>Table1[[#This Row],[Quantity]]*Table1[[#This Row],[unit_price]]*Table1[[#This Row],[Discount]]</f>
        <v>299.5</v>
      </c>
      <c r="Q1090" t="str">
        <f>VLOOKUP(E1090,Products!$A$2:$E$23,2,0)</f>
        <v>USB Flash Drive 64GB</v>
      </c>
      <c r="R1090" t="str">
        <f>VLOOKUP(Table1[[#This Row],[Product ID]],Products!$A$2:$E$23,3,0)</f>
        <v>Electronics</v>
      </c>
      <c r="S1090" t="str">
        <f>VLOOKUP(C1090,Customers!$A$2:$F$201,4,0)</f>
        <v>Gujarat</v>
      </c>
      <c r="T1090" t="str">
        <f>VLOOKUP(Table1[[#This Row],[Customer ID]],Customers!$A$2:$F$201,5,0)</f>
        <v>West</v>
      </c>
      <c r="U1090" t="str">
        <f>VLOOKUP(Table1[[#This Row],[Customer ID]],Customers!$A$2:$F$201,6,0)</f>
        <v>Consumer</v>
      </c>
      <c r="V1090" t="str">
        <f>TEXT(Table1[[#This Row],[Order Date]],"MMM")</f>
        <v>Oct</v>
      </c>
      <c r="W1090" t="str">
        <f>TEXT(Table1[[#This Row],[Order Date]],"yyyy")</f>
        <v>2025</v>
      </c>
    </row>
    <row r="1091" spans="1:23" x14ac:dyDescent="0.25">
      <c r="A1091" s="2" t="s">
        <v>1337</v>
      </c>
      <c r="B1091" s="4">
        <v>45958</v>
      </c>
      <c r="C1091" s="2" t="s">
        <v>243</v>
      </c>
      <c r="D1091" s="2" t="str">
        <f>TEXT(Table1[[#This Row],[Order Date]],"mmmm")</f>
        <v>October</v>
      </c>
      <c r="E1091" s="2" t="s">
        <v>91</v>
      </c>
      <c r="F1091" s="2">
        <v>3</v>
      </c>
      <c r="G1091" s="5">
        <v>0.05</v>
      </c>
      <c r="H1091" s="2" t="s">
        <v>25</v>
      </c>
      <c r="I1091" s="2" t="s">
        <v>20</v>
      </c>
      <c r="J1091" s="2" t="s">
        <v>42</v>
      </c>
      <c r="K1091">
        <f>VLOOKUP(E1091,Products!$A$2:$E$23,5,0)</f>
        <v>1199</v>
      </c>
      <c r="L1091">
        <f>VLOOKUP(E1091,Products!$A$2:$E$23,4,0)</f>
        <v>600</v>
      </c>
      <c r="M1091" s="2">
        <f>K1091*F1091-Table1[[#This Row],[discount_amount]]</f>
        <v>3417.15</v>
      </c>
      <c r="N1091">
        <f t="shared" ref="N1091:N1154" si="35">F1091*L1091</f>
        <v>1800</v>
      </c>
      <c r="O1091">
        <f t="shared" si="34"/>
        <v>1617.15</v>
      </c>
      <c r="P1091">
        <f>Table1[[#This Row],[Quantity]]*Table1[[#This Row],[unit_price]]*Table1[[#This Row],[Discount]]</f>
        <v>179.85000000000002</v>
      </c>
      <c r="Q1091" t="str">
        <f>VLOOKUP(E1091,Products!$A$2:$E$23,2,0)</f>
        <v>Formal Shirt</v>
      </c>
      <c r="R1091" t="str">
        <f>VLOOKUP(Table1[[#This Row],[Product ID]],Products!$A$2:$E$23,3,0)</f>
        <v>Clothing</v>
      </c>
      <c r="S1091" t="str">
        <f>VLOOKUP(C1091,Customers!$A$2:$F$201,4,0)</f>
        <v>Maharashtra</v>
      </c>
      <c r="T1091" t="str">
        <f>VLOOKUP(Table1[[#This Row],[Customer ID]],Customers!$A$2:$F$201,5,0)</f>
        <v>Central</v>
      </c>
      <c r="U1091" t="str">
        <f>VLOOKUP(Table1[[#This Row],[Customer ID]],Customers!$A$2:$F$201,6,0)</f>
        <v>Home Office</v>
      </c>
      <c r="V1091" t="str">
        <f>TEXT(Table1[[#This Row],[Order Date]],"MMM")</f>
        <v>Oct</v>
      </c>
      <c r="W1091" t="str">
        <f>TEXT(Table1[[#This Row],[Order Date]],"yyyy")</f>
        <v>2025</v>
      </c>
    </row>
    <row r="1092" spans="1:23" x14ac:dyDescent="0.25">
      <c r="A1092" s="2" t="s">
        <v>1338</v>
      </c>
      <c r="B1092" s="4">
        <v>45959</v>
      </c>
      <c r="C1092" s="2" t="s">
        <v>150</v>
      </c>
      <c r="D1092" s="2" t="str">
        <f>TEXT(Table1[[#This Row],[Order Date]],"mmmm")</f>
        <v>October</v>
      </c>
      <c r="E1092" s="2" t="s">
        <v>45</v>
      </c>
      <c r="F1092" s="2">
        <v>2</v>
      </c>
      <c r="G1092" s="5">
        <v>0</v>
      </c>
      <c r="H1092" s="2" t="s">
        <v>25</v>
      </c>
      <c r="I1092" s="2" t="s">
        <v>26</v>
      </c>
      <c r="J1092" s="2" t="s">
        <v>21</v>
      </c>
      <c r="K1092">
        <f>VLOOKUP(E1092,Products!$A$2:$E$23,5,0)</f>
        <v>899</v>
      </c>
      <c r="L1092">
        <f>VLOOKUP(E1092,Products!$A$2:$E$23,4,0)</f>
        <v>450</v>
      </c>
      <c r="M1092" s="2">
        <f>K1092*F1092-Table1[[#This Row],[discount_amount]]</f>
        <v>1798</v>
      </c>
      <c r="N1092">
        <f t="shared" si="35"/>
        <v>900</v>
      </c>
      <c r="O1092">
        <f t="shared" si="34"/>
        <v>898</v>
      </c>
      <c r="P1092">
        <f>Table1[[#This Row],[Quantity]]*Table1[[#This Row],[unit_price]]*Table1[[#This Row],[Discount]]</f>
        <v>0</v>
      </c>
      <c r="Q1092" t="str">
        <f>VLOOKUP(E1092,Products!$A$2:$E$23,2,0)</f>
        <v>Track Pants</v>
      </c>
      <c r="R1092" t="str">
        <f>VLOOKUP(Table1[[#This Row],[Product ID]],Products!$A$2:$E$23,3,0)</f>
        <v>Clothing</v>
      </c>
      <c r="S1092" t="str">
        <f>VLOOKUP(C1092,Customers!$A$2:$F$201,4,0)</f>
        <v>Delhi</v>
      </c>
      <c r="T1092" t="str">
        <f>VLOOKUP(Table1[[#This Row],[Customer ID]],Customers!$A$2:$F$201,5,0)</f>
        <v>North</v>
      </c>
      <c r="U1092" t="str">
        <f>VLOOKUP(Table1[[#This Row],[Customer ID]],Customers!$A$2:$F$201,6,0)</f>
        <v>Corporate</v>
      </c>
      <c r="V1092" t="str">
        <f>TEXT(Table1[[#This Row],[Order Date]],"MMM")</f>
        <v>Oct</v>
      </c>
      <c r="W1092" t="str">
        <f>TEXT(Table1[[#This Row],[Order Date]],"yyyy")</f>
        <v>2025</v>
      </c>
    </row>
    <row r="1093" spans="1:23" x14ac:dyDescent="0.25">
      <c r="A1093" s="2" t="s">
        <v>1339</v>
      </c>
      <c r="B1093" s="4">
        <v>45959</v>
      </c>
      <c r="C1093" s="2" t="s">
        <v>148</v>
      </c>
      <c r="D1093" s="2" t="str">
        <f>TEXT(Table1[[#This Row],[Order Date]],"mmmm")</f>
        <v>October</v>
      </c>
      <c r="E1093" s="2" t="s">
        <v>45</v>
      </c>
      <c r="F1093" s="2">
        <v>1</v>
      </c>
      <c r="G1093" s="5">
        <v>0</v>
      </c>
      <c r="H1093" s="2" t="s">
        <v>19</v>
      </c>
      <c r="I1093" s="2" t="s">
        <v>20</v>
      </c>
      <c r="J1093" s="2" t="s">
        <v>79</v>
      </c>
      <c r="K1093">
        <f>VLOOKUP(E1093,Products!$A$2:$E$23,5,0)</f>
        <v>899</v>
      </c>
      <c r="L1093">
        <f>VLOOKUP(E1093,Products!$A$2:$E$23,4,0)</f>
        <v>450</v>
      </c>
      <c r="M1093" s="2">
        <f>K1093*F1093-Table1[[#This Row],[discount_amount]]</f>
        <v>899</v>
      </c>
      <c r="N1093">
        <f t="shared" si="35"/>
        <v>450</v>
      </c>
      <c r="O1093">
        <f t="shared" si="34"/>
        <v>449</v>
      </c>
      <c r="P1093">
        <f>Table1[[#This Row],[Quantity]]*Table1[[#This Row],[unit_price]]*Table1[[#This Row],[Discount]]</f>
        <v>0</v>
      </c>
      <c r="Q1093" t="str">
        <f>VLOOKUP(E1093,Products!$A$2:$E$23,2,0)</f>
        <v>Track Pants</v>
      </c>
      <c r="R1093" t="str">
        <f>VLOOKUP(Table1[[#This Row],[Product ID]],Products!$A$2:$E$23,3,0)</f>
        <v>Clothing</v>
      </c>
      <c r="S1093" t="str">
        <f>VLOOKUP(C1093,Customers!$A$2:$F$201,4,0)</f>
        <v>Uttar Pradesh</v>
      </c>
      <c r="T1093" t="str">
        <f>VLOOKUP(Table1[[#This Row],[Customer ID]],Customers!$A$2:$F$201,5,0)</f>
        <v>North</v>
      </c>
      <c r="U1093" t="str">
        <f>VLOOKUP(Table1[[#This Row],[Customer ID]],Customers!$A$2:$F$201,6,0)</f>
        <v>Corporate</v>
      </c>
      <c r="V1093" t="str">
        <f>TEXT(Table1[[#This Row],[Order Date]],"MMM")</f>
        <v>Oct</v>
      </c>
      <c r="W1093" t="str">
        <f>TEXT(Table1[[#This Row],[Order Date]],"yyyy")</f>
        <v>2025</v>
      </c>
    </row>
    <row r="1094" spans="1:23" x14ac:dyDescent="0.25">
      <c r="A1094" s="2" t="s">
        <v>1340</v>
      </c>
      <c r="B1094" s="4">
        <v>45959</v>
      </c>
      <c r="C1094" s="2" t="s">
        <v>44</v>
      </c>
      <c r="D1094" s="2" t="str">
        <f>TEXT(Table1[[#This Row],[Order Date]],"mmmm")</f>
        <v>October</v>
      </c>
      <c r="E1094" s="2" t="s">
        <v>60</v>
      </c>
      <c r="F1094" s="2">
        <v>4</v>
      </c>
      <c r="G1094" s="5">
        <v>0.05</v>
      </c>
      <c r="H1094" s="2" t="s">
        <v>30</v>
      </c>
      <c r="I1094" s="2" t="s">
        <v>38</v>
      </c>
      <c r="J1094" s="2" t="s">
        <v>42</v>
      </c>
      <c r="K1094">
        <f>VLOOKUP(E1094,Products!$A$2:$E$23,5,0)</f>
        <v>449</v>
      </c>
      <c r="L1094">
        <f>VLOOKUP(E1094,Products!$A$2:$E$23,4,0)</f>
        <v>260</v>
      </c>
      <c r="M1094" s="2">
        <f>K1094*F1094-Table1[[#This Row],[discount_amount]]</f>
        <v>1706.2</v>
      </c>
      <c r="N1094">
        <f t="shared" si="35"/>
        <v>1040</v>
      </c>
      <c r="O1094">
        <f t="shared" si="34"/>
        <v>666.2</v>
      </c>
      <c r="P1094">
        <f>Table1[[#This Row],[Quantity]]*Table1[[#This Row],[unit_price]]*Table1[[#This Row],[Discount]]</f>
        <v>89.800000000000011</v>
      </c>
      <c r="Q1094" t="str">
        <f>VLOOKUP(E1094,Products!$A$2:$E$23,2,0)</f>
        <v>Desk Organizer</v>
      </c>
      <c r="R1094" t="str">
        <f>VLOOKUP(Table1[[#This Row],[Product ID]],Products!$A$2:$E$23,3,0)</f>
        <v>Office Supplies</v>
      </c>
      <c r="S1094" t="str">
        <f>VLOOKUP(C1094,Customers!$A$2:$F$201,4,0)</f>
        <v>Gujarat</v>
      </c>
      <c r="T1094" t="str">
        <f>VLOOKUP(Table1[[#This Row],[Customer ID]],Customers!$A$2:$F$201,5,0)</f>
        <v>West</v>
      </c>
      <c r="U1094" t="str">
        <f>VLOOKUP(Table1[[#This Row],[Customer ID]],Customers!$A$2:$F$201,6,0)</f>
        <v>Home Office</v>
      </c>
      <c r="V1094" t="str">
        <f>TEXT(Table1[[#This Row],[Order Date]],"MMM")</f>
        <v>Oct</v>
      </c>
      <c r="W1094" t="str">
        <f>TEXT(Table1[[#This Row],[Order Date]],"yyyy")</f>
        <v>2025</v>
      </c>
    </row>
    <row r="1095" spans="1:23" x14ac:dyDescent="0.25">
      <c r="A1095" s="2" t="s">
        <v>1341</v>
      </c>
      <c r="B1095" s="4">
        <v>45962</v>
      </c>
      <c r="C1095" s="2" t="s">
        <v>228</v>
      </c>
      <c r="D1095" s="2" t="str">
        <f>TEXT(Table1[[#This Row],[Order Date]],"mmmm")</f>
        <v>November</v>
      </c>
      <c r="E1095" s="2" t="s">
        <v>37</v>
      </c>
      <c r="F1095" s="2">
        <v>1</v>
      </c>
      <c r="G1095" s="5">
        <v>0</v>
      </c>
      <c r="H1095" s="2" t="s">
        <v>30</v>
      </c>
      <c r="I1095" s="2" t="s">
        <v>31</v>
      </c>
      <c r="J1095" s="2" t="s">
        <v>21</v>
      </c>
      <c r="K1095">
        <f>VLOOKUP(E1095,Products!$A$2:$E$23,5,0)</f>
        <v>1799</v>
      </c>
      <c r="L1095">
        <f>VLOOKUP(E1095,Products!$A$2:$E$23,4,0)</f>
        <v>900</v>
      </c>
      <c r="M1095" s="2">
        <f>K1095*F1095-Table1[[#This Row],[discount_amount]]</f>
        <v>1799</v>
      </c>
      <c r="N1095">
        <f t="shared" si="35"/>
        <v>900</v>
      </c>
      <c r="O1095">
        <f t="shared" si="34"/>
        <v>899</v>
      </c>
      <c r="P1095">
        <f>Table1[[#This Row],[Quantity]]*Table1[[#This Row],[unit_price]]*Table1[[#This Row],[Discount]]</f>
        <v>0</v>
      </c>
      <c r="Q1095" t="str">
        <f>VLOOKUP(E1095,Products!$A$2:$E$23,2,0)</f>
        <v>Denim Jeans</v>
      </c>
      <c r="R1095" t="str">
        <f>VLOOKUP(Table1[[#This Row],[Product ID]],Products!$A$2:$E$23,3,0)</f>
        <v>Clothing</v>
      </c>
      <c r="S1095" t="str">
        <f>VLOOKUP(C1095,Customers!$A$2:$F$201,4,0)</f>
        <v>Odisha</v>
      </c>
      <c r="T1095" t="str">
        <f>VLOOKUP(Table1[[#This Row],[Customer ID]],Customers!$A$2:$F$201,5,0)</f>
        <v>East</v>
      </c>
      <c r="U1095" t="str">
        <f>VLOOKUP(Table1[[#This Row],[Customer ID]],Customers!$A$2:$F$201,6,0)</f>
        <v>Consumer</v>
      </c>
      <c r="V1095" t="str">
        <f>TEXT(Table1[[#This Row],[Order Date]],"MMM")</f>
        <v>Nov</v>
      </c>
      <c r="W1095" t="str">
        <f>TEXT(Table1[[#This Row],[Order Date]],"yyyy")</f>
        <v>2025</v>
      </c>
    </row>
    <row r="1096" spans="1:23" x14ac:dyDescent="0.25">
      <c r="A1096" s="2" t="s">
        <v>1342</v>
      </c>
      <c r="B1096" s="4">
        <v>45962</v>
      </c>
      <c r="C1096" s="2" t="s">
        <v>345</v>
      </c>
      <c r="D1096" s="2" t="str">
        <f>TEXT(Table1[[#This Row],[Order Date]],"mmmm")</f>
        <v>November</v>
      </c>
      <c r="E1096" s="2" t="s">
        <v>29</v>
      </c>
      <c r="F1096" s="2">
        <v>2</v>
      </c>
      <c r="G1096" s="5">
        <v>0.05</v>
      </c>
      <c r="H1096" s="2" t="s">
        <v>19</v>
      </c>
      <c r="I1096" s="2" t="s">
        <v>46</v>
      </c>
      <c r="J1096" s="2" t="s">
        <v>21</v>
      </c>
      <c r="K1096">
        <f>VLOOKUP(E1096,Products!$A$2:$E$23,5,0)</f>
        <v>599</v>
      </c>
      <c r="L1096">
        <f>VLOOKUP(E1096,Products!$A$2:$E$23,4,0)</f>
        <v>350</v>
      </c>
      <c r="M1096" s="2">
        <f>K1096*F1096-Table1[[#This Row],[discount_amount]]</f>
        <v>1138.0999999999999</v>
      </c>
      <c r="N1096">
        <f t="shared" si="35"/>
        <v>700</v>
      </c>
      <c r="O1096">
        <f t="shared" si="34"/>
        <v>438.09999999999991</v>
      </c>
      <c r="P1096">
        <f>Table1[[#This Row],[Quantity]]*Table1[[#This Row],[unit_price]]*Table1[[#This Row],[Discount]]</f>
        <v>59.900000000000006</v>
      </c>
      <c r="Q1096" t="str">
        <f>VLOOKUP(E1096,Products!$A$2:$E$23,2,0)</f>
        <v>USB Flash Drive 64GB</v>
      </c>
      <c r="R1096" t="str">
        <f>VLOOKUP(Table1[[#This Row],[Product ID]],Products!$A$2:$E$23,3,0)</f>
        <v>Electronics</v>
      </c>
      <c r="S1096" t="str">
        <f>VLOOKUP(C1096,Customers!$A$2:$F$201,4,0)</f>
        <v>Gujarat</v>
      </c>
      <c r="T1096" t="str">
        <f>VLOOKUP(Table1[[#This Row],[Customer ID]],Customers!$A$2:$F$201,5,0)</f>
        <v>West</v>
      </c>
      <c r="U1096" t="str">
        <f>VLOOKUP(Table1[[#This Row],[Customer ID]],Customers!$A$2:$F$201,6,0)</f>
        <v>Consumer</v>
      </c>
      <c r="V1096" t="str">
        <f>TEXT(Table1[[#This Row],[Order Date]],"MMM")</f>
        <v>Nov</v>
      </c>
      <c r="W1096" t="str">
        <f>TEXT(Table1[[#This Row],[Order Date]],"yyyy")</f>
        <v>2025</v>
      </c>
    </row>
    <row r="1097" spans="1:23" x14ac:dyDescent="0.25">
      <c r="A1097" s="2" t="s">
        <v>1343</v>
      </c>
      <c r="B1097" s="4">
        <v>45962</v>
      </c>
      <c r="C1097" s="2" t="s">
        <v>126</v>
      </c>
      <c r="D1097" s="2" t="str">
        <f>TEXT(Table1[[#This Row],[Order Date]],"mmmm")</f>
        <v>November</v>
      </c>
      <c r="E1097" s="2" t="s">
        <v>57</v>
      </c>
      <c r="F1097" s="2">
        <v>4</v>
      </c>
      <c r="G1097" s="5">
        <v>0.05</v>
      </c>
      <c r="H1097" s="2" t="s">
        <v>25</v>
      </c>
      <c r="I1097" s="2" t="s">
        <v>26</v>
      </c>
      <c r="J1097" s="2" t="s">
        <v>94</v>
      </c>
      <c r="K1097">
        <f>VLOOKUP(E1097,Products!$A$2:$E$23,5,0)</f>
        <v>1599</v>
      </c>
      <c r="L1097">
        <f>VLOOKUP(E1097,Products!$A$2:$E$23,4,0)</f>
        <v>800</v>
      </c>
      <c r="M1097" s="2">
        <f>K1097*F1097-Table1[[#This Row],[discount_amount]]</f>
        <v>6076.2</v>
      </c>
      <c r="N1097">
        <f t="shared" si="35"/>
        <v>3200</v>
      </c>
      <c r="O1097">
        <f t="shared" si="34"/>
        <v>2876.2</v>
      </c>
      <c r="P1097">
        <f>Table1[[#This Row],[Quantity]]*Table1[[#This Row],[unit_price]]*Table1[[#This Row],[Discount]]</f>
        <v>319.8</v>
      </c>
      <c r="Q1097" t="str">
        <f>VLOOKUP(E1097,Products!$A$2:$E$23,2,0)</f>
        <v>Hoodie</v>
      </c>
      <c r="R1097" t="str">
        <f>VLOOKUP(Table1[[#This Row],[Product ID]],Products!$A$2:$E$23,3,0)</f>
        <v>Clothing</v>
      </c>
      <c r="S1097" t="str">
        <f>VLOOKUP(C1097,Customers!$A$2:$F$201,4,0)</f>
        <v>Tamil Nadu</v>
      </c>
      <c r="T1097" t="str">
        <f>VLOOKUP(Table1[[#This Row],[Customer ID]],Customers!$A$2:$F$201,5,0)</f>
        <v>South</v>
      </c>
      <c r="U1097" t="str">
        <f>VLOOKUP(Table1[[#This Row],[Customer ID]],Customers!$A$2:$F$201,6,0)</f>
        <v>Consumer</v>
      </c>
      <c r="V1097" t="str">
        <f>TEXT(Table1[[#This Row],[Order Date]],"MMM")</f>
        <v>Nov</v>
      </c>
      <c r="W1097" t="str">
        <f>TEXT(Table1[[#This Row],[Order Date]],"yyyy")</f>
        <v>2025</v>
      </c>
    </row>
    <row r="1098" spans="1:23" x14ac:dyDescent="0.25">
      <c r="A1098" s="2" t="s">
        <v>1344</v>
      </c>
      <c r="B1098" s="4">
        <v>45963</v>
      </c>
      <c r="C1098" s="2" t="s">
        <v>56</v>
      </c>
      <c r="D1098" s="2" t="str">
        <f>TEXT(Table1[[#This Row],[Order Date]],"mmmm")</f>
        <v>November</v>
      </c>
      <c r="E1098" s="2" t="s">
        <v>66</v>
      </c>
      <c r="F1098" s="2">
        <v>8</v>
      </c>
      <c r="G1098" s="5">
        <v>0.1</v>
      </c>
      <c r="H1098" s="2" t="s">
        <v>19</v>
      </c>
      <c r="I1098" s="2" t="s">
        <v>26</v>
      </c>
      <c r="J1098" s="2" t="s">
        <v>21</v>
      </c>
      <c r="K1098">
        <f>VLOOKUP(E1098,Products!$A$2:$E$23,5,0)</f>
        <v>1299</v>
      </c>
      <c r="L1098">
        <f>VLOOKUP(E1098,Products!$A$2:$E$23,4,0)</f>
        <v>800</v>
      </c>
      <c r="M1098" s="2">
        <f>K1098*F1098-Table1[[#This Row],[discount_amount]]</f>
        <v>9352.7999999999993</v>
      </c>
      <c r="N1098">
        <f t="shared" si="35"/>
        <v>6400</v>
      </c>
      <c r="O1098">
        <f t="shared" si="34"/>
        <v>2952.7999999999993</v>
      </c>
      <c r="P1098">
        <f>Table1[[#This Row],[Quantity]]*Table1[[#This Row],[unit_price]]*Table1[[#This Row],[Discount]]</f>
        <v>1039.2</v>
      </c>
      <c r="Q1098" t="str">
        <f>VLOOKUP(E1098,Products!$A$2:$E$23,2,0)</f>
        <v>Power Bank 10000mAh</v>
      </c>
      <c r="R1098" t="str">
        <f>VLOOKUP(Table1[[#This Row],[Product ID]],Products!$A$2:$E$23,3,0)</f>
        <v>Electronics</v>
      </c>
      <c r="S1098" t="str">
        <f>VLOOKUP(C1098,Customers!$A$2:$F$201,4,0)</f>
        <v>Maharashtra</v>
      </c>
      <c r="T1098" t="str">
        <f>VLOOKUP(Table1[[#This Row],[Customer ID]],Customers!$A$2:$F$201,5,0)</f>
        <v>West</v>
      </c>
      <c r="U1098" t="str">
        <f>VLOOKUP(Table1[[#This Row],[Customer ID]],Customers!$A$2:$F$201,6,0)</f>
        <v>Consumer</v>
      </c>
      <c r="V1098" t="str">
        <f>TEXT(Table1[[#This Row],[Order Date]],"MMM")</f>
        <v>Nov</v>
      </c>
      <c r="W1098" t="str">
        <f>TEXT(Table1[[#This Row],[Order Date]],"yyyy")</f>
        <v>2025</v>
      </c>
    </row>
    <row r="1099" spans="1:23" x14ac:dyDescent="0.25">
      <c r="A1099" s="2" t="s">
        <v>1345</v>
      </c>
      <c r="B1099" s="4">
        <v>45963</v>
      </c>
      <c r="C1099" s="2" t="s">
        <v>482</v>
      </c>
      <c r="D1099" s="2" t="str">
        <f>TEXT(Table1[[#This Row],[Order Date]],"mmmm")</f>
        <v>November</v>
      </c>
      <c r="E1099" s="2" t="s">
        <v>49</v>
      </c>
      <c r="F1099" s="2">
        <v>4</v>
      </c>
      <c r="G1099" s="5">
        <v>0</v>
      </c>
      <c r="H1099" s="2" t="s">
        <v>25</v>
      </c>
      <c r="I1099" s="2" t="s">
        <v>46</v>
      </c>
      <c r="J1099" s="2" t="s">
        <v>21</v>
      </c>
      <c r="K1099">
        <f>VLOOKUP(E1099,Products!$A$2:$E$23,5,0)</f>
        <v>700</v>
      </c>
      <c r="L1099">
        <f>VLOOKUP(E1099,Products!$A$2:$E$23,4,0)</f>
        <v>450</v>
      </c>
      <c r="M1099" s="2">
        <f>K1099*F1099-Table1[[#This Row],[discount_amount]]</f>
        <v>2800</v>
      </c>
      <c r="N1099">
        <f t="shared" si="35"/>
        <v>1800</v>
      </c>
      <c r="O1099">
        <f t="shared" si="34"/>
        <v>1000</v>
      </c>
      <c r="P1099">
        <f>Table1[[#This Row],[Quantity]]*Table1[[#This Row],[unit_price]]*Table1[[#This Row],[Discount]]</f>
        <v>0</v>
      </c>
      <c r="Q1099" t="str">
        <f>VLOOKUP(E1099,Products!$A$2:$E$23,2,0)</f>
        <v>Wireless Mouse</v>
      </c>
      <c r="R1099" t="str">
        <f>VLOOKUP(Table1[[#This Row],[Product ID]],Products!$A$2:$E$23,3,0)</f>
        <v>Electronics</v>
      </c>
      <c r="S1099" t="str">
        <f>VLOOKUP(C1099,Customers!$A$2:$F$201,4,0)</f>
        <v>Chandigarh</v>
      </c>
      <c r="T1099" t="str">
        <f>VLOOKUP(Table1[[#This Row],[Customer ID]],Customers!$A$2:$F$201,5,0)</f>
        <v>North</v>
      </c>
      <c r="U1099" t="str">
        <f>VLOOKUP(Table1[[#This Row],[Customer ID]],Customers!$A$2:$F$201,6,0)</f>
        <v>Home Office</v>
      </c>
      <c r="V1099" t="str">
        <f>TEXT(Table1[[#This Row],[Order Date]],"MMM")</f>
        <v>Nov</v>
      </c>
      <c r="W1099" t="str">
        <f>TEXT(Table1[[#This Row],[Order Date]],"yyyy")</f>
        <v>2025</v>
      </c>
    </row>
    <row r="1100" spans="1:23" x14ac:dyDescent="0.25">
      <c r="A1100" s="2" t="s">
        <v>1346</v>
      </c>
      <c r="B1100" s="4">
        <v>45963</v>
      </c>
      <c r="C1100" s="2" t="s">
        <v>389</v>
      </c>
      <c r="D1100" s="2" t="str">
        <f>TEXT(Table1[[#This Row],[Order Date]],"mmmm")</f>
        <v>November</v>
      </c>
      <c r="E1100" s="2" t="s">
        <v>45</v>
      </c>
      <c r="F1100" s="2">
        <v>4</v>
      </c>
      <c r="G1100" s="5">
        <v>0.15</v>
      </c>
      <c r="H1100" s="2" t="s">
        <v>30</v>
      </c>
      <c r="I1100" s="2" t="s">
        <v>20</v>
      </c>
      <c r="J1100" s="2" t="s">
        <v>21</v>
      </c>
      <c r="K1100">
        <f>VLOOKUP(E1100,Products!$A$2:$E$23,5,0)</f>
        <v>899</v>
      </c>
      <c r="L1100">
        <f>VLOOKUP(E1100,Products!$A$2:$E$23,4,0)</f>
        <v>450</v>
      </c>
      <c r="M1100" s="2">
        <f>K1100*F1100-Table1[[#This Row],[discount_amount]]</f>
        <v>3056.6</v>
      </c>
      <c r="N1100">
        <f t="shared" si="35"/>
        <v>1800</v>
      </c>
      <c r="O1100">
        <f t="shared" si="34"/>
        <v>1256.5999999999999</v>
      </c>
      <c r="P1100">
        <f>Table1[[#This Row],[Quantity]]*Table1[[#This Row],[unit_price]]*Table1[[#This Row],[Discount]]</f>
        <v>539.4</v>
      </c>
      <c r="Q1100" t="str">
        <f>VLOOKUP(E1100,Products!$A$2:$E$23,2,0)</f>
        <v>Track Pants</v>
      </c>
      <c r="R1100" t="str">
        <f>VLOOKUP(Table1[[#This Row],[Product ID]],Products!$A$2:$E$23,3,0)</f>
        <v>Clothing</v>
      </c>
      <c r="S1100" t="str">
        <f>VLOOKUP(C1100,Customers!$A$2:$F$201,4,0)</f>
        <v>Kerala</v>
      </c>
      <c r="T1100" t="str">
        <f>VLOOKUP(Table1[[#This Row],[Customer ID]],Customers!$A$2:$F$201,5,0)</f>
        <v>South</v>
      </c>
      <c r="U1100" t="str">
        <f>VLOOKUP(Table1[[#This Row],[Customer ID]],Customers!$A$2:$F$201,6,0)</f>
        <v>Home Office</v>
      </c>
      <c r="V1100" t="str">
        <f>TEXT(Table1[[#This Row],[Order Date]],"MMM")</f>
        <v>Nov</v>
      </c>
      <c r="W1100" t="str">
        <f>TEXT(Table1[[#This Row],[Order Date]],"yyyy")</f>
        <v>2025</v>
      </c>
    </row>
    <row r="1101" spans="1:23" x14ac:dyDescent="0.25">
      <c r="A1101" s="2" t="s">
        <v>1347</v>
      </c>
      <c r="B1101" s="4">
        <v>45964</v>
      </c>
      <c r="C1101" s="2" t="s">
        <v>605</v>
      </c>
      <c r="D1101" s="2" t="str">
        <f>TEXT(Table1[[#This Row],[Order Date]],"mmmm")</f>
        <v>November</v>
      </c>
      <c r="E1101" s="2" t="s">
        <v>57</v>
      </c>
      <c r="F1101" s="2">
        <v>1</v>
      </c>
      <c r="G1101" s="5">
        <v>0</v>
      </c>
      <c r="H1101" s="2" t="s">
        <v>25</v>
      </c>
      <c r="I1101" s="2" t="s">
        <v>46</v>
      </c>
      <c r="J1101" s="2" t="s">
        <v>21</v>
      </c>
      <c r="K1101">
        <f>VLOOKUP(E1101,Products!$A$2:$E$23,5,0)</f>
        <v>1599</v>
      </c>
      <c r="L1101">
        <f>VLOOKUP(E1101,Products!$A$2:$E$23,4,0)</f>
        <v>800</v>
      </c>
      <c r="M1101" s="2">
        <f>K1101*F1101-Table1[[#This Row],[discount_amount]]</f>
        <v>1599</v>
      </c>
      <c r="N1101">
        <f t="shared" si="35"/>
        <v>800</v>
      </c>
      <c r="O1101">
        <f t="shared" si="34"/>
        <v>799</v>
      </c>
      <c r="P1101">
        <f>Table1[[#This Row],[Quantity]]*Table1[[#This Row],[unit_price]]*Table1[[#This Row],[Discount]]</f>
        <v>0</v>
      </c>
      <c r="Q1101" t="str">
        <f>VLOOKUP(E1101,Products!$A$2:$E$23,2,0)</f>
        <v>Hoodie</v>
      </c>
      <c r="R1101" t="str">
        <f>VLOOKUP(Table1[[#This Row],[Product ID]],Products!$A$2:$E$23,3,0)</f>
        <v>Clothing</v>
      </c>
      <c r="S1101" t="str">
        <f>VLOOKUP(C1101,Customers!$A$2:$F$201,4,0)</f>
        <v>Rajasthan</v>
      </c>
      <c r="T1101" t="str">
        <f>VLOOKUP(Table1[[#This Row],[Customer ID]],Customers!$A$2:$F$201,5,0)</f>
        <v>North</v>
      </c>
      <c r="U1101" t="str">
        <f>VLOOKUP(Table1[[#This Row],[Customer ID]],Customers!$A$2:$F$201,6,0)</f>
        <v>Consumer</v>
      </c>
      <c r="V1101" t="str">
        <f>TEXT(Table1[[#This Row],[Order Date]],"MMM")</f>
        <v>Nov</v>
      </c>
      <c r="W1101" t="str">
        <f>TEXT(Table1[[#This Row],[Order Date]],"yyyy")</f>
        <v>2025</v>
      </c>
    </row>
    <row r="1102" spans="1:23" x14ac:dyDescent="0.25">
      <c r="A1102" s="2" t="s">
        <v>1348</v>
      </c>
      <c r="B1102" s="4">
        <v>45964</v>
      </c>
      <c r="C1102" s="2" t="s">
        <v>88</v>
      </c>
      <c r="D1102" s="2" t="str">
        <f>TEXT(Table1[[#This Row],[Order Date]],"mmmm")</f>
        <v>November</v>
      </c>
      <c r="E1102" s="2" t="s">
        <v>63</v>
      </c>
      <c r="F1102" s="2">
        <v>1</v>
      </c>
      <c r="G1102" s="5">
        <v>0.05</v>
      </c>
      <c r="H1102" s="2" t="s">
        <v>30</v>
      </c>
      <c r="I1102" s="2" t="s">
        <v>46</v>
      </c>
      <c r="J1102" s="2" t="s">
        <v>21</v>
      </c>
      <c r="K1102">
        <f>VLOOKUP(E1102,Products!$A$2:$E$23,5,0)</f>
        <v>5499</v>
      </c>
      <c r="L1102">
        <f>VLOOKUP(E1102,Products!$A$2:$E$23,4,0)</f>
        <v>3500</v>
      </c>
      <c r="M1102" s="2">
        <f>K1102*F1102-Table1[[#This Row],[discount_amount]]</f>
        <v>5224.05</v>
      </c>
      <c r="N1102">
        <f t="shared" si="35"/>
        <v>3500</v>
      </c>
      <c r="O1102">
        <f t="shared" si="34"/>
        <v>1724.0500000000002</v>
      </c>
      <c r="P1102">
        <f>Table1[[#This Row],[Quantity]]*Table1[[#This Row],[unit_price]]*Table1[[#This Row],[Discount]]</f>
        <v>274.95</v>
      </c>
      <c r="Q1102" t="str">
        <f>VLOOKUP(E1102,Products!$A$2:$E$23,2,0)</f>
        <v>Office Chair</v>
      </c>
      <c r="R1102" t="str">
        <f>VLOOKUP(Table1[[#This Row],[Product ID]],Products!$A$2:$E$23,3,0)</f>
        <v>Furniture</v>
      </c>
      <c r="S1102" t="str">
        <f>VLOOKUP(C1102,Customers!$A$2:$F$201,4,0)</f>
        <v>Gujarat</v>
      </c>
      <c r="T1102" t="str">
        <f>VLOOKUP(Table1[[#This Row],[Customer ID]],Customers!$A$2:$F$201,5,0)</f>
        <v>West</v>
      </c>
      <c r="U1102" t="str">
        <f>VLOOKUP(Table1[[#This Row],[Customer ID]],Customers!$A$2:$F$201,6,0)</f>
        <v>Consumer</v>
      </c>
      <c r="V1102" t="str">
        <f>TEXT(Table1[[#This Row],[Order Date]],"MMM")</f>
        <v>Nov</v>
      </c>
      <c r="W1102" t="str">
        <f>TEXT(Table1[[#This Row],[Order Date]],"yyyy")</f>
        <v>2025</v>
      </c>
    </row>
    <row r="1103" spans="1:23" x14ac:dyDescent="0.25">
      <c r="A1103" s="2" t="s">
        <v>1349</v>
      </c>
      <c r="B1103" s="4">
        <v>45964</v>
      </c>
      <c r="C1103" s="2" t="s">
        <v>902</v>
      </c>
      <c r="D1103" s="2" t="str">
        <f>TEXT(Table1[[#This Row],[Order Date]],"mmmm")</f>
        <v>November</v>
      </c>
      <c r="E1103" s="2" t="s">
        <v>60</v>
      </c>
      <c r="F1103" s="2">
        <v>10</v>
      </c>
      <c r="G1103" s="5">
        <v>0.05</v>
      </c>
      <c r="H1103" s="2" t="s">
        <v>30</v>
      </c>
      <c r="I1103" s="2" t="s">
        <v>46</v>
      </c>
      <c r="J1103" s="2" t="s">
        <v>21</v>
      </c>
      <c r="K1103">
        <f>VLOOKUP(E1103,Products!$A$2:$E$23,5,0)</f>
        <v>449</v>
      </c>
      <c r="L1103">
        <f>VLOOKUP(E1103,Products!$A$2:$E$23,4,0)</f>
        <v>260</v>
      </c>
      <c r="M1103" s="2">
        <f>K1103*F1103-Table1[[#This Row],[discount_amount]]</f>
        <v>4265.5</v>
      </c>
      <c r="N1103">
        <f t="shared" si="35"/>
        <v>2600</v>
      </c>
      <c r="O1103">
        <f t="shared" si="34"/>
        <v>1665.5</v>
      </c>
      <c r="P1103">
        <f>Table1[[#This Row],[Quantity]]*Table1[[#This Row],[unit_price]]*Table1[[#This Row],[Discount]]</f>
        <v>224.5</v>
      </c>
      <c r="Q1103" t="str">
        <f>VLOOKUP(E1103,Products!$A$2:$E$23,2,0)</f>
        <v>Desk Organizer</v>
      </c>
      <c r="R1103" t="str">
        <f>VLOOKUP(Table1[[#This Row],[Product ID]],Products!$A$2:$E$23,3,0)</f>
        <v>Office Supplies</v>
      </c>
      <c r="S1103" t="str">
        <f>VLOOKUP(C1103,Customers!$A$2:$F$201,4,0)</f>
        <v>Gujarat</v>
      </c>
      <c r="T1103" t="str">
        <f>VLOOKUP(Table1[[#This Row],[Customer ID]],Customers!$A$2:$F$201,5,0)</f>
        <v>West</v>
      </c>
      <c r="U1103" t="str">
        <f>VLOOKUP(Table1[[#This Row],[Customer ID]],Customers!$A$2:$F$201,6,0)</f>
        <v>Consumer</v>
      </c>
      <c r="V1103" t="str">
        <f>TEXT(Table1[[#This Row],[Order Date]],"MMM")</f>
        <v>Nov</v>
      </c>
      <c r="W1103" t="str">
        <f>TEXT(Table1[[#This Row],[Order Date]],"yyyy")</f>
        <v>2025</v>
      </c>
    </row>
    <row r="1104" spans="1:23" x14ac:dyDescent="0.25">
      <c r="A1104" s="2" t="s">
        <v>1350</v>
      </c>
      <c r="B1104" s="4">
        <v>45965</v>
      </c>
      <c r="C1104" s="2" t="s">
        <v>676</v>
      </c>
      <c r="D1104" s="2" t="str">
        <f>TEXT(Table1[[#This Row],[Order Date]],"mmmm")</f>
        <v>November</v>
      </c>
      <c r="E1104" s="2" t="s">
        <v>135</v>
      </c>
      <c r="F1104" s="2">
        <v>2</v>
      </c>
      <c r="G1104" s="5">
        <v>0</v>
      </c>
      <c r="H1104" s="2" t="s">
        <v>25</v>
      </c>
      <c r="I1104" s="2" t="s">
        <v>46</v>
      </c>
      <c r="J1104" s="2" t="s">
        <v>21</v>
      </c>
      <c r="K1104">
        <f>VLOOKUP(E1104,Products!$A$2:$E$23,5,0)</f>
        <v>220</v>
      </c>
      <c r="L1104">
        <f>VLOOKUP(E1104,Products!$A$2:$E$23,4,0)</f>
        <v>120</v>
      </c>
      <c r="M1104" s="2">
        <f>K1104*F1104-Table1[[#This Row],[discount_amount]]</f>
        <v>440</v>
      </c>
      <c r="N1104">
        <f t="shared" si="35"/>
        <v>240</v>
      </c>
      <c r="O1104">
        <f t="shared" si="34"/>
        <v>200</v>
      </c>
      <c r="P1104">
        <f>Table1[[#This Row],[Quantity]]*Table1[[#This Row],[unit_price]]*Table1[[#This Row],[Discount]]</f>
        <v>0</v>
      </c>
      <c r="Q1104" t="str">
        <f>VLOOKUP(E1104,Products!$A$2:$E$23,2,0)</f>
        <v>Stapler</v>
      </c>
      <c r="R1104" t="str">
        <f>VLOOKUP(Table1[[#This Row],[Product ID]],Products!$A$2:$E$23,3,0)</f>
        <v>Office Supplies</v>
      </c>
      <c r="S1104" t="str">
        <f>VLOOKUP(C1104,Customers!$A$2:$F$201,4,0)</f>
        <v>Tamil Nadu</v>
      </c>
      <c r="T1104" t="str">
        <f>VLOOKUP(Table1[[#This Row],[Customer ID]],Customers!$A$2:$F$201,5,0)</f>
        <v>South</v>
      </c>
      <c r="U1104" t="str">
        <f>VLOOKUP(Table1[[#This Row],[Customer ID]],Customers!$A$2:$F$201,6,0)</f>
        <v>Consumer</v>
      </c>
      <c r="V1104" t="str">
        <f>TEXT(Table1[[#This Row],[Order Date]],"MMM")</f>
        <v>Nov</v>
      </c>
      <c r="W1104" t="str">
        <f>TEXT(Table1[[#This Row],[Order Date]],"yyyy")</f>
        <v>2025</v>
      </c>
    </row>
    <row r="1105" spans="1:23" x14ac:dyDescent="0.25">
      <c r="A1105" s="2" t="s">
        <v>1351</v>
      </c>
      <c r="B1105" s="4">
        <v>45965</v>
      </c>
      <c r="C1105" s="2" t="s">
        <v>148</v>
      </c>
      <c r="D1105" s="2" t="str">
        <f>TEXT(Table1[[#This Row],[Order Date]],"mmmm")</f>
        <v>November</v>
      </c>
      <c r="E1105" s="2" t="s">
        <v>18</v>
      </c>
      <c r="F1105" s="2">
        <v>1</v>
      </c>
      <c r="G1105" s="5">
        <v>0</v>
      </c>
      <c r="H1105" s="2" t="s">
        <v>19</v>
      </c>
      <c r="I1105" s="2" t="s">
        <v>20</v>
      </c>
      <c r="J1105" s="2" t="s">
        <v>21</v>
      </c>
      <c r="K1105">
        <f>VLOOKUP(E1105,Products!$A$2:$E$23,5,0)</f>
        <v>4299</v>
      </c>
      <c r="L1105">
        <f>VLOOKUP(E1105,Products!$A$2:$E$23,4,0)</f>
        <v>2800</v>
      </c>
      <c r="M1105" s="2">
        <f>K1105*F1105-Table1[[#This Row],[discount_amount]]</f>
        <v>4299</v>
      </c>
      <c r="N1105">
        <f t="shared" si="35"/>
        <v>2800</v>
      </c>
      <c r="O1105">
        <f t="shared" si="34"/>
        <v>1499</v>
      </c>
      <c r="P1105">
        <f>Table1[[#This Row],[Quantity]]*Table1[[#This Row],[unit_price]]*Table1[[#This Row],[Discount]]</f>
        <v>0</v>
      </c>
      <c r="Q1105" t="str">
        <f>VLOOKUP(E1105,Products!$A$2:$E$23,2,0)</f>
        <v>Bookshelf</v>
      </c>
      <c r="R1105" t="str">
        <f>VLOOKUP(Table1[[#This Row],[Product ID]],Products!$A$2:$E$23,3,0)</f>
        <v>Furniture</v>
      </c>
      <c r="S1105" t="str">
        <f>VLOOKUP(C1105,Customers!$A$2:$F$201,4,0)</f>
        <v>Uttar Pradesh</v>
      </c>
      <c r="T1105" t="str">
        <f>VLOOKUP(Table1[[#This Row],[Customer ID]],Customers!$A$2:$F$201,5,0)</f>
        <v>North</v>
      </c>
      <c r="U1105" t="str">
        <f>VLOOKUP(Table1[[#This Row],[Customer ID]],Customers!$A$2:$F$201,6,0)</f>
        <v>Corporate</v>
      </c>
      <c r="V1105" t="str">
        <f>TEXT(Table1[[#This Row],[Order Date]],"MMM")</f>
        <v>Nov</v>
      </c>
      <c r="W1105" t="str">
        <f>TEXT(Table1[[#This Row],[Order Date]],"yyyy")</f>
        <v>2025</v>
      </c>
    </row>
    <row r="1106" spans="1:23" x14ac:dyDescent="0.25">
      <c r="A1106" s="2" t="s">
        <v>1352</v>
      </c>
      <c r="B1106" s="4">
        <v>45965</v>
      </c>
      <c r="C1106" s="2" t="s">
        <v>62</v>
      </c>
      <c r="D1106" s="2" t="str">
        <f>TEXT(Table1[[#This Row],[Order Date]],"mmmm")</f>
        <v>November</v>
      </c>
      <c r="E1106" s="2" t="s">
        <v>60</v>
      </c>
      <c r="F1106" s="2">
        <v>5</v>
      </c>
      <c r="G1106" s="5">
        <v>0.1</v>
      </c>
      <c r="H1106" s="2" t="s">
        <v>30</v>
      </c>
      <c r="I1106" s="2" t="s">
        <v>20</v>
      </c>
      <c r="J1106" s="2" t="s">
        <v>21</v>
      </c>
      <c r="K1106">
        <f>VLOOKUP(E1106,Products!$A$2:$E$23,5,0)</f>
        <v>449</v>
      </c>
      <c r="L1106">
        <f>VLOOKUP(E1106,Products!$A$2:$E$23,4,0)</f>
        <v>260</v>
      </c>
      <c r="M1106" s="2">
        <f>K1106*F1106-Table1[[#This Row],[discount_amount]]</f>
        <v>2020.5</v>
      </c>
      <c r="N1106">
        <f t="shared" si="35"/>
        <v>1300</v>
      </c>
      <c r="O1106">
        <f t="shared" si="34"/>
        <v>720.5</v>
      </c>
      <c r="P1106">
        <f>Table1[[#This Row],[Quantity]]*Table1[[#This Row],[unit_price]]*Table1[[#This Row],[Discount]]</f>
        <v>224.5</v>
      </c>
      <c r="Q1106" t="str">
        <f>VLOOKUP(E1106,Products!$A$2:$E$23,2,0)</f>
        <v>Desk Organizer</v>
      </c>
      <c r="R1106" t="str">
        <f>VLOOKUP(Table1[[#This Row],[Product ID]],Products!$A$2:$E$23,3,0)</f>
        <v>Office Supplies</v>
      </c>
      <c r="S1106" t="str">
        <f>VLOOKUP(C1106,Customers!$A$2:$F$201,4,0)</f>
        <v>Maharashtra</v>
      </c>
      <c r="T1106" t="str">
        <f>VLOOKUP(Table1[[#This Row],[Customer ID]],Customers!$A$2:$F$201,5,0)</f>
        <v>West</v>
      </c>
      <c r="U1106" t="str">
        <f>VLOOKUP(Table1[[#This Row],[Customer ID]],Customers!$A$2:$F$201,6,0)</f>
        <v>Consumer</v>
      </c>
      <c r="V1106" t="str">
        <f>TEXT(Table1[[#This Row],[Order Date]],"MMM")</f>
        <v>Nov</v>
      </c>
      <c r="W1106" t="str">
        <f>TEXT(Table1[[#This Row],[Order Date]],"yyyy")</f>
        <v>2025</v>
      </c>
    </row>
    <row r="1107" spans="1:23" x14ac:dyDescent="0.25">
      <c r="A1107" s="2" t="s">
        <v>1353</v>
      </c>
      <c r="B1107" s="4">
        <v>45966</v>
      </c>
      <c r="C1107" s="2" t="s">
        <v>258</v>
      </c>
      <c r="D1107" s="2" t="str">
        <f>TEXT(Table1[[#This Row],[Order Date]],"mmmm")</f>
        <v>November</v>
      </c>
      <c r="E1107" s="2" t="s">
        <v>135</v>
      </c>
      <c r="F1107" s="2">
        <v>6</v>
      </c>
      <c r="G1107" s="5">
        <v>0.05</v>
      </c>
      <c r="H1107" s="2" t="s">
        <v>30</v>
      </c>
      <c r="I1107" s="2" t="s">
        <v>26</v>
      </c>
      <c r="J1107" s="2" t="s">
        <v>21</v>
      </c>
      <c r="K1107">
        <f>VLOOKUP(E1107,Products!$A$2:$E$23,5,0)</f>
        <v>220</v>
      </c>
      <c r="L1107">
        <f>VLOOKUP(E1107,Products!$A$2:$E$23,4,0)</f>
        <v>120</v>
      </c>
      <c r="M1107" s="2">
        <f>K1107*F1107-Table1[[#This Row],[discount_amount]]</f>
        <v>1254</v>
      </c>
      <c r="N1107">
        <f t="shared" si="35"/>
        <v>720</v>
      </c>
      <c r="O1107">
        <f t="shared" si="34"/>
        <v>534</v>
      </c>
      <c r="P1107">
        <f>Table1[[#This Row],[Quantity]]*Table1[[#This Row],[unit_price]]*Table1[[#This Row],[Discount]]</f>
        <v>66</v>
      </c>
      <c r="Q1107" t="str">
        <f>VLOOKUP(E1107,Products!$A$2:$E$23,2,0)</f>
        <v>Stapler</v>
      </c>
      <c r="R1107" t="str">
        <f>VLOOKUP(Table1[[#This Row],[Product ID]],Products!$A$2:$E$23,3,0)</f>
        <v>Office Supplies</v>
      </c>
      <c r="S1107" t="str">
        <f>VLOOKUP(C1107,Customers!$A$2:$F$201,4,0)</f>
        <v>Karnataka</v>
      </c>
      <c r="T1107" t="str">
        <f>VLOOKUP(Table1[[#This Row],[Customer ID]],Customers!$A$2:$F$201,5,0)</f>
        <v>South</v>
      </c>
      <c r="U1107" t="str">
        <f>VLOOKUP(Table1[[#This Row],[Customer ID]],Customers!$A$2:$F$201,6,0)</f>
        <v>Consumer</v>
      </c>
      <c r="V1107" t="str">
        <f>TEXT(Table1[[#This Row],[Order Date]],"MMM")</f>
        <v>Nov</v>
      </c>
      <c r="W1107" t="str">
        <f>TEXT(Table1[[#This Row],[Order Date]],"yyyy")</f>
        <v>2025</v>
      </c>
    </row>
    <row r="1108" spans="1:23" x14ac:dyDescent="0.25">
      <c r="A1108" s="2" t="s">
        <v>1354</v>
      </c>
      <c r="B1108" s="4">
        <v>45966</v>
      </c>
      <c r="C1108" s="2" t="s">
        <v>205</v>
      </c>
      <c r="D1108" s="2" t="str">
        <f>TEXT(Table1[[#This Row],[Order Date]],"mmmm")</f>
        <v>November</v>
      </c>
      <c r="E1108" s="2" t="s">
        <v>118</v>
      </c>
      <c r="F1108" s="2">
        <v>3</v>
      </c>
      <c r="G1108" s="5">
        <v>0</v>
      </c>
      <c r="H1108" s="2" t="s">
        <v>19</v>
      </c>
      <c r="I1108" s="2" t="s">
        <v>38</v>
      </c>
      <c r="J1108" s="2" t="s">
        <v>21</v>
      </c>
      <c r="K1108">
        <f>VLOOKUP(E1108,Products!$A$2:$E$23,5,0)</f>
        <v>150</v>
      </c>
      <c r="L1108">
        <f>VLOOKUP(E1108,Products!$A$2:$E$23,4,0)</f>
        <v>90</v>
      </c>
      <c r="M1108" s="2">
        <f>K1108*F1108-Table1[[#This Row],[discount_amount]]</f>
        <v>450</v>
      </c>
      <c r="N1108">
        <f t="shared" si="35"/>
        <v>270</v>
      </c>
      <c r="O1108">
        <f t="shared" si="34"/>
        <v>180</v>
      </c>
      <c r="P1108">
        <f>Table1[[#This Row],[Quantity]]*Table1[[#This Row],[unit_price]]*Table1[[#This Row],[Discount]]</f>
        <v>0</v>
      </c>
      <c r="Q1108" t="str">
        <f>VLOOKUP(E1108,Products!$A$2:$E$23,2,0)</f>
        <v>Gel Pen Box</v>
      </c>
      <c r="R1108" t="str">
        <f>VLOOKUP(Table1[[#This Row],[Product ID]],Products!$A$2:$E$23,3,0)</f>
        <v>Office Supplies</v>
      </c>
      <c r="S1108" t="str">
        <f>VLOOKUP(C1108,Customers!$A$2:$F$201,4,0)</f>
        <v>Gujarat</v>
      </c>
      <c r="T1108" t="str">
        <f>VLOOKUP(Table1[[#This Row],[Customer ID]],Customers!$A$2:$F$201,5,0)</f>
        <v>West</v>
      </c>
      <c r="U1108" t="str">
        <f>VLOOKUP(Table1[[#This Row],[Customer ID]],Customers!$A$2:$F$201,6,0)</f>
        <v>Consumer</v>
      </c>
      <c r="V1108" t="str">
        <f>TEXT(Table1[[#This Row],[Order Date]],"MMM")</f>
        <v>Nov</v>
      </c>
      <c r="W1108" t="str">
        <f>TEXT(Table1[[#This Row],[Order Date]],"yyyy")</f>
        <v>2025</v>
      </c>
    </row>
    <row r="1109" spans="1:23" x14ac:dyDescent="0.25">
      <c r="A1109" s="2" t="s">
        <v>1355</v>
      </c>
      <c r="B1109" s="4">
        <v>45967</v>
      </c>
      <c r="C1109" s="2" t="s">
        <v>582</v>
      </c>
      <c r="D1109" s="2" t="str">
        <f>TEXT(Table1[[#This Row],[Order Date]],"mmmm")</f>
        <v>November</v>
      </c>
      <c r="E1109" s="2" t="s">
        <v>24</v>
      </c>
      <c r="F1109" s="2">
        <v>6</v>
      </c>
      <c r="G1109" s="5">
        <v>0</v>
      </c>
      <c r="H1109" s="2" t="s">
        <v>30</v>
      </c>
      <c r="I1109" s="2" t="s">
        <v>31</v>
      </c>
      <c r="J1109" s="2" t="s">
        <v>21</v>
      </c>
      <c r="K1109">
        <f>VLOOKUP(E1109,Products!$A$2:$E$23,5,0)</f>
        <v>899</v>
      </c>
      <c r="L1109">
        <f>VLOOKUP(E1109,Products!$A$2:$E$23,4,0)</f>
        <v>500</v>
      </c>
      <c r="M1109" s="2">
        <f>K1109*F1109-Table1[[#This Row],[discount_amount]]</f>
        <v>5394</v>
      </c>
      <c r="N1109">
        <f t="shared" si="35"/>
        <v>3000</v>
      </c>
      <c r="O1109">
        <f t="shared" si="34"/>
        <v>2394</v>
      </c>
      <c r="P1109">
        <f>Table1[[#This Row],[Quantity]]*Table1[[#This Row],[unit_price]]*Table1[[#This Row],[Discount]]</f>
        <v>0</v>
      </c>
      <c r="Q1109" t="str">
        <f>VLOOKUP(E1109,Products!$A$2:$E$23,2,0)</f>
        <v>Monitor Stand</v>
      </c>
      <c r="R1109" t="str">
        <f>VLOOKUP(Table1[[#This Row],[Product ID]],Products!$A$2:$E$23,3,0)</f>
        <v>Furniture</v>
      </c>
      <c r="S1109" t="str">
        <f>VLOOKUP(C1109,Customers!$A$2:$F$201,4,0)</f>
        <v>Bihar</v>
      </c>
      <c r="T1109" t="str">
        <f>VLOOKUP(Table1[[#This Row],[Customer ID]],Customers!$A$2:$F$201,5,0)</f>
        <v>East</v>
      </c>
      <c r="U1109" t="str">
        <f>VLOOKUP(Table1[[#This Row],[Customer ID]],Customers!$A$2:$F$201,6,0)</f>
        <v>Corporate</v>
      </c>
      <c r="V1109" t="str">
        <f>TEXT(Table1[[#This Row],[Order Date]],"MMM")</f>
        <v>Nov</v>
      </c>
      <c r="W1109" t="str">
        <f>TEXT(Table1[[#This Row],[Order Date]],"yyyy")</f>
        <v>2025</v>
      </c>
    </row>
    <row r="1110" spans="1:23" x14ac:dyDescent="0.25">
      <c r="A1110" s="2" t="s">
        <v>1356</v>
      </c>
      <c r="B1110" s="4">
        <v>45967</v>
      </c>
      <c r="C1110" s="2" t="s">
        <v>269</v>
      </c>
      <c r="D1110" s="2" t="str">
        <f>TEXT(Table1[[#This Row],[Order Date]],"mmmm")</f>
        <v>November</v>
      </c>
      <c r="E1110" s="2" t="s">
        <v>41</v>
      </c>
      <c r="F1110" s="2">
        <v>5</v>
      </c>
      <c r="G1110" s="5">
        <v>0.15</v>
      </c>
      <c r="H1110" s="2" t="s">
        <v>19</v>
      </c>
      <c r="I1110" s="2" t="s">
        <v>20</v>
      </c>
      <c r="J1110" s="2" t="s">
        <v>42</v>
      </c>
      <c r="K1110">
        <f>VLOOKUP(E1110,Products!$A$2:$E$23,5,0)</f>
        <v>320</v>
      </c>
      <c r="L1110">
        <f>VLOOKUP(E1110,Products!$A$2:$E$23,4,0)</f>
        <v>220</v>
      </c>
      <c r="M1110" s="2">
        <f>K1110*F1110-Table1[[#This Row],[discount_amount]]</f>
        <v>1360</v>
      </c>
      <c r="N1110">
        <f t="shared" si="35"/>
        <v>1100</v>
      </c>
      <c r="O1110">
        <f t="shared" si="34"/>
        <v>260</v>
      </c>
      <c r="P1110">
        <f>Table1[[#This Row],[Quantity]]*Table1[[#This Row],[unit_price]]*Table1[[#This Row],[Discount]]</f>
        <v>240</v>
      </c>
      <c r="Q1110" t="str">
        <f>VLOOKUP(E1110,Products!$A$2:$E$23,2,0)</f>
        <v>A4 Paper Ream</v>
      </c>
      <c r="R1110" t="str">
        <f>VLOOKUP(Table1[[#This Row],[Product ID]],Products!$A$2:$E$23,3,0)</f>
        <v>Office Supplies</v>
      </c>
      <c r="S1110" t="str">
        <f>VLOOKUP(C1110,Customers!$A$2:$F$201,4,0)</f>
        <v>Delhi</v>
      </c>
      <c r="T1110" t="str">
        <f>VLOOKUP(Table1[[#This Row],[Customer ID]],Customers!$A$2:$F$201,5,0)</f>
        <v>North</v>
      </c>
      <c r="U1110" t="str">
        <f>VLOOKUP(Table1[[#This Row],[Customer ID]],Customers!$A$2:$F$201,6,0)</f>
        <v>Corporate</v>
      </c>
      <c r="V1110" t="str">
        <f>TEXT(Table1[[#This Row],[Order Date]],"MMM")</f>
        <v>Nov</v>
      </c>
      <c r="W1110" t="str">
        <f>TEXT(Table1[[#This Row],[Order Date]],"yyyy")</f>
        <v>2025</v>
      </c>
    </row>
    <row r="1111" spans="1:23" x14ac:dyDescent="0.25">
      <c r="A1111" s="2" t="s">
        <v>1357</v>
      </c>
      <c r="B1111" s="4">
        <v>45968</v>
      </c>
      <c r="C1111" s="2" t="s">
        <v>110</v>
      </c>
      <c r="D1111" s="2" t="str">
        <f>TEXT(Table1[[#This Row],[Order Date]],"mmmm")</f>
        <v>November</v>
      </c>
      <c r="E1111" s="2" t="s">
        <v>111</v>
      </c>
      <c r="F1111" s="2">
        <v>1</v>
      </c>
      <c r="G1111" s="5">
        <v>0.15</v>
      </c>
      <c r="H1111" s="2" t="s">
        <v>30</v>
      </c>
      <c r="I1111" s="2" t="s">
        <v>20</v>
      </c>
      <c r="J1111" s="2" t="s">
        <v>42</v>
      </c>
      <c r="K1111">
        <f>VLOOKUP(E1111,Products!$A$2:$E$23,5,0)</f>
        <v>240</v>
      </c>
      <c r="L1111">
        <f>VLOOKUP(E1111,Products!$A$2:$E$23,4,0)</f>
        <v>140</v>
      </c>
      <c r="M1111" s="2">
        <f>K1111*F1111-Table1[[#This Row],[discount_amount]]</f>
        <v>204</v>
      </c>
      <c r="N1111">
        <f t="shared" si="35"/>
        <v>140</v>
      </c>
      <c r="O1111">
        <f t="shared" si="34"/>
        <v>64</v>
      </c>
      <c r="P1111">
        <f>Table1[[#This Row],[Quantity]]*Table1[[#This Row],[unit_price]]*Table1[[#This Row],[Discount]]</f>
        <v>36</v>
      </c>
      <c r="Q1111" t="str">
        <f>VLOOKUP(E1111,Products!$A$2:$E$23,2,0)</f>
        <v>Whiteboard Marker Set</v>
      </c>
      <c r="R1111" t="str">
        <f>VLOOKUP(Table1[[#This Row],[Product ID]],Products!$A$2:$E$23,3,0)</f>
        <v>Office Supplies</v>
      </c>
      <c r="S1111" t="str">
        <f>VLOOKUP(C1111,Customers!$A$2:$F$201,4,0)</f>
        <v>Gujarat</v>
      </c>
      <c r="T1111" t="str">
        <f>VLOOKUP(Table1[[#This Row],[Customer ID]],Customers!$A$2:$F$201,5,0)</f>
        <v>West</v>
      </c>
      <c r="U1111" t="str">
        <f>VLOOKUP(Table1[[#This Row],[Customer ID]],Customers!$A$2:$F$201,6,0)</f>
        <v>Corporate</v>
      </c>
      <c r="V1111" t="str">
        <f>TEXT(Table1[[#This Row],[Order Date]],"MMM")</f>
        <v>Nov</v>
      </c>
      <c r="W1111" t="str">
        <f>TEXT(Table1[[#This Row],[Order Date]],"yyyy")</f>
        <v>2025</v>
      </c>
    </row>
    <row r="1112" spans="1:23" x14ac:dyDescent="0.25">
      <c r="A1112" s="2" t="s">
        <v>1358</v>
      </c>
      <c r="B1112" s="4">
        <v>45968</v>
      </c>
      <c r="C1112" s="2" t="s">
        <v>174</v>
      </c>
      <c r="D1112" s="2" t="str">
        <f>TEXT(Table1[[#This Row],[Order Date]],"mmmm")</f>
        <v>November</v>
      </c>
      <c r="E1112" s="2" t="s">
        <v>91</v>
      </c>
      <c r="F1112" s="2">
        <v>2</v>
      </c>
      <c r="G1112" s="5">
        <v>0.2</v>
      </c>
      <c r="H1112" s="2" t="s">
        <v>25</v>
      </c>
      <c r="I1112" s="2" t="s">
        <v>26</v>
      </c>
      <c r="J1112" s="2" t="s">
        <v>21</v>
      </c>
      <c r="K1112">
        <f>VLOOKUP(E1112,Products!$A$2:$E$23,5,0)</f>
        <v>1199</v>
      </c>
      <c r="L1112">
        <f>VLOOKUP(E1112,Products!$A$2:$E$23,4,0)</f>
        <v>600</v>
      </c>
      <c r="M1112" s="2">
        <f>K1112*F1112-Table1[[#This Row],[discount_amount]]</f>
        <v>1918.4</v>
      </c>
      <c r="N1112">
        <f t="shared" si="35"/>
        <v>1200</v>
      </c>
      <c r="O1112">
        <f t="shared" si="34"/>
        <v>718.40000000000009</v>
      </c>
      <c r="P1112">
        <f>Table1[[#This Row],[Quantity]]*Table1[[#This Row],[unit_price]]*Table1[[#This Row],[Discount]]</f>
        <v>479.6</v>
      </c>
      <c r="Q1112" t="str">
        <f>VLOOKUP(E1112,Products!$A$2:$E$23,2,0)</f>
        <v>Formal Shirt</v>
      </c>
      <c r="R1112" t="str">
        <f>VLOOKUP(Table1[[#This Row],[Product ID]],Products!$A$2:$E$23,3,0)</f>
        <v>Clothing</v>
      </c>
      <c r="S1112" t="str">
        <f>VLOOKUP(C1112,Customers!$A$2:$F$201,4,0)</f>
        <v>Gujarat</v>
      </c>
      <c r="T1112" t="str">
        <f>VLOOKUP(Table1[[#This Row],[Customer ID]],Customers!$A$2:$F$201,5,0)</f>
        <v>West</v>
      </c>
      <c r="U1112" t="str">
        <f>VLOOKUP(Table1[[#This Row],[Customer ID]],Customers!$A$2:$F$201,6,0)</f>
        <v>Consumer</v>
      </c>
      <c r="V1112" t="str">
        <f>TEXT(Table1[[#This Row],[Order Date]],"MMM")</f>
        <v>Nov</v>
      </c>
      <c r="W1112" t="str">
        <f>TEXT(Table1[[#This Row],[Order Date]],"yyyy")</f>
        <v>2025</v>
      </c>
    </row>
    <row r="1113" spans="1:23" x14ac:dyDescent="0.25">
      <c r="A1113" s="2" t="s">
        <v>1359</v>
      </c>
      <c r="B1113" s="4">
        <v>45969</v>
      </c>
      <c r="C1113" s="2" t="s">
        <v>132</v>
      </c>
      <c r="D1113" s="2" t="str">
        <f>TEXT(Table1[[#This Row],[Order Date]],"mmmm")</f>
        <v>November</v>
      </c>
      <c r="E1113" s="2" t="s">
        <v>60</v>
      </c>
      <c r="F1113" s="2">
        <v>12</v>
      </c>
      <c r="G1113" s="5">
        <v>0.1</v>
      </c>
      <c r="H1113" s="2" t="s">
        <v>25</v>
      </c>
      <c r="I1113" s="2" t="s">
        <v>20</v>
      </c>
      <c r="J1113" s="2" t="s">
        <v>21</v>
      </c>
      <c r="K1113">
        <f>VLOOKUP(E1113,Products!$A$2:$E$23,5,0)</f>
        <v>449</v>
      </c>
      <c r="L1113">
        <f>VLOOKUP(E1113,Products!$A$2:$E$23,4,0)</f>
        <v>260</v>
      </c>
      <c r="M1113" s="2">
        <f>K1113*F1113-Table1[[#This Row],[discount_amount]]</f>
        <v>4849.2</v>
      </c>
      <c r="N1113">
        <f t="shared" si="35"/>
        <v>3120</v>
      </c>
      <c r="O1113">
        <f t="shared" si="34"/>
        <v>1729.1999999999998</v>
      </c>
      <c r="P1113">
        <f>Table1[[#This Row],[Quantity]]*Table1[[#This Row],[unit_price]]*Table1[[#This Row],[Discount]]</f>
        <v>538.80000000000007</v>
      </c>
      <c r="Q1113" t="str">
        <f>VLOOKUP(E1113,Products!$A$2:$E$23,2,0)</f>
        <v>Desk Organizer</v>
      </c>
      <c r="R1113" t="str">
        <f>VLOOKUP(Table1[[#This Row],[Product ID]],Products!$A$2:$E$23,3,0)</f>
        <v>Office Supplies</v>
      </c>
      <c r="S1113" t="str">
        <f>VLOOKUP(C1113,Customers!$A$2:$F$201,4,0)</f>
        <v>Madhya Pradesh</v>
      </c>
      <c r="T1113" t="str">
        <f>VLOOKUP(Table1[[#This Row],[Customer ID]],Customers!$A$2:$F$201,5,0)</f>
        <v>Central</v>
      </c>
      <c r="U1113" t="str">
        <f>VLOOKUP(Table1[[#This Row],[Customer ID]],Customers!$A$2:$F$201,6,0)</f>
        <v>Consumer</v>
      </c>
      <c r="V1113" t="str">
        <f>TEXT(Table1[[#This Row],[Order Date]],"MMM")</f>
        <v>Nov</v>
      </c>
      <c r="W1113" t="str">
        <f>TEXT(Table1[[#This Row],[Order Date]],"yyyy")</f>
        <v>2025</v>
      </c>
    </row>
    <row r="1114" spans="1:23" x14ac:dyDescent="0.25">
      <c r="A1114" s="2" t="s">
        <v>1360</v>
      </c>
      <c r="B1114" s="4">
        <v>45969</v>
      </c>
      <c r="C1114" s="2" t="s">
        <v>335</v>
      </c>
      <c r="D1114" s="2" t="str">
        <f>TEXT(Table1[[#This Row],[Order Date]],"mmmm")</f>
        <v>November</v>
      </c>
      <c r="E1114" s="2" t="s">
        <v>135</v>
      </c>
      <c r="F1114" s="2">
        <v>2</v>
      </c>
      <c r="G1114" s="5">
        <v>0.05</v>
      </c>
      <c r="H1114" s="2" t="s">
        <v>19</v>
      </c>
      <c r="I1114" s="2" t="s">
        <v>38</v>
      </c>
      <c r="J1114" s="2" t="s">
        <v>94</v>
      </c>
      <c r="K1114">
        <f>VLOOKUP(E1114,Products!$A$2:$E$23,5,0)</f>
        <v>220</v>
      </c>
      <c r="L1114">
        <f>VLOOKUP(E1114,Products!$A$2:$E$23,4,0)</f>
        <v>120</v>
      </c>
      <c r="M1114" s="2">
        <f>K1114*F1114-Table1[[#This Row],[discount_amount]]</f>
        <v>418</v>
      </c>
      <c r="N1114">
        <f t="shared" si="35"/>
        <v>240</v>
      </c>
      <c r="O1114">
        <f t="shared" si="34"/>
        <v>178</v>
      </c>
      <c r="P1114">
        <f>Table1[[#This Row],[Quantity]]*Table1[[#This Row],[unit_price]]*Table1[[#This Row],[Discount]]</f>
        <v>22</v>
      </c>
      <c r="Q1114" t="str">
        <f>VLOOKUP(E1114,Products!$A$2:$E$23,2,0)</f>
        <v>Stapler</v>
      </c>
      <c r="R1114" t="str">
        <f>VLOOKUP(Table1[[#This Row],[Product ID]],Products!$A$2:$E$23,3,0)</f>
        <v>Office Supplies</v>
      </c>
      <c r="S1114" t="str">
        <f>VLOOKUP(C1114,Customers!$A$2:$F$201,4,0)</f>
        <v>Chandigarh</v>
      </c>
      <c r="T1114" t="str">
        <f>VLOOKUP(Table1[[#This Row],[Customer ID]],Customers!$A$2:$F$201,5,0)</f>
        <v>North</v>
      </c>
      <c r="U1114" t="str">
        <f>VLOOKUP(Table1[[#This Row],[Customer ID]],Customers!$A$2:$F$201,6,0)</f>
        <v>Consumer</v>
      </c>
      <c r="V1114" t="str">
        <f>TEXT(Table1[[#This Row],[Order Date]],"MMM")</f>
        <v>Nov</v>
      </c>
      <c r="W1114" t="str">
        <f>TEXT(Table1[[#This Row],[Order Date]],"yyyy")</f>
        <v>2025</v>
      </c>
    </row>
    <row r="1115" spans="1:23" x14ac:dyDescent="0.25">
      <c r="A1115" s="2" t="s">
        <v>1361</v>
      </c>
      <c r="B1115" s="4">
        <v>45969</v>
      </c>
      <c r="C1115" s="2" t="s">
        <v>166</v>
      </c>
      <c r="D1115" s="2" t="str">
        <f>TEXT(Table1[[#This Row],[Order Date]],"mmmm")</f>
        <v>November</v>
      </c>
      <c r="E1115" s="2" t="s">
        <v>45</v>
      </c>
      <c r="F1115" s="2">
        <v>2</v>
      </c>
      <c r="G1115" s="5">
        <v>0.05</v>
      </c>
      <c r="H1115" s="2" t="s">
        <v>30</v>
      </c>
      <c r="I1115" s="2" t="s">
        <v>26</v>
      </c>
      <c r="J1115" s="2" t="s">
        <v>94</v>
      </c>
      <c r="K1115">
        <f>VLOOKUP(E1115,Products!$A$2:$E$23,5,0)</f>
        <v>899</v>
      </c>
      <c r="L1115">
        <f>VLOOKUP(E1115,Products!$A$2:$E$23,4,0)</f>
        <v>450</v>
      </c>
      <c r="M1115" s="2">
        <f>K1115*F1115-Table1[[#This Row],[discount_amount]]</f>
        <v>1708.1</v>
      </c>
      <c r="N1115">
        <f t="shared" si="35"/>
        <v>900</v>
      </c>
      <c r="O1115">
        <f t="shared" si="34"/>
        <v>808.09999999999991</v>
      </c>
      <c r="P1115">
        <f>Table1[[#This Row],[Quantity]]*Table1[[#This Row],[unit_price]]*Table1[[#This Row],[Discount]]</f>
        <v>89.9</v>
      </c>
      <c r="Q1115" t="str">
        <f>VLOOKUP(E1115,Products!$A$2:$E$23,2,0)</f>
        <v>Track Pants</v>
      </c>
      <c r="R1115" t="str">
        <f>VLOOKUP(Table1[[#This Row],[Product ID]],Products!$A$2:$E$23,3,0)</f>
        <v>Clothing</v>
      </c>
      <c r="S1115" t="str">
        <f>VLOOKUP(C1115,Customers!$A$2:$F$201,4,0)</f>
        <v>Gujarat</v>
      </c>
      <c r="T1115" t="str">
        <f>VLOOKUP(Table1[[#This Row],[Customer ID]],Customers!$A$2:$F$201,5,0)</f>
        <v>West</v>
      </c>
      <c r="U1115" t="str">
        <f>VLOOKUP(Table1[[#This Row],[Customer ID]],Customers!$A$2:$F$201,6,0)</f>
        <v>Consumer</v>
      </c>
      <c r="V1115" t="str">
        <f>TEXT(Table1[[#This Row],[Order Date]],"MMM")</f>
        <v>Nov</v>
      </c>
      <c r="W1115" t="str">
        <f>TEXT(Table1[[#This Row],[Order Date]],"yyyy")</f>
        <v>2025</v>
      </c>
    </row>
    <row r="1116" spans="1:23" x14ac:dyDescent="0.25">
      <c r="A1116" s="2" t="s">
        <v>1362</v>
      </c>
      <c r="B1116" s="4">
        <v>45970</v>
      </c>
      <c r="C1116" s="2" t="s">
        <v>656</v>
      </c>
      <c r="D1116" s="2" t="str">
        <f>TEXT(Table1[[#This Row],[Order Date]],"mmmm")</f>
        <v>November</v>
      </c>
      <c r="E1116" s="2" t="s">
        <v>73</v>
      </c>
      <c r="F1116" s="2">
        <v>2</v>
      </c>
      <c r="G1116" s="5">
        <v>0</v>
      </c>
      <c r="H1116" s="2" t="s">
        <v>25</v>
      </c>
      <c r="I1116" s="2" t="s">
        <v>20</v>
      </c>
      <c r="J1116" s="2" t="s">
        <v>21</v>
      </c>
      <c r="K1116">
        <f>VLOOKUP(E1116,Products!$A$2:$E$23,5,0)</f>
        <v>6499</v>
      </c>
      <c r="L1116">
        <f>VLOOKUP(E1116,Products!$A$2:$E$23,4,0)</f>
        <v>4200</v>
      </c>
      <c r="M1116" s="2">
        <f>K1116*F1116-Table1[[#This Row],[discount_amount]]</f>
        <v>12998</v>
      </c>
      <c r="N1116">
        <f t="shared" si="35"/>
        <v>8400</v>
      </c>
      <c r="O1116">
        <f t="shared" si="34"/>
        <v>4598</v>
      </c>
      <c r="P1116">
        <f>Table1[[#This Row],[Quantity]]*Table1[[#This Row],[unit_price]]*Table1[[#This Row],[Discount]]</f>
        <v>0</v>
      </c>
      <c r="Q1116" t="str">
        <f>VLOOKUP(E1116,Products!$A$2:$E$23,2,0)</f>
        <v>Study Table</v>
      </c>
      <c r="R1116" t="str">
        <f>VLOOKUP(Table1[[#This Row],[Product ID]],Products!$A$2:$E$23,3,0)</f>
        <v>Furniture</v>
      </c>
      <c r="S1116" t="str">
        <f>VLOOKUP(C1116,Customers!$A$2:$F$201,4,0)</f>
        <v>Kerala</v>
      </c>
      <c r="T1116" t="str">
        <f>VLOOKUP(Table1[[#This Row],[Customer ID]],Customers!$A$2:$F$201,5,0)</f>
        <v>South</v>
      </c>
      <c r="U1116" t="str">
        <f>VLOOKUP(Table1[[#This Row],[Customer ID]],Customers!$A$2:$F$201,6,0)</f>
        <v>Consumer</v>
      </c>
      <c r="V1116" t="str">
        <f>TEXT(Table1[[#This Row],[Order Date]],"MMM")</f>
        <v>Nov</v>
      </c>
      <c r="W1116" t="str">
        <f>TEXT(Table1[[#This Row],[Order Date]],"yyyy")</f>
        <v>2025</v>
      </c>
    </row>
    <row r="1117" spans="1:23" x14ac:dyDescent="0.25">
      <c r="A1117" s="2" t="s">
        <v>1363</v>
      </c>
      <c r="B1117" s="4">
        <v>45970</v>
      </c>
      <c r="C1117" s="2" t="s">
        <v>231</v>
      </c>
      <c r="D1117" s="2" t="str">
        <f>TEXT(Table1[[#This Row],[Order Date]],"mmmm")</f>
        <v>November</v>
      </c>
      <c r="E1117" s="2" t="s">
        <v>118</v>
      </c>
      <c r="F1117" s="2">
        <v>2</v>
      </c>
      <c r="G1117" s="5">
        <v>0.15</v>
      </c>
      <c r="H1117" s="2" t="s">
        <v>30</v>
      </c>
      <c r="I1117" s="2" t="s">
        <v>20</v>
      </c>
      <c r="J1117" s="2" t="s">
        <v>79</v>
      </c>
      <c r="K1117">
        <f>VLOOKUP(E1117,Products!$A$2:$E$23,5,0)</f>
        <v>150</v>
      </c>
      <c r="L1117">
        <f>VLOOKUP(E1117,Products!$A$2:$E$23,4,0)</f>
        <v>90</v>
      </c>
      <c r="M1117" s="2">
        <f>K1117*F1117-Table1[[#This Row],[discount_amount]]</f>
        <v>255</v>
      </c>
      <c r="N1117">
        <f t="shared" si="35"/>
        <v>180</v>
      </c>
      <c r="O1117">
        <f t="shared" si="34"/>
        <v>75</v>
      </c>
      <c r="P1117">
        <f>Table1[[#This Row],[Quantity]]*Table1[[#This Row],[unit_price]]*Table1[[#This Row],[Discount]]</f>
        <v>45</v>
      </c>
      <c r="Q1117" t="str">
        <f>VLOOKUP(E1117,Products!$A$2:$E$23,2,0)</f>
        <v>Gel Pen Box</v>
      </c>
      <c r="R1117" t="str">
        <f>VLOOKUP(Table1[[#This Row],[Product ID]],Products!$A$2:$E$23,3,0)</f>
        <v>Office Supplies</v>
      </c>
      <c r="S1117" t="str">
        <f>VLOOKUP(C1117,Customers!$A$2:$F$201,4,0)</f>
        <v>Bihar</v>
      </c>
      <c r="T1117" t="str">
        <f>VLOOKUP(Table1[[#This Row],[Customer ID]],Customers!$A$2:$F$201,5,0)</f>
        <v>East</v>
      </c>
      <c r="U1117" t="str">
        <f>VLOOKUP(Table1[[#This Row],[Customer ID]],Customers!$A$2:$F$201,6,0)</f>
        <v>Corporate</v>
      </c>
      <c r="V1117" t="str">
        <f>TEXT(Table1[[#This Row],[Order Date]],"MMM")</f>
        <v>Nov</v>
      </c>
      <c r="W1117" t="str">
        <f>TEXT(Table1[[#This Row],[Order Date]],"yyyy")</f>
        <v>2025</v>
      </c>
    </row>
    <row r="1118" spans="1:23" x14ac:dyDescent="0.25">
      <c r="A1118" s="2" t="s">
        <v>1364</v>
      </c>
      <c r="B1118" s="4">
        <v>45970</v>
      </c>
      <c r="C1118" s="2" t="s">
        <v>320</v>
      </c>
      <c r="D1118" s="2" t="str">
        <f>TEXT(Table1[[#This Row],[Order Date]],"mmmm")</f>
        <v>November</v>
      </c>
      <c r="E1118" s="2" t="s">
        <v>18</v>
      </c>
      <c r="F1118" s="2">
        <v>6</v>
      </c>
      <c r="G1118" s="5">
        <v>0.2</v>
      </c>
      <c r="H1118" s="2" t="s">
        <v>19</v>
      </c>
      <c r="I1118" s="2" t="s">
        <v>31</v>
      </c>
      <c r="J1118" s="2" t="s">
        <v>21</v>
      </c>
      <c r="K1118">
        <f>VLOOKUP(E1118,Products!$A$2:$E$23,5,0)</f>
        <v>4299</v>
      </c>
      <c r="L1118">
        <f>VLOOKUP(E1118,Products!$A$2:$E$23,4,0)</f>
        <v>2800</v>
      </c>
      <c r="M1118" s="2">
        <f>K1118*F1118-Table1[[#This Row],[discount_amount]]</f>
        <v>20635.2</v>
      </c>
      <c r="N1118">
        <f t="shared" si="35"/>
        <v>16800</v>
      </c>
      <c r="O1118">
        <f t="shared" si="34"/>
        <v>3835.2000000000007</v>
      </c>
      <c r="P1118">
        <f>Table1[[#This Row],[Quantity]]*Table1[[#This Row],[unit_price]]*Table1[[#This Row],[Discount]]</f>
        <v>5158.8</v>
      </c>
      <c r="Q1118" t="str">
        <f>VLOOKUP(E1118,Products!$A$2:$E$23,2,0)</f>
        <v>Bookshelf</v>
      </c>
      <c r="R1118" t="str">
        <f>VLOOKUP(Table1[[#This Row],[Product ID]],Products!$A$2:$E$23,3,0)</f>
        <v>Furniture</v>
      </c>
      <c r="S1118" t="str">
        <f>VLOOKUP(C1118,Customers!$A$2:$F$201,4,0)</f>
        <v>Gujarat</v>
      </c>
      <c r="T1118" t="str">
        <f>VLOOKUP(Table1[[#This Row],[Customer ID]],Customers!$A$2:$F$201,5,0)</f>
        <v>West</v>
      </c>
      <c r="U1118" t="str">
        <f>VLOOKUP(Table1[[#This Row],[Customer ID]],Customers!$A$2:$F$201,6,0)</f>
        <v>Consumer</v>
      </c>
      <c r="V1118" t="str">
        <f>TEXT(Table1[[#This Row],[Order Date]],"MMM")</f>
        <v>Nov</v>
      </c>
      <c r="W1118" t="str">
        <f>TEXT(Table1[[#This Row],[Order Date]],"yyyy")</f>
        <v>2025</v>
      </c>
    </row>
    <row r="1119" spans="1:23" x14ac:dyDescent="0.25">
      <c r="A1119" s="2" t="s">
        <v>1365</v>
      </c>
      <c r="B1119" s="4">
        <v>45971</v>
      </c>
      <c r="C1119" s="2" t="s">
        <v>453</v>
      </c>
      <c r="D1119" s="2" t="str">
        <f>TEXT(Table1[[#This Row],[Order Date]],"mmmm")</f>
        <v>November</v>
      </c>
      <c r="E1119" s="2" t="s">
        <v>34</v>
      </c>
      <c r="F1119" s="2">
        <v>10</v>
      </c>
      <c r="G1119" s="5">
        <v>0.15</v>
      </c>
      <c r="H1119" s="2" t="s">
        <v>25</v>
      </c>
      <c r="I1119" s="2" t="s">
        <v>26</v>
      </c>
      <c r="J1119" s="2" t="s">
        <v>21</v>
      </c>
      <c r="K1119">
        <f>VLOOKUP(E1119,Products!$A$2:$E$23,5,0)</f>
        <v>4599</v>
      </c>
      <c r="L1119">
        <f>VLOOKUP(E1119,Products!$A$2:$E$23,4,0)</f>
        <v>3000</v>
      </c>
      <c r="M1119" s="2">
        <f>K1119*F1119-Table1[[#This Row],[discount_amount]]</f>
        <v>39091.5</v>
      </c>
      <c r="N1119">
        <f t="shared" si="35"/>
        <v>30000</v>
      </c>
      <c r="O1119">
        <f t="shared" si="34"/>
        <v>9091.5</v>
      </c>
      <c r="P1119">
        <f>Table1[[#This Row],[Quantity]]*Table1[[#This Row],[unit_price]]*Table1[[#This Row],[Discount]]</f>
        <v>6898.5</v>
      </c>
      <c r="Q1119" t="str">
        <f>VLOOKUP(E1119,Products!$A$2:$E$23,2,0)</f>
        <v>Filing Cabinet</v>
      </c>
      <c r="R1119" t="str">
        <f>VLOOKUP(Table1[[#This Row],[Product ID]],Products!$A$2:$E$23,3,0)</f>
        <v>Furniture</v>
      </c>
      <c r="S1119" t="str">
        <f>VLOOKUP(C1119,Customers!$A$2:$F$201,4,0)</f>
        <v>Chandigarh</v>
      </c>
      <c r="T1119" t="str">
        <f>VLOOKUP(Table1[[#This Row],[Customer ID]],Customers!$A$2:$F$201,5,0)</f>
        <v>North</v>
      </c>
      <c r="U1119" t="str">
        <f>VLOOKUP(Table1[[#This Row],[Customer ID]],Customers!$A$2:$F$201,6,0)</f>
        <v>Home Office</v>
      </c>
      <c r="V1119" t="str">
        <f>TEXT(Table1[[#This Row],[Order Date]],"MMM")</f>
        <v>Nov</v>
      </c>
      <c r="W1119" t="str">
        <f>TEXT(Table1[[#This Row],[Order Date]],"yyyy")</f>
        <v>2025</v>
      </c>
    </row>
    <row r="1120" spans="1:23" x14ac:dyDescent="0.25">
      <c r="A1120" s="2" t="s">
        <v>1366</v>
      </c>
      <c r="B1120" s="4">
        <v>45971</v>
      </c>
      <c r="C1120" s="2" t="s">
        <v>272</v>
      </c>
      <c r="D1120" s="2" t="str">
        <f>TEXT(Table1[[#This Row],[Order Date]],"mmmm")</f>
        <v>November</v>
      </c>
      <c r="E1120" s="2" t="s">
        <v>66</v>
      </c>
      <c r="F1120" s="2">
        <v>4</v>
      </c>
      <c r="G1120" s="5">
        <v>0</v>
      </c>
      <c r="H1120" s="2" t="s">
        <v>30</v>
      </c>
      <c r="I1120" s="2" t="s">
        <v>20</v>
      </c>
      <c r="J1120" s="2" t="s">
        <v>21</v>
      </c>
      <c r="K1120">
        <f>VLOOKUP(E1120,Products!$A$2:$E$23,5,0)</f>
        <v>1299</v>
      </c>
      <c r="L1120">
        <f>VLOOKUP(E1120,Products!$A$2:$E$23,4,0)</f>
        <v>800</v>
      </c>
      <c r="M1120" s="2">
        <f>K1120*F1120-Table1[[#This Row],[discount_amount]]</f>
        <v>5196</v>
      </c>
      <c r="N1120">
        <f t="shared" si="35"/>
        <v>3200</v>
      </c>
      <c r="O1120">
        <f t="shared" si="34"/>
        <v>1996</v>
      </c>
      <c r="P1120">
        <f>Table1[[#This Row],[Quantity]]*Table1[[#This Row],[unit_price]]*Table1[[#This Row],[Discount]]</f>
        <v>0</v>
      </c>
      <c r="Q1120" t="str">
        <f>VLOOKUP(E1120,Products!$A$2:$E$23,2,0)</f>
        <v>Power Bank 10000mAh</v>
      </c>
      <c r="R1120" t="str">
        <f>VLOOKUP(Table1[[#This Row],[Product ID]],Products!$A$2:$E$23,3,0)</f>
        <v>Electronics</v>
      </c>
      <c r="S1120" t="str">
        <f>VLOOKUP(C1120,Customers!$A$2:$F$201,4,0)</f>
        <v>Gujarat</v>
      </c>
      <c r="T1120" t="str">
        <f>VLOOKUP(Table1[[#This Row],[Customer ID]],Customers!$A$2:$F$201,5,0)</f>
        <v>West</v>
      </c>
      <c r="U1120" t="str">
        <f>VLOOKUP(Table1[[#This Row],[Customer ID]],Customers!$A$2:$F$201,6,0)</f>
        <v>Consumer</v>
      </c>
      <c r="V1120" t="str">
        <f>TEXT(Table1[[#This Row],[Order Date]],"MMM")</f>
        <v>Nov</v>
      </c>
      <c r="W1120" t="str">
        <f>TEXT(Table1[[#This Row],[Order Date]],"yyyy")</f>
        <v>2025</v>
      </c>
    </row>
    <row r="1121" spans="1:23" x14ac:dyDescent="0.25">
      <c r="A1121" s="2" t="s">
        <v>1367</v>
      </c>
      <c r="B1121" s="4">
        <v>45972</v>
      </c>
      <c r="C1121" s="2" t="s">
        <v>759</v>
      </c>
      <c r="D1121" s="2" t="str">
        <f>TEXT(Table1[[#This Row],[Order Date]],"mmmm")</f>
        <v>November</v>
      </c>
      <c r="E1121" s="2" t="s">
        <v>49</v>
      </c>
      <c r="F1121" s="2">
        <v>2</v>
      </c>
      <c r="G1121" s="5">
        <v>0.05</v>
      </c>
      <c r="H1121" s="2" t="s">
        <v>19</v>
      </c>
      <c r="I1121" s="2" t="s">
        <v>20</v>
      </c>
      <c r="J1121" s="2" t="s">
        <v>21</v>
      </c>
      <c r="K1121">
        <f>VLOOKUP(E1121,Products!$A$2:$E$23,5,0)</f>
        <v>700</v>
      </c>
      <c r="L1121">
        <f>VLOOKUP(E1121,Products!$A$2:$E$23,4,0)</f>
        <v>450</v>
      </c>
      <c r="M1121" s="2">
        <f>K1121*F1121-Table1[[#This Row],[discount_amount]]</f>
        <v>1330</v>
      </c>
      <c r="N1121">
        <f t="shared" si="35"/>
        <v>900</v>
      </c>
      <c r="O1121">
        <f t="shared" si="34"/>
        <v>430</v>
      </c>
      <c r="P1121">
        <f>Table1[[#This Row],[Quantity]]*Table1[[#This Row],[unit_price]]*Table1[[#This Row],[Discount]]</f>
        <v>70</v>
      </c>
      <c r="Q1121" t="str">
        <f>VLOOKUP(E1121,Products!$A$2:$E$23,2,0)</f>
        <v>Wireless Mouse</v>
      </c>
      <c r="R1121" t="str">
        <f>VLOOKUP(Table1[[#This Row],[Product ID]],Products!$A$2:$E$23,3,0)</f>
        <v>Electronics</v>
      </c>
      <c r="S1121" t="str">
        <f>VLOOKUP(C1121,Customers!$A$2:$F$201,4,0)</f>
        <v>Rajasthan</v>
      </c>
      <c r="T1121" t="str">
        <f>VLOOKUP(Table1[[#This Row],[Customer ID]],Customers!$A$2:$F$201,5,0)</f>
        <v>North</v>
      </c>
      <c r="U1121" t="str">
        <f>VLOOKUP(Table1[[#This Row],[Customer ID]],Customers!$A$2:$F$201,6,0)</f>
        <v>Consumer</v>
      </c>
      <c r="V1121" t="str">
        <f>TEXT(Table1[[#This Row],[Order Date]],"MMM")</f>
        <v>Nov</v>
      </c>
      <c r="W1121" t="str">
        <f>TEXT(Table1[[#This Row],[Order Date]],"yyyy")</f>
        <v>2025</v>
      </c>
    </row>
    <row r="1122" spans="1:23" x14ac:dyDescent="0.25">
      <c r="A1122" s="2" t="s">
        <v>1368</v>
      </c>
      <c r="B1122" s="4">
        <v>45973</v>
      </c>
      <c r="C1122" s="2" t="s">
        <v>676</v>
      </c>
      <c r="D1122" s="2" t="str">
        <f>TEXT(Table1[[#This Row],[Order Date]],"mmmm")</f>
        <v>November</v>
      </c>
      <c r="E1122" s="2" t="s">
        <v>82</v>
      </c>
      <c r="F1122" s="2">
        <v>4</v>
      </c>
      <c r="G1122" s="5">
        <v>0.1</v>
      </c>
      <c r="H1122" s="2" t="s">
        <v>30</v>
      </c>
      <c r="I1122" s="2" t="s">
        <v>31</v>
      </c>
      <c r="J1122" s="2" t="s">
        <v>21</v>
      </c>
      <c r="K1122">
        <f>VLOOKUP(E1122,Products!$A$2:$E$23,5,0)</f>
        <v>1799</v>
      </c>
      <c r="L1122">
        <f>VLOOKUP(E1122,Products!$A$2:$E$23,4,0)</f>
        <v>1100</v>
      </c>
      <c r="M1122" s="2">
        <f>K1122*F1122-Table1[[#This Row],[discount_amount]]</f>
        <v>6476.4</v>
      </c>
      <c r="N1122">
        <f t="shared" si="35"/>
        <v>4400</v>
      </c>
      <c r="O1122">
        <f t="shared" si="34"/>
        <v>2076.3999999999996</v>
      </c>
      <c r="P1122">
        <f>Table1[[#This Row],[Quantity]]*Table1[[#This Row],[unit_price]]*Table1[[#This Row],[Discount]]</f>
        <v>719.6</v>
      </c>
      <c r="Q1122" t="str">
        <f>VLOOKUP(E1122,Products!$A$2:$E$23,2,0)</f>
        <v>Webcam HD</v>
      </c>
      <c r="R1122" t="str">
        <f>VLOOKUP(Table1[[#This Row],[Product ID]],Products!$A$2:$E$23,3,0)</f>
        <v>Electronics</v>
      </c>
      <c r="S1122" t="str">
        <f>VLOOKUP(C1122,Customers!$A$2:$F$201,4,0)</f>
        <v>Tamil Nadu</v>
      </c>
      <c r="T1122" t="str">
        <f>VLOOKUP(Table1[[#This Row],[Customer ID]],Customers!$A$2:$F$201,5,0)</f>
        <v>South</v>
      </c>
      <c r="U1122" t="str">
        <f>VLOOKUP(Table1[[#This Row],[Customer ID]],Customers!$A$2:$F$201,6,0)</f>
        <v>Consumer</v>
      </c>
      <c r="V1122" t="str">
        <f>TEXT(Table1[[#This Row],[Order Date]],"MMM")</f>
        <v>Nov</v>
      </c>
      <c r="W1122" t="str">
        <f>TEXT(Table1[[#This Row],[Order Date]],"yyyy")</f>
        <v>2025</v>
      </c>
    </row>
    <row r="1123" spans="1:23" x14ac:dyDescent="0.25">
      <c r="A1123" s="2" t="s">
        <v>1369</v>
      </c>
      <c r="B1123" s="4">
        <v>45973</v>
      </c>
      <c r="C1123" s="2" t="s">
        <v>719</v>
      </c>
      <c r="D1123" s="2" t="str">
        <f>TEXT(Table1[[#This Row],[Order Date]],"mmmm")</f>
        <v>November</v>
      </c>
      <c r="E1123" s="2" t="s">
        <v>155</v>
      </c>
      <c r="F1123" s="2">
        <v>2</v>
      </c>
      <c r="G1123" s="5">
        <v>0</v>
      </c>
      <c r="H1123" s="2" t="s">
        <v>30</v>
      </c>
      <c r="I1123" s="2" t="s">
        <v>26</v>
      </c>
      <c r="J1123" s="2" t="s">
        <v>21</v>
      </c>
      <c r="K1123">
        <f>VLOOKUP(E1123,Products!$A$2:$E$23,5,0)</f>
        <v>1599</v>
      </c>
      <c r="L1123">
        <f>VLOOKUP(E1123,Products!$A$2:$E$23,4,0)</f>
        <v>900</v>
      </c>
      <c r="M1123" s="2">
        <f>K1123*F1123-Table1[[#This Row],[discount_amount]]</f>
        <v>3198</v>
      </c>
      <c r="N1123">
        <f t="shared" si="35"/>
        <v>1800</v>
      </c>
      <c r="O1123">
        <f t="shared" si="34"/>
        <v>1398</v>
      </c>
      <c r="P1123">
        <f>Table1[[#This Row],[Quantity]]*Table1[[#This Row],[unit_price]]*Table1[[#This Row],[Discount]]</f>
        <v>0</v>
      </c>
      <c r="Q1123" t="str">
        <f>VLOOKUP(E1123,Products!$A$2:$E$23,2,0)</f>
        <v>Headphones</v>
      </c>
      <c r="R1123" t="str">
        <f>VLOOKUP(Table1[[#This Row],[Product ID]],Products!$A$2:$E$23,3,0)</f>
        <v>Electronics</v>
      </c>
      <c r="S1123" t="str">
        <f>VLOOKUP(C1123,Customers!$A$2:$F$201,4,0)</f>
        <v>Gujarat</v>
      </c>
      <c r="T1123" t="str">
        <f>VLOOKUP(Table1[[#This Row],[Customer ID]],Customers!$A$2:$F$201,5,0)</f>
        <v>West</v>
      </c>
      <c r="U1123" t="str">
        <f>VLOOKUP(Table1[[#This Row],[Customer ID]],Customers!$A$2:$F$201,6,0)</f>
        <v>Corporate</v>
      </c>
      <c r="V1123" t="str">
        <f>TEXT(Table1[[#This Row],[Order Date]],"MMM")</f>
        <v>Nov</v>
      </c>
      <c r="W1123" t="str">
        <f>TEXT(Table1[[#This Row],[Order Date]],"yyyy")</f>
        <v>2025</v>
      </c>
    </row>
    <row r="1124" spans="1:23" x14ac:dyDescent="0.25">
      <c r="A1124" s="2" t="s">
        <v>1370</v>
      </c>
      <c r="B1124" s="4">
        <v>45974</v>
      </c>
      <c r="C1124" s="2" t="s">
        <v>142</v>
      </c>
      <c r="D1124" s="2" t="str">
        <f>TEXT(Table1[[#This Row],[Order Date]],"mmmm")</f>
        <v>November</v>
      </c>
      <c r="E1124" s="2" t="s">
        <v>135</v>
      </c>
      <c r="F1124" s="2">
        <v>2</v>
      </c>
      <c r="G1124" s="5">
        <v>0</v>
      </c>
      <c r="H1124" s="2" t="s">
        <v>19</v>
      </c>
      <c r="I1124" s="2" t="s">
        <v>38</v>
      </c>
      <c r="J1124" s="2" t="s">
        <v>21</v>
      </c>
      <c r="K1124">
        <f>VLOOKUP(E1124,Products!$A$2:$E$23,5,0)</f>
        <v>220</v>
      </c>
      <c r="L1124">
        <f>VLOOKUP(E1124,Products!$A$2:$E$23,4,0)</f>
        <v>120</v>
      </c>
      <c r="M1124" s="2">
        <f>K1124*F1124-Table1[[#This Row],[discount_amount]]</f>
        <v>440</v>
      </c>
      <c r="N1124">
        <f t="shared" si="35"/>
        <v>240</v>
      </c>
      <c r="O1124">
        <f t="shared" si="34"/>
        <v>200</v>
      </c>
      <c r="P1124">
        <f>Table1[[#This Row],[Quantity]]*Table1[[#This Row],[unit_price]]*Table1[[#This Row],[Discount]]</f>
        <v>0</v>
      </c>
      <c r="Q1124" t="str">
        <f>VLOOKUP(E1124,Products!$A$2:$E$23,2,0)</f>
        <v>Stapler</v>
      </c>
      <c r="R1124" t="str">
        <f>VLOOKUP(Table1[[#This Row],[Product ID]],Products!$A$2:$E$23,3,0)</f>
        <v>Office Supplies</v>
      </c>
      <c r="S1124" t="str">
        <f>VLOOKUP(C1124,Customers!$A$2:$F$201,4,0)</f>
        <v>Tamil Nadu</v>
      </c>
      <c r="T1124" t="str">
        <f>VLOOKUP(Table1[[#This Row],[Customer ID]],Customers!$A$2:$F$201,5,0)</f>
        <v>South</v>
      </c>
      <c r="U1124" t="str">
        <f>VLOOKUP(Table1[[#This Row],[Customer ID]],Customers!$A$2:$F$201,6,0)</f>
        <v>Corporate</v>
      </c>
      <c r="V1124" t="str">
        <f>TEXT(Table1[[#This Row],[Order Date]],"MMM")</f>
        <v>Nov</v>
      </c>
      <c r="W1124" t="str">
        <f>TEXT(Table1[[#This Row],[Order Date]],"yyyy")</f>
        <v>2025</v>
      </c>
    </row>
    <row r="1125" spans="1:23" x14ac:dyDescent="0.25">
      <c r="A1125" s="2" t="s">
        <v>1371</v>
      </c>
      <c r="B1125" s="4">
        <v>45975</v>
      </c>
      <c r="C1125" s="2" t="s">
        <v>501</v>
      </c>
      <c r="D1125" s="2" t="str">
        <f>TEXT(Table1[[#This Row],[Order Date]],"mmmm")</f>
        <v>November</v>
      </c>
      <c r="E1125" s="2" t="s">
        <v>18</v>
      </c>
      <c r="F1125" s="2">
        <v>4</v>
      </c>
      <c r="G1125" s="5">
        <v>0.05</v>
      </c>
      <c r="H1125" s="2" t="s">
        <v>25</v>
      </c>
      <c r="I1125" s="2" t="s">
        <v>38</v>
      </c>
      <c r="J1125" s="2" t="s">
        <v>21</v>
      </c>
      <c r="K1125">
        <f>VLOOKUP(E1125,Products!$A$2:$E$23,5,0)</f>
        <v>4299</v>
      </c>
      <c r="L1125">
        <f>VLOOKUP(E1125,Products!$A$2:$E$23,4,0)</f>
        <v>2800</v>
      </c>
      <c r="M1125" s="2">
        <f>K1125*F1125-Table1[[#This Row],[discount_amount]]</f>
        <v>16336.2</v>
      </c>
      <c r="N1125">
        <f t="shared" si="35"/>
        <v>11200</v>
      </c>
      <c r="O1125">
        <f t="shared" si="34"/>
        <v>5136.2000000000007</v>
      </c>
      <c r="P1125">
        <f>Table1[[#This Row],[Quantity]]*Table1[[#This Row],[unit_price]]*Table1[[#This Row],[Discount]]</f>
        <v>859.80000000000007</v>
      </c>
      <c r="Q1125" t="str">
        <f>VLOOKUP(E1125,Products!$A$2:$E$23,2,0)</f>
        <v>Bookshelf</v>
      </c>
      <c r="R1125" t="str">
        <f>VLOOKUP(Table1[[#This Row],[Product ID]],Products!$A$2:$E$23,3,0)</f>
        <v>Furniture</v>
      </c>
      <c r="S1125" t="str">
        <f>VLOOKUP(C1125,Customers!$A$2:$F$201,4,0)</f>
        <v>Tamil Nadu</v>
      </c>
      <c r="T1125" t="str">
        <f>VLOOKUP(Table1[[#This Row],[Customer ID]],Customers!$A$2:$F$201,5,0)</f>
        <v>South</v>
      </c>
      <c r="U1125" t="str">
        <f>VLOOKUP(Table1[[#This Row],[Customer ID]],Customers!$A$2:$F$201,6,0)</f>
        <v>Consumer</v>
      </c>
      <c r="V1125" t="str">
        <f>TEXT(Table1[[#This Row],[Order Date]],"MMM")</f>
        <v>Nov</v>
      </c>
      <c r="W1125" t="str">
        <f>TEXT(Table1[[#This Row],[Order Date]],"yyyy")</f>
        <v>2025</v>
      </c>
    </row>
    <row r="1126" spans="1:23" x14ac:dyDescent="0.25">
      <c r="A1126" s="2" t="s">
        <v>1372</v>
      </c>
      <c r="B1126" s="4">
        <v>45976</v>
      </c>
      <c r="C1126" s="2" t="s">
        <v>345</v>
      </c>
      <c r="D1126" s="2" t="str">
        <f>TEXT(Table1[[#This Row],[Order Date]],"mmmm")</f>
        <v>November</v>
      </c>
      <c r="E1126" s="2" t="s">
        <v>49</v>
      </c>
      <c r="F1126" s="2">
        <v>3</v>
      </c>
      <c r="G1126" s="5">
        <v>0.1</v>
      </c>
      <c r="H1126" s="2" t="s">
        <v>30</v>
      </c>
      <c r="I1126" s="2" t="s">
        <v>38</v>
      </c>
      <c r="J1126" s="2" t="s">
        <v>21</v>
      </c>
      <c r="K1126">
        <f>VLOOKUP(E1126,Products!$A$2:$E$23,5,0)</f>
        <v>700</v>
      </c>
      <c r="L1126">
        <f>VLOOKUP(E1126,Products!$A$2:$E$23,4,0)</f>
        <v>450</v>
      </c>
      <c r="M1126" s="2">
        <f>K1126*F1126-Table1[[#This Row],[discount_amount]]</f>
        <v>1890</v>
      </c>
      <c r="N1126">
        <f t="shared" si="35"/>
        <v>1350</v>
      </c>
      <c r="O1126">
        <f t="shared" si="34"/>
        <v>540</v>
      </c>
      <c r="P1126">
        <f>Table1[[#This Row],[Quantity]]*Table1[[#This Row],[unit_price]]*Table1[[#This Row],[Discount]]</f>
        <v>210</v>
      </c>
      <c r="Q1126" t="str">
        <f>VLOOKUP(E1126,Products!$A$2:$E$23,2,0)</f>
        <v>Wireless Mouse</v>
      </c>
      <c r="R1126" t="str">
        <f>VLOOKUP(Table1[[#This Row],[Product ID]],Products!$A$2:$E$23,3,0)</f>
        <v>Electronics</v>
      </c>
      <c r="S1126" t="str">
        <f>VLOOKUP(C1126,Customers!$A$2:$F$201,4,0)</f>
        <v>Gujarat</v>
      </c>
      <c r="T1126" t="str">
        <f>VLOOKUP(Table1[[#This Row],[Customer ID]],Customers!$A$2:$F$201,5,0)</f>
        <v>West</v>
      </c>
      <c r="U1126" t="str">
        <f>VLOOKUP(Table1[[#This Row],[Customer ID]],Customers!$A$2:$F$201,6,0)</f>
        <v>Consumer</v>
      </c>
      <c r="V1126" t="str">
        <f>TEXT(Table1[[#This Row],[Order Date]],"MMM")</f>
        <v>Nov</v>
      </c>
      <c r="W1126" t="str">
        <f>TEXT(Table1[[#This Row],[Order Date]],"yyyy")</f>
        <v>2025</v>
      </c>
    </row>
    <row r="1127" spans="1:23" x14ac:dyDescent="0.25">
      <c r="A1127" s="2" t="s">
        <v>1373</v>
      </c>
      <c r="B1127" s="4">
        <v>45976</v>
      </c>
      <c r="C1127" s="2" t="s">
        <v>577</v>
      </c>
      <c r="D1127" s="2" t="str">
        <f>TEXT(Table1[[#This Row],[Order Date]],"mmmm")</f>
        <v>November</v>
      </c>
      <c r="E1127" s="2" t="s">
        <v>63</v>
      </c>
      <c r="F1127" s="2">
        <v>1</v>
      </c>
      <c r="G1127" s="5">
        <v>0.05</v>
      </c>
      <c r="H1127" s="2" t="s">
        <v>19</v>
      </c>
      <c r="I1127" s="2" t="s">
        <v>20</v>
      </c>
      <c r="J1127" s="2" t="s">
        <v>42</v>
      </c>
      <c r="K1127">
        <f>VLOOKUP(E1127,Products!$A$2:$E$23,5,0)</f>
        <v>5499</v>
      </c>
      <c r="L1127">
        <f>VLOOKUP(E1127,Products!$A$2:$E$23,4,0)</f>
        <v>3500</v>
      </c>
      <c r="M1127" s="2">
        <f>K1127*F1127-Table1[[#This Row],[discount_amount]]</f>
        <v>5224.05</v>
      </c>
      <c r="N1127">
        <f t="shared" si="35"/>
        <v>3500</v>
      </c>
      <c r="O1127">
        <f t="shared" si="34"/>
        <v>1724.0500000000002</v>
      </c>
      <c r="P1127">
        <f>Table1[[#This Row],[Quantity]]*Table1[[#This Row],[unit_price]]*Table1[[#This Row],[Discount]]</f>
        <v>274.95</v>
      </c>
      <c r="Q1127" t="str">
        <f>VLOOKUP(E1127,Products!$A$2:$E$23,2,0)</f>
        <v>Office Chair</v>
      </c>
      <c r="R1127" t="str">
        <f>VLOOKUP(Table1[[#This Row],[Product ID]],Products!$A$2:$E$23,3,0)</f>
        <v>Furniture</v>
      </c>
      <c r="S1127" t="str">
        <f>VLOOKUP(C1127,Customers!$A$2:$F$201,4,0)</f>
        <v>Maharashtra</v>
      </c>
      <c r="T1127" t="str">
        <f>VLOOKUP(Table1[[#This Row],[Customer ID]],Customers!$A$2:$F$201,5,0)</f>
        <v>West</v>
      </c>
      <c r="U1127" t="str">
        <f>VLOOKUP(Table1[[#This Row],[Customer ID]],Customers!$A$2:$F$201,6,0)</f>
        <v>Corporate</v>
      </c>
      <c r="V1127" t="str">
        <f>TEXT(Table1[[#This Row],[Order Date]],"MMM")</f>
        <v>Nov</v>
      </c>
      <c r="W1127" t="str">
        <f>TEXT(Table1[[#This Row],[Order Date]],"yyyy")</f>
        <v>2025</v>
      </c>
    </row>
    <row r="1128" spans="1:23" x14ac:dyDescent="0.25">
      <c r="A1128" s="2" t="s">
        <v>1374</v>
      </c>
      <c r="B1128" s="4">
        <v>45978</v>
      </c>
      <c r="C1128" s="2" t="s">
        <v>333</v>
      </c>
      <c r="D1128" s="2" t="str">
        <f>TEXT(Table1[[#This Row],[Order Date]],"mmmm")</f>
        <v>November</v>
      </c>
      <c r="E1128" s="2" t="s">
        <v>111</v>
      </c>
      <c r="F1128" s="2">
        <v>8</v>
      </c>
      <c r="G1128" s="5">
        <v>0.05</v>
      </c>
      <c r="H1128" s="2" t="s">
        <v>19</v>
      </c>
      <c r="I1128" s="2" t="s">
        <v>26</v>
      </c>
      <c r="J1128" s="2" t="s">
        <v>21</v>
      </c>
      <c r="K1128">
        <f>VLOOKUP(E1128,Products!$A$2:$E$23,5,0)</f>
        <v>240</v>
      </c>
      <c r="L1128">
        <f>VLOOKUP(E1128,Products!$A$2:$E$23,4,0)</f>
        <v>140</v>
      </c>
      <c r="M1128" s="2">
        <f>K1128*F1128-Table1[[#This Row],[discount_amount]]</f>
        <v>1824</v>
      </c>
      <c r="N1128">
        <f t="shared" si="35"/>
        <v>1120</v>
      </c>
      <c r="O1128">
        <f t="shared" si="34"/>
        <v>704</v>
      </c>
      <c r="P1128">
        <f>Table1[[#This Row],[Quantity]]*Table1[[#This Row],[unit_price]]*Table1[[#This Row],[Discount]]</f>
        <v>96</v>
      </c>
      <c r="Q1128" t="str">
        <f>VLOOKUP(E1128,Products!$A$2:$E$23,2,0)</f>
        <v>Whiteboard Marker Set</v>
      </c>
      <c r="R1128" t="str">
        <f>VLOOKUP(Table1[[#This Row],[Product ID]],Products!$A$2:$E$23,3,0)</f>
        <v>Office Supplies</v>
      </c>
      <c r="S1128" t="str">
        <f>VLOOKUP(C1128,Customers!$A$2:$F$201,4,0)</f>
        <v>Rajasthan</v>
      </c>
      <c r="T1128" t="str">
        <f>VLOOKUP(Table1[[#This Row],[Customer ID]],Customers!$A$2:$F$201,5,0)</f>
        <v>North</v>
      </c>
      <c r="U1128" t="str">
        <f>VLOOKUP(Table1[[#This Row],[Customer ID]],Customers!$A$2:$F$201,6,0)</f>
        <v>Corporate</v>
      </c>
      <c r="V1128" t="str">
        <f>TEXT(Table1[[#This Row],[Order Date]],"MMM")</f>
        <v>Nov</v>
      </c>
      <c r="W1128" t="str">
        <f>TEXT(Table1[[#This Row],[Order Date]],"yyyy")</f>
        <v>2025</v>
      </c>
    </row>
    <row r="1129" spans="1:23" x14ac:dyDescent="0.25">
      <c r="A1129" s="2" t="s">
        <v>1375</v>
      </c>
      <c r="B1129" s="4">
        <v>45978</v>
      </c>
      <c r="C1129" s="2" t="s">
        <v>274</v>
      </c>
      <c r="D1129" s="2" t="str">
        <f>TEXT(Table1[[#This Row],[Order Date]],"mmmm")</f>
        <v>November</v>
      </c>
      <c r="E1129" s="2" t="s">
        <v>73</v>
      </c>
      <c r="F1129" s="2">
        <v>5</v>
      </c>
      <c r="G1129" s="5">
        <v>0.05</v>
      </c>
      <c r="H1129" s="2" t="s">
        <v>19</v>
      </c>
      <c r="I1129" s="2" t="s">
        <v>38</v>
      </c>
      <c r="J1129" s="2" t="s">
        <v>42</v>
      </c>
      <c r="K1129">
        <f>VLOOKUP(E1129,Products!$A$2:$E$23,5,0)</f>
        <v>6499</v>
      </c>
      <c r="L1129">
        <f>VLOOKUP(E1129,Products!$A$2:$E$23,4,0)</f>
        <v>4200</v>
      </c>
      <c r="M1129" s="2">
        <f>K1129*F1129-Table1[[#This Row],[discount_amount]]</f>
        <v>30870.25</v>
      </c>
      <c r="N1129">
        <f t="shared" si="35"/>
        <v>21000</v>
      </c>
      <c r="O1129">
        <f t="shared" si="34"/>
        <v>9870.25</v>
      </c>
      <c r="P1129">
        <f>Table1[[#This Row],[Quantity]]*Table1[[#This Row],[unit_price]]*Table1[[#This Row],[Discount]]</f>
        <v>1624.75</v>
      </c>
      <c r="Q1129" t="str">
        <f>VLOOKUP(E1129,Products!$A$2:$E$23,2,0)</f>
        <v>Study Table</v>
      </c>
      <c r="R1129" t="str">
        <f>VLOOKUP(Table1[[#This Row],[Product ID]],Products!$A$2:$E$23,3,0)</f>
        <v>Furniture</v>
      </c>
      <c r="S1129" t="str">
        <f>VLOOKUP(C1129,Customers!$A$2:$F$201,4,0)</f>
        <v>Madhya Pradesh</v>
      </c>
      <c r="T1129" t="str">
        <f>VLOOKUP(Table1[[#This Row],[Customer ID]],Customers!$A$2:$F$201,5,0)</f>
        <v>Central</v>
      </c>
      <c r="U1129" t="str">
        <f>VLOOKUP(Table1[[#This Row],[Customer ID]],Customers!$A$2:$F$201,6,0)</f>
        <v>Consumer</v>
      </c>
      <c r="V1129" t="str">
        <f>TEXT(Table1[[#This Row],[Order Date]],"MMM")</f>
        <v>Nov</v>
      </c>
      <c r="W1129" t="str">
        <f>TEXT(Table1[[#This Row],[Order Date]],"yyyy")</f>
        <v>2025</v>
      </c>
    </row>
    <row r="1130" spans="1:23" x14ac:dyDescent="0.25">
      <c r="A1130" s="2" t="s">
        <v>1376</v>
      </c>
      <c r="B1130" s="4">
        <v>45978</v>
      </c>
      <c r="C1130" s="2" t="s">
        <v>100</v>
      </c>
      <c r="D1130" s="2" t="str">
        <f>TEXT(Table1[[#This Row],[Order Date]],"mmmm")</f>
        <v>November</v>
      </c>
      <c r="E1130" s="2" t="s">
        <v>49</v>
      </c>
      <c r="F1130" s="2">
        <v>10</v>
      </c>
      <c r="G1130" s="5">
        <v>0.1</v>
      </c>
      <c r="H1130" s="2" t="s">
        <v>30</v>
      </c>
      <c r="I1130" s="2" t="s">
        <v>31</v>
      </c>
      <c r="J1130" s="2" t="s">
        <v>94</v>
      </c>
      <c r="K1130">
        <f>VLOOKUP(E1130,Products!$A$2:$E$23,5,0)</f>
        <v>700</v>
      </c>
      <c r="L1130">
        <f>VLOOKUP(E1130,Products!$A$2:$E$23,4,0)</f>
        <v>450</v>
      </c>
      <c r="M1130" s="2">
        <f>K1130*F1130-Table1[[#This Row],[discount_amount]]</f>
        <v>6300</v>
      </c>
      <c r="N1130">
        <f t="shared" si="35"/>
        <v>4500</v>
      </c>
      <c r="O1130">
        <f t="shared" si="34"/>
        <v>1800</v>
      </c>
      <c r="P1130">
        <f>Table1[[#This Row],[Quantity]]*Table1[[#This Row],[unit_price]]*Table1[[#This Row],[Discount]]</f>
        <v>700</v>
      </c>
      <c r="Q1130" t="str">
        <f>VLOOKUP(E1130,Products!$A$2:$E$23,2,0)</f>
        <v>Wireless Mouse</v>
      </c>
      <c r="R1130" t="str">
        <f>VLOOKUP(Table1[[#This Row],[Product ID]],Products!$A$2:$E$23,3,0)</f>
        <v>Electronics</v>
      </c>
      <c r="S1130" t="str">
        <f>VLOOKUP(C1130,Customers!$A$2:$F$201,4,0)</f>
        <v>Delhi</v>
      </c>
      <c r="T1130" t="str">
        <f>VLOOKUP(Table1[[#This Row],[Customer ID]],Customers!$A$2:$F$201,5,0)</f>
        <v>North</v>
      </c>
      <c r="U1130" t="str">
        <f>VLOOKUP(Table1[[#This Row],[Customer ID]],Customers!$A$2:$F$201,6,0)</f>
        <v>Consumer</v>
      </c>
      <c r="V1130" t="str">
        <f>TEXT(Table1[[#This Row],[Order Date]],"MMM")</f>
        <v>Nov</v>
      </c>
      <c r="W1130" t="str">
        <f>TEXT(Table1[[#This Row],[Order Date]],"yyyy")</f>
        <v>2025</v>
      </c>
    </row>
    <row r="1131" spans="1:23" x14ac:dyDescent="0.25">
      <c r="A1131" s="2" t="s">
        <v>1377</v>
      </c>
      <c r="B1131" s="4">
        <v>45978</v>
      </c>
      <c r="C1131" s="2" t="s">
        <v>188</v>
      </c>
      <c r="D1131" s="2" t="str">
        <f>TEXT(Table1[[#This Row],[Order Date]],"mmmm")</f>
        <v>November</v>
      </c>
      <c r="E1131" s="2" t="s">
        <v>155</v>
      </c>
      <c r="F1131" s="2">
        <v>6</v>
      </c>
      <c r="G1131" s="5">
        <v>0.1</v>
      </c>
      <c r="H1131" s="2" t="s">
        <v>19</v>
      </c>
      <c r="I1131" s="2" t="s">
        <v>31</v>
      </c>
      <c r="J1131" s="2" t="s">
        <v>21</v>
      </c>
      <c r="K1131">
        <f>VLOOKUP(E1131,Products!$A$2:$E$23,5,0)</f>
        <v>1599</v>
      </c>
      <c r="L1131">
        <f>VLOOKUP(E1131,Products!$A$2:$E$23,4,0)</f>
        <v>900</v>
      </c>
      <c r="M1131" s="2">
        <f>K1131*F1131-Table1[[#This Row],[discount_amount]]</f>
        <v>8634.6</v>
      </c>
      <c r="N1131">
        <f t="shared" si="35"/>
        <v>5400</v>
      </c>
      <c r="O1131">
        <f t="shared" si="34"/>
        <v>3234.6000000000004</v>
      </c>
      <c r="P1131">
        <f>Table1[[#This Row],[Quantity]]*Table1[[#This Row],[unit_price]]*Table1[[#This Row],[Discount]]</f>
        <v>959.40000000000009</v>
      </c>
      <c r="Q1131" t="str">
        <f>VLOOKUP(E1131,Products!$A$2:$E$23,2,0)</f>
        <v>Headphones</v>
      </c>
      <c r="R1131" t="str">
        <f>VLOOKUP(Table1[[#This Row],[Product ID]],Products!$A$2:$E$23,3,0)</f>
        <v>Electronics</v>
      </c>
      <c r="S1131" t="str">
        <f>VLOOKUP(C1131,Customers!$A$2:$F$201,4,0)</f>
        <v>Bihar</v>
      </c>
      <c r="T1131" t="str">
        <f>VLOOKUP(Table1[[#This Row],[Customer ID]],Customers!$A$2:$F$201,5,0)</f>
        <v>East</v>
      </c>
      <c r="U1131" t="str">
        <f>VLOOKUP(Table1[[#This Row],[Customer ID]],Customers!$A$2:$F$201,6,0)</f>
        <v>Corporate</v>
      </c>
      <c r="V1131" t="str">
        <f>TEXT(Table1[[#This Row],[Order Date]],"MMM")</f>
        <v>Nov</v>
      </c>
      <c r="W1131" t="str">
        <f>TEXT(Table1[[#This Row],[Order Date]],"yyyy")</f>
        <v>2025</v>
      </c>
    </row>
    <row r="1132" spans="1:23" x14ac:dyDescent="0.25">
      <c r="A1132" s="2" t="s">
        <v>1378</v>
      </c>
      <c r="B1132" s="4">
        <v>45978</v>
      </c>
      <c r="C1132" s="2" t="s">
        <v>248</v>
      </c>
      <c r="D1132" s="2" t="str">
        <f>TEXT(Table1[[#This Row],[Order Date]],"mmmm")</f>
        <v>November</v>
      </c>
      <c r="E1132" s="2" t="s">
        <v>45</v>
      </c>
      <c r="F1132" s="2">
        <v>12</v>
      </c>
      <c r="G1132" s="5">
        <v>0.05</v>
      </c>
      <c r="H1132" s="2" t="s">
        <v>25</v>
      </c>
      <c r="I1132" s="2" t="s">
        <v>26</v>
      </c>
      <c r="J1132" s="2" t="s">
        <v>21</v>
      </c>
      <c r="K1132">
        <f>VLOOKUP(E1132,Products!$A$2:$E$23,5,0)</f>
        <v>899</v>
      </c>
      <c r="L1132">
        <f>VLOOKUP(E1132,Products!$A$2:$E$23,4,0)</f>
        <v>450</v>
      </c>
      <c r="M1132" s="2">
        <f>K1132*F1132-Table1[[#This Row],[discount_amount]]</f>
        <v>10248.6</v>
      </c>
      <c r="N1132">
        <f t="shared" si="35"/>
        <v>5400</v>
      </c>
      <c r="O1132">
        <f t="shared" si="34"/>
        <v>4848.6000000000004</v>
      </c>
      <c r="P1132">
        <f>Table1[[#This Row],[Quantity]]*Table1[[#This Row],[unit_price]]*Table1[[#This Row],[Discount]]</f>
        <v>539.4</v>
      </c>
      <c r="Q1132" t="str">
        <f>VLOOKUP(E1132,Products!$A$2:$E$23,2,0)</f>
        <v>Track Pants</v>
      </c>
      <c r="R1132" t="str">
        <f>VLOOKUP(Table1[[#This Row],[Product ID]],Products!$A$2:$E$23,3,0)</f>
        <v>Clothing</v>
      </c>
      <c r="S1132" t="str">
        <f>VLOOKUP(C1132,Customers!$A$2:$F$201,4,0)</f>
        <v>West Bengal</v>
      </c>
      <c r="T1132" t="str">
        <f>VLOOKUP(Table1[[#This Row],[Customer ID]],Customers!$A$2:$F$201,5,0)</f>
        <v>East</v>
      </c>
      <c r="U1132" t="str">
        <f>VLOOKUP(Table1[[#This Row],[Customer ID]],Customers!$A$2:$F$201,6,0)</f>
        <v>Consumer</v>
      </c>
      <c r="V1132" t="str">
        <f>TEXT(Table1[[#This Row],[Order Date]],"MMM")</f>
        <v>Nov</v>
      </c>
      <c r="W1132" t="str">
        <f>TEXT(Table1[[#This Row],[Order Date]],"yyyy")</f>
        <v>2025</v>
      </c>
    </row>
    <row r="1133" spans="1:23" x14ac:dyDescent="0.25">
      <c r="A1133" s="2" t="s">
        <v>1379</v>
      </c>
      <c r="B1133" s="4">
        <v>45980</v>
      </c>
      <c r="C1133" s="2" t="s">
        <v>462</v>
      </c>
      <c r="D1133" s="2" t="str">
        <f>TEXT(Table1[[#This Row],[Order Date]],"mmmm")</f>
        <v>November</v>
      </c>
      <c r="E1133" s="2" t="s">
        <v>49</v>
      </c>
      <c r="F1133" s="2">
        <v>4</v>
      </c>
      <c r="G1133" s="5">
        <v>0.2</v>
      </c>
      <c r="H1133" s="2" t="s">
        <v>25</v>
      </c>
      <c r="I1133" s="2" t="s">
        <v>20</v>
      </c>
      <c r="J1133" s="2" t="s">
        <v>21</v>
      </c>
      <c r="K1133">
        <f>VLOOKUP(E1133,Products!$A$2:$E$23,5,0)</f>
        <v>700</v>
      </c>
      <c r="L1133">
        <f>VLOOKUP(E1133,Products!$A$2:$E$23,4,0)</f>
        <v>450</v>
      </c>
      <c r="M1133" s="2">
        <f>K1133*F1133-Table1[[#This Row],[discount_amount]]</f>
        <v>2240</v>
      </c>
      <c r="N1133">
        <f t="shared" si="35"/>
        <v>1800</v>
      </c>
      <c r="O1133">
        <f t="shared" si="34"/>
        <v>440</v>
      </c>
      <c r="P1133">
        <f>Table1[[#This Row],[Quantity]]*Table1[[#This Row],[unit_price]]*Table1[[#This Row],[Discount]]</f>
        <v>560</v>
      </c>
      <c r="Q1133" t="str">
        <f>VLOOKUP(E1133,Products!$A$2:$E$23,2,0)</f>
        <v>Wireless Mouse</v>
      </c>
      <c r="R1133" t="str">
        <f>VLOOKUP(Table1[[#This Row],[Product ID]],Products!$A$2:$E$23,3,0)</f>
        <v>Electronics</v>
      </c>
      <c r="S1133" t="str">
        <f>VLOOKUP(C1133,Customers!$A$2:$F$201,4,0)</f>
        <v>Kerala</v>
      </c>
      <c r="T1133" t="str">
        <f>VLOOKUP(Table1[[#This Row],[Customer ID]],Customers!$A$2:$F$201,5,0)</f>
        <v>South</v>
      </c>
      <c r="U1133" t="str">
        <f>VLOOKUP(Table1[[#This Row],[Customer ID]],Customers!$A$2:$F$201,6,0)</f>
        <v>Consumer</v>
      </c>
      <c r="V1133" t="str">
        <f>TEXT(Table1[[#This Row],[Order Date]],"MMM")</f>
        <v>Nov</v>
      </c>
      <c r="W1133" t="str">
        <f>TEXT(Table1[[#This Row],[Order Date]],"yyyy")</f>
        <v>2025</v>
      </c>
    </row>
    <row r="1134" spans="1:23" x14ac:dyDescent="0.25">
      <c r="A1134" s="2" t="s">
        <v>1380</v>
      </c>
      <c r="B1134" s="4">
        <v>45980</v>
      </c>
      <c r="C1134" s="2" t="s">
        <v>129</v>
      </c>
      <c r="D1134" s="2" t="str">
        <f>TEXT(Table1[[#This Row],[Order Date]],"mmmm")</f>
        <v>November</v>
      </c>
      <c r="E1134" s="2" t="s">
        <v>73</v>
      </c>
      <c r="F1134" s="2">
        <v>6</v>
      </c>
      <c r="G1134" s="5">
        <v>0.1</v>
      </c>
      <c r="H1134" s="2" t="s">
        <v>19</v>
      </c>
      <c r="I1134" s="2" t="s">
        <v>20</v>
      </c>
      <c r="J1134" s="2" t="s">
        <v>21</v>
      </c>
      <c r="K1134">
        <f>VLOOKUP(E1134,Products!$A$2:$E$23,5,0)</f>
        <v>6499</v>
      </c>
      <c r="L1134">
        <f>VLOOKUP(E1134,Products!$A$2:$E$23,4,0)</f>
        <v>4200</v>
      </c>
      <c r="M1134" s="2">
        <f>K1134*F1134-Table1[[#This Row],[discount_amount]]</f>
        <v>35094.6</v>
      </c>
      <c r="N1134">
        <f t="shared" si="35"/>
        <v>25200</v>
      </c>
      <c r="O1134">
        <f t="shared" si="34"/>
        <v>9894.5999999999985</v>
      </c>
      <c r="P1134">
        <f>Table1[[#This Row],[Quantity]]*Table1[[#This Row],[unit_price]]*Table1[[#This Row],[Discount]]</f>
        <v>3899.4</v>
      </c>
      <c r="Q1134" t="str">
        <f>VLOOKUP(E1134,Products!$A$2:$E$23,2,0)</f>
        <v>Study Table</v>
      </c>
      <c r="R1134" t="str">
        <f>VLOOKUP(Table1[[#This Row],[Product ID]],Products!$A$2:$E$23,3,0)</f>
        <v>Furniture</v>
      </c>
      <c r="S1134" t="str">
        <f>VLOOKUP(C1134,Customers!$A$2:$F$201,4,0)</f>
        <v>Telangana</v>
      </c>
      <c r="T1134" t="str">
        <f>VLOOKUP(Table1[[#This Row],[Customer ID]],Customers!$A$2:$F$201,5,0)</f>
        <v>South</v>
      </c>
      <c r="U1134" t="str">
        <f>VLOOKUP(Table1[[#This Row],[Customer ID]],Customers!$A$2:$F$201,6,0)</f>
        <v>Consumer</v>
      </c>
      <c r="V1134" t="str">
        <f>TEXT(Table1[[#This Row],[Order Date]],"MMM")</f>
        <v>Nov</v>
      </c>
      <c r="W1134" t="str">
        <f>TEXT(Table1[[#This Row],[Order Date]],"yyyy")</f>
        <v>2025</v>
      </c>
    </row>
    <row r="1135" spans="1:23" x14ac:dyDescent="0.25">
      <c r="A1135" s="2" t="s">
        <v>1381</v>
      </c>
      <c r="B1135" s="4">
        <v>45980</v>
      </c>
      <c r="C1135" s="2" t="s">
        <v>248</v>
      </c>
      <c r="D1135" s="2" t="str">
        <f>TEXT(Table1[[#This Row],[Order Date]],"mmmm")</f>
        <v>November</v>
      </c>
      <c r="E1135" s="2" t="s">
        <v>111</v>
      </c>
      <c r="F1135" s="2">
        <v>2</v>
      </c>
      <c r="G1135" s="5">
        <v>0</v>
      </c>
      <c r="H1135" s="2" t="s">
        <v>25</v>
      </c>
      <c r="I1135" s="2" t="s">
        <v>46</v>
      </c>
      <c r="J1135" s="2" t="s">
        <v>21</v>
      </c>
      <c r="K1135">
        <f>VLOOKUP(E1135,Products!$A$2:$E$23,5,0)</f>
        <v>240</v>
      </c>
      <c r="L1135">
        <f>VLOOKUP(E1135,Products!$A$2:$E$23,4,0)</f>
        <v>140</v>
      </c>
      <c r="M1135" s="2">
        <f>K1135*F1135-Table1[[#This Row],[discount_amount]]</f>
        <v>480</v>
      </c>
      <c r="N1135">
        <f t="shared" si="35"/>
        <v>280</v>
      </c>
      <c r="O1135">
        <f t="shared" si="34"/>
        <v>200</v>
      </c>
      <c r="P1135">
        <f>Table1[[#This Row],[Quantity]]*Table1[[#This Row],[unit_price]]*Table1[[#This Row],[Discount]]</f>
        <v>0</v>
      </c>
      <c r="Q1135" t="str">
        <f>VLOOKUP(E1135,Products!$A$2:$E$23,2,0)</f>
        <v>Whiteboard Marker Set</v>
      </c>
      <c r="R1135" t="str">
        <f>VLOOKUP(Table1[[#This Row],[Product ID]],Products!$A$2:$E$23,3,0)</f>
        <v>Office Supplies</v>
      </c>
      <c r="S1135" t="str">
        <f>VLOOKUP(C1135,Customers!$A$2:$F$201,4,0)</f>
        <v>West Bengal</v>
      </c>
      <c r="T1135" t="str">
        <f>VLOOKUP(Table1[[#This Row],[Customer ID]],Customers!$A$2:$F$201,5,0)</f>
        <v>East</v>
      </c>
      <c r="U1135" t="str">
        <f>VLOOKUP(Table1[[#This Row],[Customer ID]],Customers!$A$2:$F$201,6,0)</f>
        <v>Consumer</v>
      </c>
      <c r="V1135" t="str">
        <f>TEXT(Table1[[#This Row],[Order Date]],"MMM")</f>
        <v>Nov</v>
      </c>
      <c r="W1135" t="str">
        <f>TEXT(Table1[[#This Row],[Order Date]],"yyyy")</f>
        <v>2025</v>
      </c>
    </row>
    <row r="1136" spans="1:23" x14ac:dyDescent="0.25">
      <c r="A1136" s="2" t="s">
        <v>1382</v>
      </c>
      <c r="B1136" s="4">
        <v>45982</v>
      </c>
      <c r="C1136" s="2" t="s">
        <v>154</v>
      </c>
      <c r="D1136" s="2" t="str">
        <f>TEXT(Table1[[#This Row],[Order Date]],"mmmm")</f>
        <v>November</v>
      </c>
      <c r="E1136" s="2" t="s">
        <v>60</v>
      </c>
      <c r="F1136" s="2">
        <v>10</v>
      </c>
      <c r="G1136" s="5">
        <v>0</v>
      </c>
      <c r="H1136" s="2" t="s">
        <v>19</v>
      </c>
      <c r="I1136" s="2" t="s">
        <v>31</v>
      </c>
      <c r="J1136" s="2" t="s">
        <v>21</v>
      </c>
      <c r="K1136">
        <f>VLOOKUP(E1136,Products!$A$2:$E$23,5,0)</f>
        <v>449</v>
      </c>
      <c r="L1136">
        <f>VLOOKUP(E1136,Products!$A$2:$E$23,4,0)</f>
        <v>260</v>
      </c>
      <c r="M1136" s="2">
        <f>K1136*F1136-Table1[[#This Row],[discount_amount]]</f>
        <v>4490</v>
      </c>
      <c r="N1136">
        <f t="shared" si="35"/>
        <v>2600</v>
      </c>
      <c r="O1136">
        <f t="shared" si="34"/>
        <v>1890</v>
      </c>
      <c r="P1136">
        <f>Table1[[#This Row],[Quantity]]*Table1[[#This Row],[unit_price]]*Table1[[#This Row],[Discount]]</f>
        <v>0</v>
      </c>
      <c r="Q1136" t="str">
        <f>VLOOKUP(E1136,Products!$A$2:$E$23,2,0)</f>
        <v>Desk Organizer</v>
      </c>
      <c r="R1136" t="str">
        <f>VLOOKUP(Table1[[#This Row],[Product ID]],Products!$A$2:$E$23,3,0)</f>
        <v>Office Supplies</v>
      </c>
      <c r="S1136" t="str">
        <f>VLOOKUP(C1136,Customers!$A$2:$F$201,4,0)</f>
        <v>Telangana</v>
      </c>
      <c r="T1136" t="str">
        <f>VLOOKUP(Table1[[#This Row],[Customer ID]],Customers!$A$2:$F$201,5,0)</f>
        <v>South</v>
      </c>
      <c r="U1136" t="str">
        <f>VLOOKUP(Table1[[#This Row],[Customer ID]],Customers!$A$2:$F$201,6,0)</f>
        <v>Consumer</v>
      </c>
      <c r="V1136" t="str">
        <f>TEXT(Table1[[#This Row],[Order Date]],"MMM")</f>
        <v>Nov</v>
      </c>
      <c r="W1136" t="str">
        <f>TEXT(Table1[[#This Row],[Order Date]],"yyyy")</f>
        <v>2025</v>
      </c>
    </row>
    <row r="1137" spans="1:23" x14ac:dyDescent="0.25">
      <c r="A1137" s="2" t="s">
        <v>1383</v>
      </c>
      <c r="B1137" s="4">
        <v>45982</v>
      </c>
      <c r="C1137" s="2" t="s">
        <v>243</v>
      </c>
      <c r="D1137" s="2" t="str">
        <f>TEXT(Table1[[#This Row],[Order Date]],"mmmm")</f>
        <v>November</v>
      </c>
      <c r="E1137" s="2" t="s">
        <v>54</v>
      </c>
      <c r="F1137" s="2">
        <v>6</v>
      </c>
      <c r="G1137" s="5">
        <v>0.05</v>
      </c>
      <c r="H1137" s="2" t="s">
        <v>30</v>
      </c>
      <c r="I1137" s="2" t="s">
        <v>46</v>
      </c>
      <c r="J1137" s="2" t="s">
        <v>21</v>
      </c>
      <c r="K1137">
        <f>VLOOKUP(E1137,Products!$A$2:$E$23,5,0)</f>
        <v>299</v>
      </c>
      <c r="L1137">
        <f>VLOOKUP(E1137,Products!$A$2:$E$23,4,0)</f>
        <v>180</v>
      </c>
      <c r="M1137" s="2">
        <f>K1137*F1137-Table1[[#This Row],[discount_amount]]</f>
        <v>1704.3</v>
      </c>
      <c r="N1137">
        <f t="shared" si="35"/>
        <v>1080</v>
      </c>
      <c r="O1137">
        <f t="shared" si="34"/>
        <v>624.29999999999995</v>
      </c>
      <c r="P1137">
        <f>Table1[[#This Row],[Quantity]]*Table1[[#This Row],[unit_price]]*Table1[[#This Row],[Discount]]</f>
        <v>89.7</v>
      </c>
      <c r="Q1137" t="str">
        <f>VLOOKUP(E1137,Products!$A$2:$E$23,2,0)</f>
        <v>Notebook Pack of 5</v>
      </c>
      <c r="R1137" t="str">
        <f>VLOOKUP(Table1[[#This Row],[Product ID]],Products!$A$2:$E$23,3,0)</f>
        <v>Office Supplies</v>
      </c>
      <c r="S1137" t="str">
        <f>VLOOKUP(C1137,Customers!$A$2:$F$201,4,0)</f>
        <v>Maharashtra</v>
      </c>
      <c r="T1137" t="str">
        <f>VLOOKUP(Table1[[#This Row],[Customer ID]],Customers!$A$2:$F$201,5,0)</f>
        <v>Central</v>
      </c>
      <c r="U1137" t="str">
        <f>VLOOKUP(Table1[[#This Row],[Customer ID]],Customers!$A$2:$F$201,6,0)</f>
        <v>Home Office</v>
      </c>
      <c r="V1137" t="str">
        <f>TEXT(Table1[[#This Row],[Order Date]],"MMM")</f>
        <v>Nov</v>
      </c>
      <c r="W1137" t="str">
        <f>TEXT(Table1[[#This Row],[Order Date]],"yyyy")</f>
        <v>2025</v>
      </c>
    </row>
    <row r="1138" spans="1:23" x14ac:dyDescent="0.25">
      <c r="A1138" s="2" t="s">
        <v>1384</v>
      </c>
      <c r="B1138" s="4">
        <v>45982</v>
      </c>
      <c r="C1138" s="2" t="s">
        <v>567</v>
      </c>
      <c r="D1138" s="2" t="str">
        <f>TEXT(Table1[[#This Row],[Order Date]],"mmmm")</f>
        <v>November</v>
      </c>
      <c r="E1138" s="2" t="s">
        <v>82</v>
      </c>
      <c r="F1138" s="2">
        <v>1</v>
      </c>
      <c r="G1138" s="5">
        <v>0.05</v>
      </c>
      <c r="H1138" s="2" t="s">
        <v>30</v>
      </c>
      <c r="I1138" s="2" t="s">
        <v>26</v>
      </c>
      <c r="J1138" s="2" t="s">
        <v>21</v>
      </c>
      <c r="K1138">
        <f>VLOOKUP(E1138,Products!$A$2:$E$23,5,0)</f>
        <v>1799</v>
      </c>
      <c r="L1138">
        <f>VLOOKUP(E1138,Products!$A$2:$E$23,4,0)</f>
        <v>1100</v>
      </c>
      <c r="M1138" s="2">
        <f>K1138*F1138-Table1[[#This Row],[discount_amount]]</f>
        <v>1709.05</v>
      </c>
      <c r="N1138">
        <f t="shared" si="35"/>
        <v>1100</v>
      </c>
      <c r="O1138">
        <f t="shared" si="34"/>
        <v>609.04999999999995</v>
      </c>
      <c r="P1138">
        <f>Table1[[#This Row],[Quantity]]*Table1[[#This Row],[unit_price]]*Table1[[#This Row],[Discount]]</f>
        <v>89.95</v>
      </c>
      <c r="Q1138" t="str">
        <f>VLOOKUP(E1138,Products!$A$2:$E$23,2,0)</f>
        <v>Webcam HD</v>
      </c>
      <c r="R1138" t="str">
        <f>VLOOKUP(Table1[[#This Row],[Product ID]],Products!$A$2:$E$23,3,0)</f>
        <v>Electronics</v>
      </c>
      <c r="S1138" t="str">
        <f>VLOOKUP(C1138,Customers!$A$2:$F$201,4,0)</f>
        <v>Gujarat</v>
      </c>
      <c r="T1138" t="str">
        <f>VLOOKUP(Table1[[#This Row],[Customer ID]],Customers!$A$2:$F$201,5,0)</f>
        <v>West</v>
      </c>
      <c r="U1138" t="str">
        <f>VLOOKUP(Table1[[#This Row],[Customer ID]],Customers!$A$2:$F$201,6,0)</f>
        <v>Consumer</v>
      </c>
      <c r="V1138" t="str">
        <f>TEXT(Table1[[#This Row],[Order Date]],"MMM")</f>
        <v>Nov</v>
      </c>
      <c r="W1138" t="str">
        <f>TEXT(Table1[[#This Row],[Order Date]],"yyyy")</f>
        <v>2025</v>
      </c>
    </row>
    <row r="1139" spans="1:23" x14ac:dyDescent="0.25">
      <c r="A1139" s="2" t="s">
        <v>1385</v>
      </c>
      <c r="B1139" s="4">
        <v>45982</v>
      </c>
      <c r="C1139" s="2" t="s">
        <v>81</v>
      </c>
      <c r="D1139" s="2" t="str">
        <f>TEXT(Table1[[#This Row],[Order Date]],"mmmm")</f>
        <v>November</v>
      </c>
      <c r="E1139" s="2" t="s">
        <v>118</v>
      </c>
      <c r="F1139" s="2">
        <v>3</v>
      </c>
      <c r="G1139" s="5">
        <v>0.1</v>
      </c>
      <c r="H1139" s="2" t="s">
        <v>25</v>
      </c>
      <c r="I1139" s="2" t="s">
        <v>38</v>
      </c>
      <c r="J1139" s="2" t="s">
        <v>21</v>
      </c>
      <c r="K1139">
        <f>VLOOKUP(E1139,Products!$A$2:$E$23,5,0)</f>
        <v>150</v>
      </c>
      <c r="L1139">
        <f>VLOOKUP(E1139,Products!$A$2:$E$23,4,0)</f>
        <v>90</v>
      </c>
      <c r="M1139" s="2">
        <f>K1139*F1139-Table1[[#This Row],[discount_amount]]</f>
        <v>405</v>
      </c>
      <c r="N1139">
        <f t="shared" si="35"/>
        <v>270</v>
      </c>
      <c r="O1139">
        <f t="shared" si="34"/>
        <v>135</v>
      </c>
      <c r="P1139">
        <f>Table1[[#This Row],[Quantity]]*Table1[[#This Row],[unit_price]]*Table1[[#This Row],[Discount]]</f>
        <v>45</v>
      </c>
      <c r="Q1139" t="str">
        <f>VLOOKUP(E1139,Products!$A$2:$E$23,2,0)</f>
        <v>Gel Pen Box</v>
      </c>
      <c r="R1139" t="str">
        <f>VLOOKUP(Table1[[#This Row],[Product ID]],Products!$A$2:$E$23,3,0)</f>
        <v>Office Supplies</v>
      </c>
      <c r="S1139" t="str">
        <f>VLOOKUP(C1139,Customers!$A$2:$F$201,4,0)</f>
        <v>Chandigarh</v>
      </c>
      <c r="T1139" t="str">
        <f>VLOOKUP(Table1[[#This Row],[Customer ID]],Customers!$A$2:$F$201,5,0)</f>
        <v>North</v>
      </c>
      <c r="U1139" t="str">
        <f>VLOOKUP(Table1[[#This Row],[Customer ID]],Customers!$A$2:$F$201,6,0)</f>
        <v>Consumer</v>
      </c>
      <c r="V1139" t="str">
        <f>TEXT(Table1[[#This Row],[Order Date]],"MMM")</f>
        <v>Nov</v>
      </c>
      <c r="W1139" t="str">
        <f>TEXT(Table1[[#This Row],[Order Date]],"yyyy")</f>
        <v>2025</v>
      </c>
    </row>
    <row r="1140" spans="1:23" x14ac:dyDescent="0.25">
      <c r="A1140" s="2" t="s">
        <v>1386</v>
      </c>
      <c r="B1140" s="4">
        <v>45983</v>
      </c>
      <c r="C1140" s="2" t="s">
        <v>582</v>
      </c>
      <c r="D1140" s="2" t="str">
        <f>TEXT(Table1[[#This Row],[Order Date]],"mmmm")</f>
        <v>November</v>
      </c>
      <c r="E1140" s="2" t="s">
        <v>45</v>
      </c>
      <c r="F1140" s="2">
        <v>20</v>
      </c>
      <c r="G1140" s="5">
        <v>0.1</v>
      </c>
      <c r="H1140" s="2" t="s">
        <v>25</v>
      </c>
      <c r="I1140" s="2" t="s">
        <v>26</v>
      </c>
      <c r="J1140" s="2" t="s">
        <v>21</v>
      </c>
      <c r="K1140">
        <f>VLOOKUP(E1140,Products!$A$2:$E$23,5,0)</f>
        <v>899</v>
      </c>
      <c r="L1140">
        <f>VLOOKUP(E1140,Products!$A$2:$E$23,4,0)</f>
        <v>450</v>
      </c>
      <c r="M1140" s="2">
        <f>K1140*F1140-Table1[[#This Row],[discount_amount]]</f>
        <v>16182</v>
      </c>
      <c r="N1140">
        <f t="shared" si="35"/>
        <v>9000</v>
      </c>
      <c r="O1140">
        <f t="shared" si="34"/>
        <v>7182</v>
      </c>
      <c r="P1140">
        <f>Table1[[#This Row],[Quantity]]*Table1[[#This Row],[unit_price]]*Table1[[#This Row],[Discount]]</f>
        <v>1798</v>
      </c>
      <c r="Q1140" t="str">
        <f>VLOOKUP(E1140,Products!$A$2:$E$23,2,0)</f>
        <v>Track Pants</v>
      </c>
      <c r="R1140" t="str">
        <f>VLOOKUP(Table1[[#This Row],[Product ID]],Products!$A$2:$E$23,3,0)</f>
        <v>Clothing</v>
      </c>
      <c r="S1140" t="str">
        <f>VLOOKUP(C1140,Customers!$A$2:$F$201,4,0)</f>
        <v>Bihar</v>
      </c>
      <c r="T1140" t="str">
        <f>VLOOKUP(Table1[[#This Row],[Customer ID]],Customers!$A$2:$F$201,5,0)</f>
        <v>East</v>
      </c>
      <c r="U1140" t="str">
        <f>VLOOKUP(Table1[[#This Row],[Customer ID]],Customers!$A$2:$F$201,6,0)</f>
        <v>Corporate</v>
      </c>
      <c r="V1140" t="str">
        <f>TEXT(Table1[[#This Row],[Order Date]],"MMM")</f>
        <v>Nov</v>
      </c>
      <c r="W1140" t="str">
        <f>TEXT(Table1[[#This Row],[Order Date]],"yyyy")</f>
        <v>2025</v>
      </c>
    </row>
    <row r="1141" spans="1:23" x14ac:dyDescent="0.25">
      <c r="A1141" s="2" t="s">
        <v>1387</v>
      </c>
      <c r="B1141" s="4">
        <v>45983</v>
      </c>
      <c r="C1141" s="2" t="s">
        <v>443</v>
      </c>
      <c r="D1141" s="2" t="str">
        <f>TEXT(Table1[[#This Row],[Order Date]],"mmmm")</f>
        <v>November</v>
      </c>
      <c r="E1141" s="2" t="s">
        <v>73</v>
      </c>
      <c r="F1141" s="2">
        <v>2</v>
      </c>
      <c r="G1141" s="5">
        <v>0</v>
      </c>
      <c r="H1141" s="2" t="s">
        <v>25</v>
      </c>
      <c r="I1141" s="2" t="s">
        <v>20</v>
      </c>
      <c r="J1141" s="2" t="s">
        <v>79</v>
      </c>
      <c r="K1141">
        <f>VLOOKUP(E1141,Products!$A$2:$E$23,5,0)</f>
        <v>6499</v>
      </c>
      <c r="L1141">
        <f>VLOOKUP(E1141,Products!$A$2:$E$23,4,0)</f>
        <v>4200</v>
      </c>
      <c r="M1141" s="2">
        <f>K1141*F1141-Table1[[#This Row],[discount_amount]]</f>
        <v>12998</v>
      </c>
      <c r="N1141">
        <f t="shared" si="35"/>
        <v>8400</v>
      </c>
      <c r="O1141">
        <f t="shared" si="34"/>
        <v>4598</v>
      </c>
      <c r="P1141">
        <f>Table1[[#This Row],[Quantity]]*Table1[[#This Row],[unit_price]]*Table1[[#This Row],[Discount]]</f>
        <v>0</v>
      </c>
      <c r="Q1141" t="str">
        <f>VLOOKUP(E1141,Products!$A$2:$E$23,2,0)</f>
        <v>Study Table</v>
      </c>
      <c r="R1141" t="str">
        <f>VLOOKUP(Table1[[#This Row],[Product ID]],Products!$A$2:$E$23,3,0)</f>
        <v>Furniture</v>
      </c>
      <c r="S1141" t="str">
        <f>VLOOKUP(C1141,Customers!$A$2:$F$201,4,0)</f>
        <v>Kerala</v>
      </c>
      <c r="T1141" t="str">
        <f>VLOOKUP(Table1[[#This Row],[Customer ID]],Customers!$A$2:$F$201,5,0)</f>
        <v>South</v>
      </c>
      <c r="U1141" t="str">
        <f>VLOOKUP(Table1[[#This Row],[Customer ID]],Customers!$A$2:$F$201,6,0)</f>
        <v>Consumer</v>
      </c>
      <c r="V1141" t="str">
        <f>TEXT(Table1[[#This Row],[Order Date]],"MMM")</f>
        <v>Nov</v>
      </c>
      <c r="W1141" t="str">
        <f>TEXT(Table1[[#This Row],[Order Date]],"yyyy")</f>
        <v>2025</v>
      </c>
    </row>
    <row r="1142" spans="1:23" x14ac:dyDescent="0.25">
      <c r="A1142" s="2" t="s">
        <v>1388</v>
      </c>
      <c r="B1142" s="4">
        <v>45984</v>
      </c>
      <c r="C1142" s="2" t="s">
        <v>98</v>
      </c>
      <c r="D1142" s="2" t="str">
        <f>TEXT(Table1[[#This Row],[Order Date]],"mmmm")</f>
        <v>November</v>
      </c>
      <c r="E1142" s="2" t="s">
        <v>57</v>
      </c>
      <c r="F1142" s="2">
        <v>10</v>
      </c>
      <c r="G1142" s="5">
        <v>0.1</v>
      </c>
      <c r="H1142" s="2" t="s">
        <v>30</v>
      </c>
      <c r="I1142" s="2" t="s">
        <v>26</v>
      </c>
      <c r="J1142" s="2" t="s">
        <v>21</v>
      </c>
      <c r="K1142">
        <f>VLOOKUP(E1142,Products!$A$2:$E$23,5,0)</f>
        <v>1599</v>
      </c>
      <c r="L1142">
        <f>VLOOKUP(E1142,Products!$A$2:$E$23,4,0)</f>
        <v>800</v>
      </c>
      <c r="M1142" s="2">
        <f>K1142*F1142-Table1[[#This Row],[discount_amount]]</f>
        <v>14391</v>
      </c>
      <c r="N1142">
        <f t="shared" si="35"/>
        <v>8000</v>
      </c>
      <c r="O1142">
        <f t="shared" si="34"/>
        <v>6391</v>
      </c>
      <c r="P1142">
        <f>Table1[[#This Row],[Quantity]]*Table1[[#This Row],[unit_price]]*Table1[[#This Row],[Discount]]</f>
        <v>1599</v>
      </c>
      <c r="Q1142" t="str">
        <f>VLOOKUP(E1142,Products!$A$2:$E$23,2,0)</f>
        <v>Hoodie</v>
      </c>
      <c r="R1142" t="str">
        <f>VLOOKUP(Table1[[#This Row],[Product ID]],Products!$A$2:$E$23,3,0)</f>
        <v>Clothing</v>
      </c>
      <c r="S1142" t="str">
        <f>VLOOKUP(C1142,Customers!$A$2:$F$201,4,0)</f>
        <v>Tamil Nadu</v>
      </c>
      <c r="T1142" t="str">
        <f>VLOOKUP(Table1[[#This Row],[Customer ID]],Customers!$A$2:$F$201,5,0)</f>
        <v>South</v>
      </c>
      <c r="U1142" t="str">
        <f>VLOOKUP(Table1[[#This Row],[Customer ID]],Customers!$A$2:$F$201,6,0)</f>
        <v>Consumer</v>
      </c>
      <c r="V1142" t="str">
        <f>TEXT(Table1[[#This Row],[Order Date]],"MMM")</f>
        <v>Nov</v>
      </c>
      <c r="W1142" t="str">
        <f>TEXT(Table1[[#This Row],[Order Date]],"yyyy")</f>
        <v>2025</v>
      </c>
    </row>
    <row r="1143" spans="1:23" x14ac:dyDescent="0.25">
      <c r="A1143" s="2" t="s">
        <v>1389</v>
      </c>
      <c r="B1143" s="4">
        <v>45984</v>
      </c>
      <c r="C1143" s="2" t="s">
        <v>735</v>
      </c>
      <c r="D1143" s="2" t="str">
        <f>TEXT(Table1[[#This Row],[Order Date]],"mmmm")</f>
        <v>November</v>
      </c>
      <c r="E1143" s="2" t="s">
        <v>29</v>
      </c>
      <c r="F1143" s="2">
        <v>1</v>
      </c>
      <c r="G1143" s="5">
        <v>0.1</v>
      </c>
      <c r="H1143" s="2" t="s">
        <v>25</v>
      </c>
      <c r="I1143" s="2" t="s">
        <v>38</v>
      </c>
      <c r="J1143" s="2" t="s">
        <v>94</v>
      </c>
      <c r="K1143">
        <f>VLOOKUP(E1143,Products!$A$2:$E$23,5,0)</f>
        <v>599</v>
      </c>
      <c r="L1143">
        <f>VLOOKUP(E1143,Products!$A$2:$E$23,4,0)</f>
        <v>350</v>
      </c>
      <c r="M1143" s="2">
        <f>K1143*F1143-Table1[[#This Row],[discount_amount]]</f>
        <v>539.1</v>
      </c>
      <c r="N1143">
        <f t="shared" si="35"/>
        <v>350</v>
      </c>
      <c r="O1143">
        <f t="shared" si="34"/>
        <v>189.10000000000002</v>
      </c>
      <c r="P1143">
        <f>Table1[[#This Row],[Quantity]]*Table1[[#This Row],[unit_price]]*Table1[[#This Row],[Discount]]</f>
        <v>59.900000000000006</v>
      </c>
      <c r="Q1143" t="str">
        <f>VLOOKUP(E1143,Products!$A$2:$E$23,2,0)</f>
        <v>USB Flash Drive 64GB</v>
      </c>
      <c r="R1143" t="str">
        <f>VLOOKUP(Table1[[#This Row],[Product ID]],Products!$A$2:$E$23,3,0)</f>
        <v>Electronics</v>
      </c>
      <c r="S1143" t="str">
        <f>VLOOKUP(C1143,Customers!$A$2:$F$201,4,0)</f>
        <v>Maharashtra</v>
      </c>
      <c r="T1143" t="str">
        <f>VLOOKUP(Table1[[#This Row],[Customer ID]],Customers!$A$2:$F$201,5,0)</f>
        <v>West</v>
      </c>
      <c r="U1143" t="str">
        <f>VLOOKUP(Table1[[#This Row],[Customer ID]],Customers!$A$2:$F$201,6,0)</f>
        <v>Consumer</v>
      </c>
      <c r="V1143" t="str">
        <f>TEXT(Table1[[#This Row],[Order Date]],"MMM")</f>
        <v>Nov</v>
      </c>
      <c r="W1143" t="str">
        <f>TEXT(Table1[[#This Row],[Order Date]],"yyyy")</f>
        <v>2025</v>
      </c>
    </row>
    <row r="1144" spans="1:23" x14ac:dyDescent="0.25">
      <c r="A1144" s="2" t="s">
        <v>1390</v>
      </c>
      <c r="B1144" s="4">
        <v>45985</v>
      </c>
      <c r="C1144" s="2" t="s">
        <v>370</v>
      </c>
      <c r="D1144" s="2" t="str">
        <f>TEXT(Table1[[#This Row],[Order Date]],"mmmm")</f>
        <v>November</v>
      </c>
      <c r="E1144" s="2" t="s">
        <v>91</v>
      </c>
      <c r="F1144" s="2">
        <v>2</v>
      </c>
      <c r="G1144" s="5">
        <v>0.2</v>
      </c>
      <c r="H1144" s="2" t="s">
        <v>30</v>
      </c>
      <c r="I1144" s="2" t="s">
        <v>26</v>
      </c>
      <c r="J1144" s="2" t="s">
        <v>21</v>
      </c>
      <c r="K1144">
        <f>VLOOKUP(E1144,Products!$A$2:$E$23,5,0)</f>
        <v>1199</v>
      </c>
      <c r="L1144">
        <f>VLOOKUP(E1144,Products!$A$2:$E$23,4,0)</f>
        <v>600</v>
      </c>
      <c r="M1144" s="2">
        <f>K1144*F1144-Table1[[#This Row],[discount_amount]]</f>
        <v>1918.4</v>
      </c>
      <c r="N1144">
        <f t="shared" si="35"/>
        <v>1200</v>
      </c>
      <c r="O1144">
        <f t="shared" si="34"/>
        <v>718.40000000000009</v>
      </c>
      <c r="P1144">
        <f>Table1[[#This Row],[Quantity]]*Table1[[#This Row],[unit_price]]*Table1[[#This Row],[Discount]]</f>
        <v>479.6</v>
      </c>
      <c r="Q1144" t="str">
        <f>VLOOKUP(E1144,Products!$A$2:$E$23,2,0)</f>
        <v>Formal Shirt</v>
      </c>
      <c r="R1144" t="str">
        <f>VLOOKUP(Table1[[#This Row],[Product ID]],Products!$A$2:$E$23,3,0)</f>
        <v>Clothing</v>
      </c>
      <c r="S1144" t="str">
        <f>VLOOKUP(C1144,Customers!$A$2:$F$201,4,0)</f>
        <v>Tamil Nadu</v>
      </c>
      <c r="T1144" t="str">
        <f>VLOOKUP(Table1[[#This Row],[Customer ID]],Customers!$A$2:$F$201,5,0)</f>
        <v>South</v>
      </c>
      <c r="U1144" t="str">
        <f>VLOOKUP(Table1[[#This Row],[Customer ID]],Customers!$A$2:$F$201,6,0)</f>
        <v>Consumer</v>
      </c>
      <c r="V1144" t="str">
        <f>TEXT(Table1[[#This Row],[Order Date]],"MMM")</f>
        <v>Nov</v>
      </c>
      <c r="W1144" t="str">
        <f>TEXT(Table1[[#This Row],[Order Date]],"yyyy")</f>
        <v>2025</v>
      </c>
    </row>
    <row r="1145" spans="1:23" x14ac:dyDescent="0.25">
      <c r="A1145" s="2" t="s">
        <v>1391</v>
      </c>
      <c r="B1145" s="4">
        <v>45986</v>
      </c>
      <c r="C1145" s="2" t="s">
        <v>415</v>
      </c>
      <c r="D1145" s="2" t="str">
        <f>TEXT(Table1[[#This Row],[Order Date]],"mmmm")</f>
        <v>November</v>
      </c>
      <c r="E1145" s="2" t="s">
        <v>127</v>
      </c>
      <c r="F1145" s="2">
        <v>10</v>
      </c>
      <c r="G1145" s="5">
        <v>0.1</v>
      </c>
      <c r="H1145" s="2" t="s">
        <v>19</v>
      </c>
      <c r="I1145" s="2" t="s">
        <v>26</v>
      </c>
      <c r="J1145" s="2" t="s">
        <v>42</v>
      </c>
      <c r="K1145">
        <f>VLOOKUP(E1145,Products!$A$2:$E$23,5,0)</f>
        <v>1999</v>
      </c>
      <c r="L1145">
        <f>VLOOKUP(E1145,Products!$A$2:$E$23,4,0)</f>
        <v>1200</v>
      </c>
      <c r="M1145" s="2">
        <f>K1145*F1145-Table1[[#This Row],[discount_amount]]</f>
        <v>17991</v>
      </c>
      <c r="N1145">
        <f t="shared" si="35"/>
        <v>12000</v>
      </c>
      <c r="O1145">
        <f t="shared" si="34"/>
        <v>5991</v>
      </c>
      <c r="P1145">
        <f>Table1[[#This Row],[Quantity]]*Table1[[#This Row],[unit_price]]*Table1[[#This Row],[Discount]]</f>
        <v>1999</v>
      </c>
      <c r="Q1145" t="str">
        <f>VLOOKUP(E1145,Products!$A$2:$E$23,2,0)</f>
        <v>Bluetooth Speaker</v>
      </c>
      <c r="R1145" t="str">
        <f>VLOOKUP(Table1[[#This Row],[Product ID]],Products!$A$2:$E$23,3,0)</f>
        <v>Electronics</v>
      </c>
      <c r="S1145" t="str">
        <f>VLOOKUP(C1145,Customers!$A$2:$F$201,4,0)</f>
        <v>Tamil Nadu</v>
      </c>
      <c r="T1145" t="str">
        <f>VLOOKUP(Table1[[#This Row],[Customer ID]],Customers!$A$2:$F$201,5,0)</f>
        <v>South</v>
      </c>
      <c r="U1145" t="str">
        <f>VLOOKUP(Table1[[#This Row],[Customer ID]],Customers!$A$2:$F$201,6,0)</f>
        <v>Consumer</v>
      </c>
      <c r="V1145" t="str">
        <f>TEXT(Table1[[#This Row],[Order Date]],"MMM")</f>
        <v>Nov</v>
      </c>
      <c r="W1145" t="str">
        <f>TEXT(Table1[[#This Row],[Order Date]],"yyyy")</f>
        <v>2025</v>
      </c>
    </row>
    <row r="1146" spans="1:23" x14ac:dyDescent="0.25">
      <c r="A1146" s="2" t="s">
        <v>1392</v>
      </c>
      <c r="B1146" s="4">
        <v>45986</v>
      </c>
      <c r="C1146" s="2" t="s">
        <v>88</v>
      </c>
      <c r="D1146" s="2" t="str">
        <f>TEXT(Table1[[#This Row],[Order Date]],"mmmm")</f>
        <v>November</v>
      </c>
      <c r="E1146" s="2" t="s">
        <v>45</v>
      </c>
      <c r="F1146" s="2">
        <v>20</v>
      </c>
      <c r="G1146" s="5">
        <v>0.05</v>
      </c>
      <c r="H1146" s="2" t="s">
        <v>19</v>
      </c>
      <c r="I1146" s="2" t="s">
        <v>38</v>
      </c>
      <c r="J1146" s="2" t="s">
        <v>21</v>
      </c>
      <c r="K1146">
        <f>VLOOKUP(E1146,Products!$A$2:$E$23,5,0)</f>
        <v>899</v>
      </c>
      <c r="L1146">
        <f>VLOOKUP(E1146,Products!$A$2:$E$23,4,0)</f>
        <v>450</v>
      </c>
      <c r="M1146" s="2">
        <f>K1146*F1146-Table1[[#This Row],[discount_amount]]</f>
        <v>17081</v>
      </c>
      <c r="N1146">
        <f t="shared" si="35"/>
        <v>9000</v>
      </c>
      <c r="O1146">
        <f t="shared" si="34"/>
        <v>8081</v>
      </c>
      <c r="P1146">
        <f>Table1[[#This Row],[Quantity]]*Table1[[#This Row],[unit_price]]*Table1[[#This Row],[Discount]]</f>
        <v>899</v>
      </c>
      <c r="Q1146" t="str">
        <f>VLOOKUP(E1146,Products!$A$2:$E$23,2,0)</f>
        <v>Track Pants</v>
      </c>
      <c r="R1146" t="str">
        <f>VLOOKUP(Table1[[#This Row],[Product ID]],Products!$A$2:$E$23,3,0)</f>
        <v>Clothing</v>
      </c>
      <c r="S1146" t="str">
        <f>VLOOKUP(C1146,Customers!$A$2:$F$201,4,0)</f>
        <v>Gujarat</v>
      </c>
      <c r="T1146" t="str">
        <f>VLOOKUP(Table1[[#This Row],[Customer ID]],Customers!$A$2:$F$201,5,0)</f>
        <v>West</v>
      </c>
      <c r="U1146" t="str">
        <f>VLOOKUP(Table1[[#This Row],[Customer ID]],Customers!$A$2:$F$201,6,0)</f>
        <v>Consumer</v>
      </c>
      <c r="V1146" t="str">
        <f>TEXT(Table1[[#This Row],[Order Date]],"MMM")</f>
        <v>Nov</v>
      </c>
      <c r="W1146" t="str">
        <f>TEXT(Table1[[#This Row],[Order Date]],"yyyy")</f>
        <v>2025</v>
      </c>
    </row>
    <row r="1147" spans="1:23" x14ac:dyDescent="0.25">
      <c r="A1147" s="2" t="s">
        <v>1393</v>
      </c>
      <c r="B1147" s="4">
        <v>45986</v>
      </c>
      <c r="C1147" s="2" t="s">
        <v>413</v>
      </c>
      <c r="D1147" s="2" t="str">
        <f>TEXT(Table1[[#This Row],[Order Date]],"mmmm")</f>
        <v>November</v>
      </c>
      <c r="E1147" s="2" t="s">
        <v>121</v>
      </c>
      <c r="F1147" s="2">
        <v>4</v>
      </c>
      <c r="G1147" s="5">
        <v>0.1</v>
      </c>
      <c r="H1147" s="2" t="s">
        <v>30</v>
      </c>
      <c r="I1147" s="2" t="s">
        <v>20</v>
      </c>
      <c r="J1147" s="2" t="s">
        <v>21</v>
      </c>
      <c r="K1147">
        <f>VLOOKUP(E1147,Products!$A$2:$E$23,5,0)</f>
        <v>499</v>
      </c>
      <c r="L1147">
        <f>VLOOKUP(E1147,Products!$A$2:$E$23,4,0)</f>
        <v>250</v>
      </c>
      <c r="M1147" s="2">
        <f>K1147*F1147-Table1[[#This Row],[discount_amount]]</f>
        <v>1796.4</v>
      </c>
      <c r="N1147">
        <f t="shared" si="35"/>
        <v>1000</v>
      </c>
      <c r="O1147">
        <f t="shared" si="34"/>
        <v>796.40000000000009</v>
      </c>
      <c r="P1147">
        <f>Table1[[#This Row],[Quantity]]*Table1[[#This Row],[unit_price]]*Table1[[#This Row],[Discount]]</f>
        <v>199.60000000000002</v>
      </c>
      <c r="Q1147" t="str">
        <f>VLOOKUP(E1147,Products!$A$2:$E$23,2,0)</f>
        <v>Cotton T-Shirt</v>
      </c>
      <c r="R1147" t="str">
        <f>VLOOKUP(Table1[[#This Row],[Product ID]],Products!$A$2:$E$23,3,0)</f>
        <v>Clothing</v>
      </c>
      <c r="S1147" t="str">
        <f>VLOOKUP(C1147,Customers!$A$2:$F$201,4,0)</f>
        <v>Karnataka</v>
      </c>
      <c r="T1147" t="str">
        <f>VLOOKUP(Table1[[#This Row],[Customer ID]],Customers!$A$2:$F$201,5,0)</f>
        <v>South</v>
      </c>
      <c r="U1147" t="str">
        <f>VLOOKUP(Table1[[#This Row],[Customer ID]],Customers!$A$2:$F$201,6,0)</f>
        <v>Corporate</v>
      </c>
      <c r="V1147" t="str">
        <f>TEXT(Table1[[#This Row],[Order Date]],"MMM")</f>
        <v>Nov</v>
      </c>
      <c r="W1147" t="str">
        <f>TEXT(Table1[[#This Row],[Order Date]],"yyyy")</f>
        <v>2025</v>
      </c>
    </row>
    <row r="1148" spans="1:23" x14ac:dyDescent="0.25">
      <c r="A1148" s="2" t="s">
        <v>1394</v>
      </c>
      <c r="B1148" s="4">
        <v>45986</v>
      </c>
      <c r="C1148" s="2" t="s">
        <v>100</v>
      </c>
      <c r="D1148" s="2" t="str">
        <f>TEXT(Table1[[#This Row],[Order Date]],"mmmm")</f>
        <v>November</v>
      </c>
      <c r="E1148" s="2" t="s">
        <v>45</v>
      </c>
      <c r="F1148" s="2">
        <v>4</v>
      </c>
      <c r="G1148" s="5">
        <v>0</v>
      </c>
      <c r="H1148" s="2" t="s">
        <v>25</v>
      </c>
      <c r="I1148" s="2" t="s">
        <v>38</v>
      </c>
      <c r="J1148" s="2" t="s">
        <v>21</v>
      </c>
      <c r="K1148">
        <f>VLOOKUP(E1148,Products!$A$2:$E$23,5,0)</f>
        <v>899</v>
      </c>
      <c r="L1148">
        <f>VLOOKUP(E1148,Products!$A$2:$E$23,4,0)</f>
        <v>450</v>
      </c>
      <c r="M1148" s="2">
        <f>K1148*F1148-Table1[[#This Row],[discount_amount]]</f>
        <v>3596</v>
      </c>
      <c r="N1148">
        <f t="shared" si="35"/>
        <v>1800</v>
      </c>
      <c r="O1148">
        <f t="shared" si="34"/>
        <v>1796</v>
      </c>
      <c r="P1148">
        <f>Table1[[#This Row],[Quantity]]*Table1[[#This Row],[unit_price]]*Table1[[#This Row],[Discount]]</f>
        <v>0</v>
      </c>
      <c r="Q1148" t="str">
        <f>VLOOKUP(E1148,Products!$A$2:$E$23,2,0)</f>
        <v>Track Pants</v>
      </c>
      <c r="R1148" t="str">
        <f>VLOOKUP(Table1[[#This Row],[Product ID]],Products!$A$2:$E$23,3,0)</f>
        <v>Clothing</v>
      </c>
      <c r="S1148" t="str">
        <f>VLOOKUP(C1148,Customers!$A$2:$F$201,4,0)</f>
        <v>Delhi</v>
      </c>
      <c r="T1148" t="str">
        <f>VLOOKUP(Table1[[#This Row],[Customer ID]],Customers!$A$2:$F$201,5,0)</f>
        <v>North</v>
      </c>
      <c r="U1148" t="str">
        <f>VLOOKUP(Table1[[#This Row],[Customer ID]],Customers!$A$2:$F$201,6,0)</f>
        <v>Consumer</v>
      </c>
      <c r="V1148" t="str">
        <f>TEXT(Table1[[#This Row],[Order Date]],"MMM")</f>
        <v>Nov</v>
      </c>
      <c r="W1148" t="str">
        <f>TEXT(Table1[[#This Row],[Order Date]],"yyyy")</f>
        <v>2025</v>
      </c>
    </row>
    <row r="1149" spans="1:23" x14ac:dyDescent="0.25">
      <c r="A1149" s="2" t="s">
        <v>1395</v>
      </c>
      <c r="B1149" s="4">
        <v>45986</v>
      </c>
      <c r="C1149" s="2" t="s">
        <v>219</v>
      </c>
      <c r="D1149" s="2" t="str">
        <f>TEXT(Table1[[#This Row],[Order Date]],"mmmm")</f>
        <v>November</v>
      </c>
      <c r="E1149" s="2" t="s">
        <v>37</v>
      </c>
      <c r="F1149" s="2">
        <v>6</v>
      </c>
      <c r="G1149" s="5">
        <v>0.2</v>
      </c>
      <c r="H1149" s="2" t="s">
        <v>25</v>
      </c>
      <c r="I1149" s="2" t="s">
        <v>31</v>
      </c>
      <c r="J1149" s="2" t="s">
        <v>21</v>
      </c>
      <c r="K1149">
        <f>VLOOKUP(E1149,Products!$A$2:$E$23,5,0)</f>
        <v>1799</v>
      </c>
      <c r="L1149">
        <f>VLOOKUP(E1149,Products!$A$2:$E$23,4,0)</f>
        <v>900</v>
      </c>
      <c r="M1149" s="2">
        <f>K1149*F1149-Table1[[#This Row],[discount_amount]]</f>
        <v>8635.2000000000007</v>
      </c>
      <c r="N1149">
        <f t="shared" si="35"/>
        <v>5400</v>
      </c>
      <c r="O1149">
        <f t="shared" si="34"/>
        <v>3235.2000000000007</v>
      </c>
      <c r="P1149">
        <f>Table1[[#This Row],[Quantity]]*Table1[[#This Row],[unit_price]]*Table1[[#This Row],[Discount]]</f>
        <v>2158.8000000000002</v>
      </c>
      <c r="Q1149" t="str">
        <f>VLOOKUP(E1149,Products!$A$2:$E$23,2,0)</f>
        <v>Denim Jeans</v>
      </c>
      <c r="R1149" t="str">
        <f>VLOOKUP(Table1[[#This Row],[Product ID]],Products!$A$2:$E$23,3,0)</f>
        <v>Clothing</v>
      </c>
      <c r="S1149" t="str">
        <f>VLOOKUP(C1149,Customers!$A$2:$F$201,4,0)</f>
        <v>Gujarat</v>
      </c>
      <c r="T1149" t="str">
        <f>VLOOKUP(Table1[[#This Row],[Customer ID]],Customers!$A$2:$F$201,5,0)</f>
        <v>West</v>
      </c>
      <c r="U1149" t="str">
        <f>VLOOKUP(Table1[[#This Row],[Customer ID]],Customers!$A$2:$F$201,6,0)</f>
        <v>Consumer</v>
      </c>
      <c r="V1149" t="str">
        <f>TEXT(Table1[[#This Row],[Order Date]],"MMM")</f>
        <v>Nov</v>
      </c>
      <c r="W1149" t="str">
        <f>TEXT(Table1[[#This Row],[Order Date]],"yyyy")</f>
        <v>2025</v>
      </c>
    </row>
    <row r="1150" spans="1:23" x14ac:dyDescent="0.25">
      <c r="A1150" s="2" t="s">
        <v>1396</v>
      </c>
      <c r="B1150" s="4">
        <v>45987</v>
      </c>
      <c r="C1150" s="2" t="s">
        <v>956</v>
      </c>
      <c r="D1150" s="2" t="str">
        <f>TEXT(Table1[[#This Row],[Order Date]],"mmmm")</f>
        <v>November</v>
      </c>
      <c r="E1150" s="2" t="s">
        <v>111</v>
      </c>
      <c r="F1150" s="2">
        <v>2</v>
      </c>
      <c r="G1150" s="5">
        <v>0</v>
      </c>
      <c r="H1150" s="2" t="s">
        <v>30</v>
      </c>
      <c r="I1150" s="2" t="s">
        <v>26</v>
      </c>
      <c r="J1150" s="2" t="s">
        <v>94</v>
      </c>
      <c r="K1150">
        <f>VLOOKUP(E1150,Products!$A$2:$E$23,5,0)</f>
        <v>240</v>
      </c>
      <c r="L1150">
        <f>VLOOKUP(E1150,Products!$A$2:$E$23,4,0)</f>
        <v>140</v>
      </c>
      <c r="M1150" s="2">
        <f>K1150*F1150-Table1[[#This Row],[discount_amount]]</f>
        <v>480</v>
      </c>
      <c r="N1150">
        <f t="shared" si="35"/>
        <v>280</v>
      </c>
      <c r="O1150">
        <f t="shared" si="34"/>
        <v>200</v>
      </c>
      <c r="P1150">
        <f>Table1[[#This Row],[Quantity]]*Table1[[#This Row],[unit_price]]*Table1[[#This Row],[Discount]]</f>
        <v>0</v>
      </c>
      <c r="Q1150" t="str">
        <f>VLOOKUP(E1150,Products!$A$2:$E$23,2,0)</f>
        <v>Whiteboard Marker Set</v>
      </c>
      <c r="R1150" t="str">
        <f>VLOOKUP(Table1[[#This Row],[Product ID]],Products!$A$2:$E$23,3,0)</f>
        <v>Office Supplies</v>
      </c>
      <c r="S1150" t="str">
        <f>VLOOKUP(C1150,Customers!$A$2:$F$201,4,0)</f>
        <v>Telangana</v>
      </c>
      <c r="T1150" t="str">
        <f>VLOOKUP(Table1[[#This Row],[Customer ID]],Customers!$A$2:$F$201,5,0)</f>
        <v>South</v>
      </c>
      <c r="U1150" t="str">
        <f>VLOOKUP(Table1[[#This Row],[Customer ID]],Customers!$A$2:$F$201,6,0)</f>
        <v>Home Office</v>
      </c>
      <c r="V1150" t="str">
        <f>TEXT(Table1[[#This Row],[Order Date]],"MMM")</f>
        <v>Nov</v>
      </c>
      <c r="W1150" t="str">
        <f>TEXT(Table1[[#This Row],[Order Date]],"yyyy")</f>
        <v>2025</v>
      </c>
    </row>
    <row r="1151" spans="1:23" x14ac:dyDescent="0.25">
      <c r="A1151" s="2" t="s">
        <v>1397</v>
      </c>
      <c r="B1151" s="4">
        <v>45989</v>
      </c>
      <c r="C1151" s="2" t="s">
        <v>36</v>
      </c>
      <c r="D1151" s="2" t="str">
        <f>TEXT(Table1[[#This Row],[Order Date]],"mmmm")</f>
        <v>November</v>
      </c>
      <c r="E1151" s="2" t="s">
        <v>66</v>
      </c>
      <c r="F1151" s="2">
        <v>4</v>
      </c>
      <c r="G1151" s="5">
        <v>0.15</v>
      </c>
      <c r="H1151" s="2" t="s">
        <v>25</v>
      </c>
      <c r="I1151" s="2" t="s">
        <v>38</v>
      </c>
      <c r="J1151" s="2" t="s">
        <v>21</v>
      </c>
      <c r="K1151">
        <f>VLOOKUP(E1151,Products!$A$2:$E$23,5,0)</f>
        <v>1299</v>
      </c>
      <c r="L1151">
        <f>VLOOKUP(E1151,Products!$A$2:$E$23,4,0)</f>
        <v>800</v>
      </c>
      <c r="M1151" s="2">
        <f>K1151*F1151-Table1[[#This Row],[discount_amount]]</f>
        <v>4416.6000000000004</v>
      </c>
      <c r="N1151">
        <f t="shared" si="35"/>
        <v>3200</v>
      </c>
      <c r="O1151">
        <f t="shared" si="34"/>
        <v>1216.6000000000004</v>
      </c>
      <c r="P1151">
        <f>Table1[[#This Row],[Quantity]]*Table1[[#This Row],[unit_price]]*Table1[[#This Row],[Discount]]</f>
        <v>779.4</v>
      </c>
      <c r="Q1151" t="str">
        <f>VLOOKUP(E1151,Products!$A$2:$E$23,2,0)</f>
        <v>Power Bank 10000mAh</v>
      </c>
      <c r="R1151" t="str">
        <f>VLOOKUP(Table1[[#This Row],[Product ID]],Products!$A$2:$E$23,3,0)</f>
        <v>Electronics</v>
      </c>
      <c r="S1151" t="str">
        <f>VLOOKUP(C1151,Customers!$A$2:$F$201,4,0)</f>
        <v>Gujarat</v>
      </c>
      <c r="T1151" t="str">
        <f>VLOOKUP(Table1[[#This Row],[Customer ID]],Customers!$A$2:$F$201,5,0)</f>
        <v>West</v>
      </c>
      <c r="U1151" t="str">
        <f>VLOOKUP(Table1[[#This Row],[Customer ID]],Customers!$A$2:$F$201,6,0)</f>
        <v>Consumer</v>
      </c>
      <c r="V1151" t="str">
        <f>TEXT(Table1[[#This Row],[Order Date]],"MMM")</f>
        <v>Nov</v>
      </c>
      <c r="W1151" t="str">
        <f>TEXT(Table1[[#This Row],[Order Date]],"yyyy")</f>
        <v>2025</v>
      </c>
    </row>
    <row r="1152" spans="1:23" x14ac:dyDescent="0.25">
      <c r="A1152" s="2" t="s">
        <v>1398</v>
      </c>
      <c r="B1152" s="4">
        <v>45989</v>
      </c>
      <c r="C1152" s="2" t="s">
        <v>437</v>
      </c>
      <c r="D1152" s="2" t="str">
        <f>TEXT(Table1[[#This Row],[Order Date]],"mmmm")</f>
        <v>November</v>
      </c>
      <c r="E1152" s="2" t="s">
        <v>82</v>
      </c>
      <c r="F1152" s="2">
        <v>5</v>
      </c>
      <c r="G1152" s="5">
        <v>0.2</v>
      </c>
      <c r="H1152" s="2" t="s">
        <v>30</v>
      </c>
      <c r="I1152" s="2" t="s">
        <v>38</v>
      </c>
      <c r="J1152" s="2" t="s">
        <v>21</v>
      </c>
      <c r="K1152">
        <f>VLOOKUP(E1152,Products!$A$2:$E$23,5,0)</f>
        <v>1799</v>
      </c>
      <c r="L1152">
        <f>VLOOKUP(E1152,Products!$A$2:$E$23,4,0)</f>
        <v>1100</v>
      </c>
      <c r="M1152" s="2">
        <f>K1152*F1152-Table1[[#This Row],[discount_amount]]</f>
        <v>7196</v>
      </c>
      <c r="N1152">
        <f t="shared" si="35"/>
        <v>5500</v>
      </c>
      <c r="O1152">
        <f t="shared" si="34"/>
        <v>1696</v>
      </c>
      <c r="P1152">
        <f>Table1[[#This Row],[Quantity]]*Table1[[#This Row],[unit_price]]*Table1[[#This Row],[Discount]]</f>
        <v>1799</v>
      </c>
      <c r="Q1152" t="str">
        <f>VLOOKUP(E1152,Products!$A$2:$E$23,2,0)</f>
        <v>Webcam HD</v>
      </c>
      <c r="R1152" t="str">
        <f>VLOOKUP(Table1[[#This Row],[Product ID]],Products!$A$2:$E$23,3,0)</f>
        <v>Electronics</v>
      </c>
      <c r="S1152" t="str">
        <f>VLOOKUP(C1152,Customers!$A$2:$F$201,4,0)</f>
        <v>Maharashtra</v>
      </c>
      <c r="T1152" t="str">
        <f>VLOOKUP(Table1[[#This Row],[Customer ID]],Customers!$A$2:$F$201,5,0)</f>
        <v>Central</v>
      </c>
      <c r="U1152" t="str">
        <f>VLOOKUP(Table1[[#This Row],[Customer ID]],Customers!$A$2:$F$201,6,0)</f>
        <v>Consumer</v>
      </c>
      <c r="V1152" t="str">
        <f>TEXT(Table1[[#This Row],[Order Date]],"MMM")</f>
        <v>Nov</v>
      </c>
      <c r="W1152" t="str">
        <f>TEXT(Table1[[#This Row],[Order Date]],"yyyy")</f>
        <v>2025</v>
      </c>
    </row>
    <row r="1153" spans="1:23" x14ac:dyDescent="0.25">
      <c r="A1153" s="2" t="s">
        <v>1399</v>
      </c>
      <c r="B1153" s="4">
        <v>45990</v>
      </c>
      <c r="C1153" s="2" t="s">
        <v>203</v>
      </c>
      <c r="D1153" s="2" t="str">
        <f>TEXT(Table1[[#This Row],[Order Date]],"mmmm")</f>
        <v>November</v>
      </c>
      <c r="E1153" s="2" t="s">
        <v>121</v>
      </c>
      <c r="F1153" s="2">
        <v>4</v>
      </c>
      <c r="G1153" s="5">
        <v>0.1</v>
      </c>
      <c r="H1153" s="2" t="s">
        <v>19</v>
      </c>
      <c r="I1153" s="2" t="s">
        <v>20</v>
      </c>
      <c r="J1153" s="2" t="s">
        <v>42</v>
      </c>
      <c r="K1153">
        <f>VLOOKUP(E1153,Products!$A$2:$E$23,5,0)</f>
        <v>499</v>
      </c>
      <c r="L1153">
        <f>VLOOKUP(E1153,Products!$A$2:$E$23,4,0)</f>
        <v>250</v>
      </c>
      <c r="M1153" s="2">
        <f>K1153*F1153-Table1[[#This Row],[discount_amount]]</f>
        <v>1796.4</v>
      </c>
      <c r="N1153">
        <f t="shared" si="35"/>
        <v>1000</v>
      </c>
      <c r="O1153">
        <f t="shared" si="34"/>
        <v>796.40000000000009</v>
      </c>
      <c r="P1153">
        <f>Table1[[#This Row],[Quantity]]*Table1[[#This Row],[unit_price]]*Table1[[#This Row],[Discount]]</f>
        <v>199.60000000000002</v>
      </c>
      <c r="Q1153" t="str">
        <f>VLOOKUP(E1153,Products!$A$2:$E$23,2,0)</f>
        <v>Cotton T-Shirt</v>
      </c>
      <c r="R1153" t="str">
        <f>VLOOKUP(Table1[[#This Row],[Product ID]],Products!$A$2:$E$23,3,0)</f>
        <v>Clothing</v>
      </c>
      <c r="S1153" t="str">
        <f>VLOOKUP(C1153,Customers!$A$2:$F$201,4,0)</f>
        <v>Kerala</v>
      </c>
      <c r="T1153" t="str">
        <f>VLOOKUP(Table1[[#This Row],[Customer ID]],Customers!$A$2:$F$201,5,0)</f>
        <v>South</v>
      </c>
      <c r="U1153" t="str">
        <f>VLOOKUP(Table1[[#This Row],[Customer ID]],Customers!$A$2:$F$201,6,0)</f>
        <v>Corporate</v>
      </c>
      <c r="V1153" t="str">
        <f>TEXT(Table1[[#This Row],[Order Date]],"MMM")</f>
        <v>Nov</v>
      </c>
      <c r="W1153" t="str">
        <f>TEXT(Table1[[#This Row],[Order Date]],"yyyy")</f>
        <v>2025</v>
      </c>
    </row>
    <row r="1154" spans="1:23" x14ac:dyDescent="0.25">
      <c r="A1154" s="2" t="s">
        <v>1400</v>
      </c>
      <c r="B1154" s="4">
        <v>45991</v>
      </c>
      <c r="C1154" s="2" t="s">
        <v>188</v>
      </c>
      <c r="D1154" s="2" t="str">
        <f>TEXT(Table1[[#This Row],[Order Date]],"mmmm")</f>
        <v>November</v>
      </c>
      <c r="E1154" s="2" t="s">
        <v>29</v>
      </c>
      <c r="F1154" s="2">
        <v>3</v>
      </c>
      <c r="G1154" s="5">
        <v>0.1</v>
      </c>
      <c r="H1154" s="2" t="s">
        <v>25</v>
      </c>
      <c r="I1154" s="2" t="s">
        <v>20</v>
      </c>
      <c r="J1154" s="2" t="s">
        <v>21</v>
      </c>
      <c r="K1154">
        <f>VLOOKUP(E1154,Products!$A$2:$E$23,5,0)</f>
        <v>599</v>
      </c>
      <c r="L1154">
        <f>VLOOKUP(E1154,Products!$A$2:$E$23,4,0)</f>
        <v>350</v>
      </c>
      <c r="M1154" s="2">
        <f>K1154*F1154-Table1[[#This Row],[discount_amount]]</f>
        <v>1617.3</v>
      </c>
      <c r="N1154">
        <f t="shared" si="35"/>
        <v>1050</v>
      </c>
      <c r="O1154">
        <f t="shared" ref="O1154:O1201" si="36">M1154-N1154</f>
        <v>567.29999999999995</v>
      </c>
      <c r="P1154">
        <f>Table1[[#This Row],[Quantity]]*Table1[[#This Row],[unit_price]]*Table1[[#This Row],[Discount]]</f>
        <v>179.70000000000002</v>
      </c>
      <c r="Q1154" t="str">
        <f>VLOOKUP(E1154,Products!$A$2:$E$23,2,0)</f>
        <v>USB Flash Drive 64GB</v>
      </c>
      <c r="R1154" t="str">
        <f>VLOOKUP(Table1[[#This Row],[Product ID]],Products!$A$2:$E$23,3,0)</f>
        <v>Electronics</v>
      </c>
      <c r="S1154" t="str">
        <f>VLOOKUP(C1154,Customers!$A$2:$F$201,4,0)</f>
        <v>Bihar</v>
      </c>
      <c r="T1154" t="str">
        <f>VLOOKUP(Table1[[#This Row],[Customer ID]],Customers!$A$2:$F$201,5,0)</f>
        <v>East</v>
      </c>
      <c r="U1154" t="str">
        <f>VLOOKUP(Table1[[#This Row],[Customer ID]],Customers!$A$2:$F$201,6,0)</f>
        <v>Corporate</v>
      </c>
      <c r="V1154" t="str">
        <f>TEXT(Table1[[#This Row],[Order Date]],"MMM")</f>
        <v>Nov</v>
      </c>
      <c r="W1154" t="str">
        <f>TEXT(Table1[[#This Row],[Order Date]],"yyyy")</f>
        <v>2025</v>
      </c>
    </row>
    <row r="1155" spans="1:23" x14ac:dyDescent="0.25">
      <c r="A1155" s="2" t="s">
        <v>1401</v>
      </c>
      <c r="B1155" s="4">
        <v>45992</v>
      </c>
      <c r="C1155" s="2" t="s">
        <v>356</v>
      </c>
      <c r="D1155" s="2" t="str">
        <f>TEXT(Table1[[#This Row],[Order Date]],"mmmm")</f>
        <v>December</v>
      </c>
      <c r="E1155" s="2" t="s">
        <v>155</v>
      </c>
      <c r="F1155" s="2">
        <v>8</v>
      </c>
      <c r="G1155" s="5">
        <v>0.15</v>
      </c>
      <c r="H1155" s="2" t="s">
        <v>25</v>
      </c>
      <c r="I1155" s="2" t="s">
        <v>26</v>
      </c>
      <c r="J1155" s="2" t="s">
        <v>21</v>
      </c>
      <c r="K1155">
        <f>VLOOKUP(E1155,Products!$A$2:$E$23,5,0)</f>
        <v>1599</v>
      </c>
      <c r="L1155">
        <f>VLOOKUP(E1155,Products!$A$2:$E$23,4,0)</f>
        <v>900</v>
      </c>
      <c r="M1155" s="2">
        <f>K1155*F1155-Table1[[#This Row],[discount_amount]]</f>
        <v>10873.2</v>
      </c>
      <c r="N1155">
        <f t="shared" ref="N1155:N1201" si="37">F1155*L1155</f>
        <v>7200</v>
      </c>
      <c r="O1155">
        <f t="shared" si="36"/>
        <v>3673.2000000000007</v>
      </c>
      <c r="P1155">
        <f>Table1[[#This Row],[Quantity]]*Table1[[#This Row],[unit_price]]*Table1[[#This Row],[Discount]]</f>
        <v>1918.8</v>
      </c>
      <c r="Q1155" t="str">
        <f>VLOOKUP(E1155,Products!$A$2:$E$23,2,0)</f>
        <v>Headphones</v>
      </c>
      <c r="R1155" t="str">
        <f>VLOOKUP(Table1[[#This Row],[Product ID]],Products!$A$2:$E$23,3,0)</f>
        <v>Electronics</v>
      </c>
      <c r="S1155" t="str">
        <f>VLOOKUP(C1155,Customers!$A$2:$F$201,4,0)</f>
        <v>Gujarat</v>
      </c>
      <c r="T1155" t="str">
        <f>VLOOKUP(Table1[[#This Row],[Customer ID]],Customers!$A$2:$F$201,5,0)</f>
        <v>West</v>
      </c>
      <c r="U1155" t="str">
        <f>VLOOKUP(Table1[[#This Row],[Customer ID]],Customers!$A$2:$F$201,6,0)</f>
        <v>Corporate</v>
      </c>
      <c r="V1155" t="str">
        <f>TEXT(Table1[[#This Row],[Order Date]],"MMM")</f>
        <v>Dec</v>
      </c>
      <c r="W1155" t="str">
        <f>TEXT(Table1[[#This Row],[Order Date]],"yyyy")</f>
        <v>2025</v>
      </c>
    </row>
    <row r="1156" spans="1:23" x14ac:dyDescent="0.25">
      <c r="A1156" s="2" t="s">
        <v>1402</v>
      </c>
      <c r="B1156" s="4">
        <v>45993</v>
      </c>
      <c r="C1156" s="2" t="s">
        <v>241</v>
      </c>
      <c r="D1156" s="2" t="str">
        <f>TEXT(Table1[[#This Row],[Order Date]],"mmmm")</f>
        <v>December</v>
      </c>
      <c r="E1156" s="2" t="s">
        <v>54</v>
      </c>
      <c r="F1156" s="2">
        <v>4</v>
      </c>
      <c r="G1156" s="5">
        <v>0</v>
      </c>
      <c r="H1156" s="2" t="s">
        <v>19</v>
      </c>
      <c r="I1156" s="2" t="s">
        <v>46</v>
      </c>
      <c r="J1156" s="2" t="s">
        <v>21</v>
      </c>
      <c r="K1156">
        <f>VLOOKUP(E1156,Products!$A$2:$E$23,5,0)</f>
        <v>299</v>
      </c>
      <c r="L1156">
        <f>VLOOKUP(E1156,Products!$A$2:$E$23,4,0)</f>
        <v>180</v>
      </c>
      <c r="M1156" s="2">
        <f>K1156*F1156-Table1[[#This Row],[discount_amount]]</f>
        <v>1196</v>
      </c>
      <c r="N1156">
        <f t="shared" si="37"/>
        <v>720</v>
      </c>
      <c r="O1156">
        <f t="shared" si="36"/>
        <v>476</v>
      </c>
      <c r="P1156">
        <f>Table1[[#This Row],[Quantity]]*Table1[[#This Row],[unit_price]]*Table1[[#This Row],[Discount]]</f>
        <v>0</v>
      </c>
      <c r="Q1156" t="str">
        <f>VLOOKUP(E1156,Products!$A$2:$E$23,2,0)</f>
        <v>Notebook Pack of 5</v>
      </c>
      <c r="R1156" t="str">
        <f>VLOOKUP(Table1[[#This Row],[Product ID]],Products!$A$2:$E$23,3,0)</f>
        <v>Office Supplies</v>
      </c>
      <c r="S1156" t="str">
        <f>VLOOKUP(C1156,Customers!$A$2:$F$201,4,0)</f>
        <v>Odisha</v>
      </c>
      <c r="T1156" t="str">
        <f>VLOOKUP(Table1[[#This Row],[Customer ID]],Customers!$A$2:$F$201,5,0)</f>
        <v>East</v>
      </c>
      <c r="U1156" t="str">
        <f>VLOOKUP(Table1[[#This Row],[Customer ID]],Customers!$A$2:$F$201,6,0)</f>
        <v>Home Office</v>
      </c>
      <c r="V1156" t="str">
        <f>TEXT(Table1[[#This Row],[Order Date]],"MMM")</f>
        <v>Dec</v>
      </c>
      <c r="W1156" t="str">
        <f>TEXT(Table1[[#This Row],[Order Date]],"yyyy")</f>
        <v>2025</v>
      </c>
    </row>
    <row r="1157" spans="1:23" x14ac:dyDescent="0.25">
      <c r="A1157" s="2" t="s">
        <v>1403</v>
      </c>
      <c r="B1157" s="4">
        <v>45993</v>
      </c>
      <c r="C1157" s="2" t="s">
        <v>113</v>
      </c>
      <c r="D1157" s="2" t="str">
        <f>TEXT(Table1[[#This Row],[Order Date]],"mmmm")</f>
        <v>December</v>
      </c>
      <c r="E1157" s="2" t="s">
        <v>63</v>
      </c>
      <c r="F1157" s="2">
        <v>4</v>
      </c>
      <c r="G1157" s="5">
        <v>0.1</v>
      </c>
      <c r="H1157" s="2" t="s">
        <v>25</v>
      </c>
      <c r="I1157" s="2" t="s">
        <v>38</v>
      </c>
      <c r="J1157" s="2" t="s">
        <v>21</v>
      </c>
      <c r="K1157">
        <f>VLOOKUP(E1157,Products!$A$2:$E$23,5,0)</f>
        <v>5499</v>
      </c>
      <c r="L1157">
        <f>VLOOKUP(E1157,Products!$A$2:$E$23,4,0)</f>
        <v>3500</v>
      </c>
      <c r="M1157" s="2">
        <f>K1157*F1157-Table1[[#This Row],[discount_amount]]</f>
        <v>19796.400000000001</v>
      </c>
      <c r="N1157">
        <f t="shared" si="37"/>
        <v>14000</v>
      </c>
      <c r="O1157">
        <f t="shared" si="36"/>
        <v>5796.4000000000015</v>
      </c>
      <c r="P1157">
        <f>Table1[[#This Row],[Quantity]]*Table1[[#This Row],[unit_price]]*Table1[[#This Row],[Discount]]</f>
        <v>2199.6</v>
      </c>
      <c r="Q1157" t="str">
        <f>VLOOKUP(E1157,Products!$A$2:$E$23,2,0)</f>
        <v>Office Chair</v>
      </c>
      <c r="R1157" t="str">
        <f>VLOOKUP(Table1[[#This Row],[Product ID]],Products!$A$2:$E$23,3,0)</f>
        <v>Furniture</v>
      </c>
      <c r="S1157" t="str">
        <f>VLOOKUP(C1157,Customers!$A$2:$F$201,4,0)</f>
        <v>Gujarat</v>
      </c>
      <c r="T1157" t="str">
        <f>VLOOKUP(Table1[[#This Row],[Customer ID]],Customers!$A$2:$F$201,5,0)</f>
        <v>West</v>
      </c>
      <c r="U1157" t="str">
        <f>VLOOKUP(Table1[[#This Row],[Customer ID]],Customers!$A$2:$F$201,6,0)</f>
        <v>Consumer</v>
      </c>
      <c r="V1157" t="str">
        <f>TEXT(Table1[[#This Row],[Order Date]],"MMM")</f>
        <v>Dec</v>
      </c>
      <c r="W1157" t="str">
        <f>TEXT(Table1[[#This Row],[Order Date]],"yyyy")</f>
        <v>2025</v>
      </c>
    </row>
    <row r="1158" spans="1:23" x14ac:dyDescent="0.25">
      <c r="A1158" s="2" t="s">
        <v>1404</v>
      </c>
      <c r="B1158" s="4">
        <v>45994</v>
      </c>
      <c r="C1158" s="2" t="s">
        <v>140</v>
      </c>
      <c r="D1158" s="2" t="str">
        <f>TEXT(Table1[[#This Row],[Order Date]],"mmmm")</f>
        <v>December</v>
      </c>
      <c r="E1158" s="2" t="s">
        <v>45</v>
      </c>
      <c r="F1158" s="2">
        <v>5</v>
      </c>
      <c r="G1158" s="5">
        <v>0.1</v>
      </c>
      <c r="H1158" s="2" t="s">
        <v>30</v>
      </c>
      <c r="I1158" s="2" t="s">
        <v>38</v>
      </c>
      <c r="J1158" s="2" t="s">
        <v>21</v>
      </c>
      <c r="K1158">
        <f>VLOOKUP(E1158,Products!$A$2:$E$23,5,0)</f>
        <v>899</v>
      </c>
      <c r="L1158">
        <f>VLOOKUP(E1158,Products!$A$2:$E$23,4,0)</f>
        <v>450</v>
      </c>
      <c r="M1158" s="2">
        <f>K1158*F1158-Table1[[#This Row],[discount_amount]]</f>
        <v>4045.5</v>
      </c>
      <c r="N1158">
        <f t="shared" si="37"/>
        <v>2250</v>
      </c>
      <c r="O1158">
        <f t="shared" si="36"/>
        <v>1795.5</v>
      </c>
      <c r="P1158">
        <f>Table1[[#This Row],[Quantity]]*Table1[[#This Row],[unit_price]]*Table1[[#This Row],[Discount]]</f>
        <v>449.5</v>
      </c>
      <c r="Q1158" t="str">
        <f>VLOOKUP(E1158,Products!$A$2:$E$23,2,0)</f>
        <v>Track Pants</v>
      </c>
      <c r="R1158" t="str">
        <f>VLOOKUP(Table1[[#This Row],[Product ID]],Products!$A$2:$E$23,3,0)</f>
        <v>Clothing</v>
      </c>
      <c r="S1158" t="str">
        <f>VLOOKUP(C1158,Customers!$A$2:$F$201,4,0)</f>
        <v>Gujarat</v>
      </c>
      <c r="T1158" t="str">
        <f>VLOOKUP(Table1[[#This Row],[Customer ID]],Customers!$A$2:$F$201,5,0)</f>
        <v>West</v>
      </c>
      <c r="U1158" t="str">
        <f>VLOOKUP(Table1[[#This Row],[Customer ID]],Customers!$A$2:$F$201,6,0)</f>
        <v>Consumer</v>
      </c>
      <c r="V1158" t="str">
        <f>TEXT(Table1[[#This Row],[Order Date]],"MMM")</f>
        <v>Dec</v>
      </c>
      <c r="W1158" t="str">
        <f>TEXT(Table1[[#This Row],[Order Date]],"yyyy")</f>
        <v>2025</v>
      </c>
    </row>
    <row r="1159" spans="1:23" x14ac:dyDescent="0.25">
      <c r="A1159" s="2" t="s">
        <v>1405</v>
      </c>
      <c r="B1159" s="4">
        <v>45994</v>
      </c>
      <c r="C1159" s="2" t="s">
        <v>137</v>
      </c>
      <c r="D1159" s="2" t="str">
        <f>TEXT(Table1[[#This Row],[Order Date]],"mmmm")</f>
        <v>December</v>
      </c>
      <c r="E1159" s="2" t="s">
        <v>41</v>
      </c>
      <c r="F1159" s="2">
        <v>2</v>
      </c>
      <c r="G1159" s="5">
        <v>0</v>
      </c>
      <c r="H1159" s="2" t="s">
        <v>19</v>
      </c>
      <c r="I1159" s="2" t="s">
        <v>31</v>
      </c>
      <c r="J1159" s="2" t="s">
        <v>21</v>
      </c>
      <c r="K1159">
        <f>VLOOKUP(E1159,Products!$A$2:$E$23,5,0)</f>
        <v>320</v>
      </c>
      <c r="L1159">
        <f>VLOOKUP(E1159,Products!$A$2:$E$23,4,0)</f>
        <v>220</v>
      </c>
      <c r="M1159" s="2">
        <f>K1159*F1159-Table1[[#This Row],[discount_amount]]</f>
        <v>640</v>
      </c>
      <c r="N1159">
        <f t="shared" si="37"/>
        <v>440</v>
      </c>
      <c r="O1159">
        <f t="shared" si="36"/>
        <v>200</v>
      </c>
      <c r="P1159">
        <f>Table1[[#This Row],[Quantity]]*Table1[[#This Row],[unit_price]]*Table1[[#This Row],[Discount]]</f>
        <v>0</v>
      </c>
      <c r="Q1159" t="str">
        <f>VLOOKUP(E1159,Products!$A$2:$E$23,2,0)</f>
        <v>A4 Paper Ream</v>
      </c>
      <c r="R1159" t="str">
        <f>VLOOKUP(Table1[[#This Row],[Product ID]],Products!$A$2:$E$23,3,0)</f>
        <v>Office Supplies</v>
      </c>
      <c r="S1159" t="str">
        <f>VLOOKUP(C1159,Customers!$A$2:$F$201,4,0)</f>
        <v>Telangana</v>
      </c>
      <c r="T1159" t="str">
        <f>VLOOKUP(Table1[[#This Row],[Customer ID]],Customers!$A$2:$F$201,5,0)</f>
        <v>South</v>
      </c>
      <c r="U1159" t="str">
        <f>VLOOKUP(Table1[[#This Row],[Customer ID]],Customers!$A$2:$F$201,6,0)</f>
        <v>Corporate</v>
      </c>
      <c r="V1159" t="str">
        <f>TEXT(Table1[[#This Row],[Order Date]],"MMM")</f>
        <v>Dec</v>
      </c>
      <c r="W1159" t="str">
        <f>TEXT(Table1[[#This Row],[Order Date]],"yyyy")</f>
        <v>2025</v>
      </c>
    </row>
    <row r="1160" spans="1:23" x14ac:dyDescent="0.25">
      <c r="A1160" s="2" t="s">
        <v>1406</v>
      </c>
      <c r="B1160" s="4">
        <v>45994</v>
      </c>
      <c r="C1160" s="2" t="s">
        <v>304</v>
      </c>
      <c r="D1160" s="2" t="str">
        <f>TEXT(Table1[[#This Row],[Order Date]],"mmmm")</f>
        <v>December</v>
      </c>
      <c r="E1160" s="2" t="s">
        <v>135</v>
      </c>
      <c r="F1160" s="2">
        <v>5</v>
      </c>
      <c r="G1160" s="5">
        <v>0</v>
      </c>
      <c r="H1160" s="2" t="s">
        <v>19</v>
      </c>
      <c r="I1160" s="2" t="s">
        <v>26</v>
      </c>
      <c r="J1160" s="2" t="s">
        <v>21</v>
      </c>
      <c r="K1160">
        <f>VLOOKUP(E1160,Products!$A$2:$E$23,5,0)</f>
        <v>220</v>
      </c>
      <c r="L1160">
        <f>VLOOKUP(E1160,Products!$A$2:$E$23,4,0)</f>
        <v>120</v>
      </c>
      <c r="M1160" s="2">
        <f>K1160*F1160-Table1[[#This Row],[discount_amount]]</f>
        <v>1100</v>
      </c>
      <c r="N1160">
        <f t="shared" si="37"/>
        <v>600</v>
      </c>
      <c r="O1160">
        <f t="shared" si="36"/>
        <v>500</v>
      </c>
      <c r="P1160">
        <f>Table1[[#This Row],[Quantity]]*Table1[[#This Row],[unit_price]]*Table1[[#This Row],[Discount]]</f>
        <v>0</v>
      </c>
      <c r="Q1160" t="str">
        <f>VLOOKUP(E1160,Products!$A$2:$E$23,2,0)</f>
        <v>Stapler</v>
      </c>
      <c r="R1160" t="str">
        <f>VLOOKUP(Table1[[#This Row],[Product ID]],Products!$A$2:$E$23,3,0)</f>
        <v>Office Supplies</v>
      </c>
      <c r="S1160" t="str">
        <f>VLOOKUP(C1160,Customers!$A$2:$F$201,4,0)</f>
        <v>Gujarat</v>
      </c>
      <c r="T1160" t="str">
        <f>VLOOKUP(Table1[[#This Row],[Customer ID]],Customers!$A$2:$F$201,5,0)</f>
        <v>West</v>
      </c>
      <c r="U1160" t="str">
        <f>VLOOKUP(Table1[[#This Row],[Customer ID]],Customers!$A$2:$F$201,6,0)</f>
        <v>Home Office</v>
      </c>
      <c r="V1160" t="str">
        <f>TEXT(Table1[[#This Row],[Order Date]],"MMM")</f>
        <v>Dec</v>
      </c>
      <c r="W1160" t="str">
        <f>TEXT(Table1[[#This Row],[Order Date]],"yyyy")</f>
        <v>2025</v>
      </c>
    </row>
    <row r="1161" spans="1:23" x14ac:dyDescent="0.25">
      <c r="A1161" s="2" t="s">
        <v>1407</v>
      </c>
      <c r="B1161" s="4">
        <v>45994</v>
      </c>
      <c r="C1161" s="2" t="s">
        <v>70</v>
      </c>
      <c r="D1161" s="2" t="str">
        <f>TEXT(Table1[[#This Row],[Order Date]],"mmmm")</f>
        <v>December</v>
      </c>
      <c r="E1161" s="2" t="s">
        <v>37</v>
      </c>
      <c r="F1161" s="2">
        <v>10</v>
      </c>
      <c r="G1161" s="5">
        <v>0.2</v>
      </c>
      <c r="H1161" s="2" t="s">
        <v>30</v>
      </c>
      <c r="I1161" s="2" t="s">
        <v>20</v>
      </c>
      <c r="J1161" s="2" t="s">
        <v>21</v>
      </c>
      <c r="K1161">
        <f>VLOOKUP(E1161,Products!$A$2:$E$23,5,0)</f>
        <v>1799</v>
      </c>
      <c r="L1161">
        <f>VLOOKUP(E1161,Products!$A$2:$E$23,4,0)</f>
        <v>900</v>
      </c>
      <c r="M1161" s="2">
        <f>K1161*F1161-Table1[[#This Row],[discount_amount]]</f>
        <v>14392</v>
      </c>
      <c r="N1161">
        <f t="shared" si="37"/>
        <v>9000</v>
      </c>
      <c r="O1161">
        <f t="shared" si="36"/>
        <v>5392</v>
      </c>
      <c r="P1161">
        <f>Table1[[#This Row],[Quantity]]*Table1[[#This Row],[unit_price]]*Table1[[#This Row],[Discount]]</f>
        <v>3598</v>
      </c>
      <c r="Q1161" t="str">
        <f>VLOOKUP(E1161,Products!$A$2:$E$23,2,0)</f>
        <v>Denim Jeans</v>
      </c>
      <c r="R1161" t="str">
        <f>VLOOKUP(Table1[[#This Row],[Product ID]],Products!$A$2:$E$23,3,0)</f>
        <v>Clothing</v>
      </c>
      <c r="S1161" t="str">
        <f>VLOOKUP(C1161,Customers!$A$2:$F$201,4,0)</f>
        <v>Delhi</v>
      </c>
      <c r="T1161" t="str">
        <f>VLOOKUP(Table1[[#This Row],[Customer ID]],Customers!$A$2:$F$201,5,0)</f>
        <v>North</v>
      </c>
      <c r="U1161" t="str">
        <f>VLOOKUP(Table1[[#This Row],[Customer ID]],Customers!$A$2:$F$201,6,0)</f>
        <v>Home Office</v>
      </c>
      <c r="V1161" t="str">
        <f>TEXT(Table1[[#This Row],[Order Date]],"MMM")</f>
        <v>Dec</v>
      </c>
      <c r="W1161" t="str">
        <f>TEXT(Table1[[#This Row],[Order Date]],"yyyy")</f>
        <v>2025</v>
      </c>
    </row>
    <row r="1162" spans="1:23" x14ac:dyDescent="0.25">
      <c r="A1162" s="2" t="s">
        <v>1408</v>
      </c>
      <c r="B1162" s="4">
        <v>45995</v>
      </c>
      <c r="C1162" s="2" t="s">
        <v>199</v>
      </c>
      <c r="D1162" s="2" t="str">
        <f>TEXT(Table1[[#This Row],[Order Date]],"mmmm")</f>
        <v>December</v>
      </c>
      <c r="E1162" s="2" t="s">
        <v>57</v>
      </c>
      <c r="F1162" s="2">
        <v>6</v>
      </c>
      <c r="G1162" s="5">
        <v>0.1</v>
      </c>
      <c r="H1162" s="2" t="s">
        <v>30</v>
      </c>
      <c r="I1162" s="2" t="s">
        <v>38</v>
      </c>
      <c r="J1162" s="2" t="s">
        <v>21</v>
      </c>
      <c r="K1162">
        <f>VLOOKUP(E1162,Products!$A$2:$E$23,5,0)</f>
        <v>1599</v>
      </c>
      <c r="L1162">
        <f>VLOOKUP(E1162,Products!$A$2:$E$23,4,0)</f>
        <v>800</v>
      </c>
      <c r="M1162" s="2">
        <f>K1162*F1162-Table1[[#This Row],[discount_amount]]</f>
        <v>8634.6</v>
      </c>
      <c r="N1162">
        <f t="shared" si="37"/>
        <v>4800</v>
      </c>
      <c r="O1162">
        <f t="shared" si="36"/>
        <v>3834.6000000000004</v>
      </c>
      <c r="P1162">
        <f>Table1[[#This Row],[Quantity]]*Table1[[#This Row],[unit_price]]*Table1[[#This Row],[Discount]]</f>
        <v>959.40000000000009</v>
      </c>
      <c r="Q1162" t="str">
        <f>VLOOKUP(E1162,Products!$A$2:$E$23,2,0)</f>
        <v>Hoodie</v>
      </c>
      <c r="R1162" t="str">
        <f>VLOOKUP(Table1[[#This Row],[Product ID]],Products!$A$2:$E$23,3,0)</f>
        <v>Clothing</v>
      </c>
      <c r="S1162" t="str">
        <f>VLOOKUP(C1162,Customers!$A$2:$F$201,4,0)</f>
        <v>Gujarat</v>
      </c>
      <c r="T1162" t="str">
        <f>VLOOKUP(Table1[[#This Row],[Customer ID]],Customers!$A$2:$F$201,5,0)</f>
        <v>West</v>
      </c>
      <c r="U1162" t="str">
        <f>VLOOKUP(Table1[[#This Row],[Customer ID]],Customers!$A$2:$F$201,6,0)</f>
        <v>Corporate</v>
      </c>
      <c r="V1162" t="str">
        <f>TEXT(Table1[[#This Row],[Order Date]],"MMM")</f>
        <v>Dec</v>
      </c>
      <c r="W1162" t="str">
        <f>TEXT(Table1[[#This Row],[Order Date]],"yyyy")</f>
        <v>2025</v>
      </c>
    </row>
    <row r="1163" spans="1:23" x14ac:dyDescent="0.25">
      <c r="A1163" s="2" t="s">
        <v>1409</v>
      </c>
      <c r="B1163" s="4">
        <v>45995</v>
      </c>
      <c r="C1163" s="2" t="s">
        <v>17</v>
      </c>
      <c r="D1163" s="2" t="str">
        <f>TEXT(Table1[[#This Row],[Order Date]],"mmmm")</f>
        <v>December</v>
      </c>
      <c r="E1163" s="2" t="s">
        <v>29</v>
      </c>
      <c r="F1163" s="2">
        <v>12</v>
      </c>
      <c r="G1163" s="5">
        <v>0.1</v>
      </c>
      <c r="H1163" s="2" t="s">
        <v>30</v>
      </c>
      <c r="I1163" s="2" t="s">
        <v>31</v>
      </c>
      <c r="J1163" s="2" t="s">
        <v>21</v>
      </c>
      <c r="K1163">
        <f>VLOOKUP(E1163,Products!$A$2:$E$23,5,0)</f>
        <v>599</v>
      </c>
      <c r="L1163">
        <f>VLOOKUP(E1163,Products!$A$2:$E$23,4,0)</f>
        <v>350</v>
      </c>
      <c r="M1163" s="2">
        <f>K1163*F1163-Table1[[#This Row],[discount_amount]]</f>
        <v>6469.2</v>
      </c>
      <c r="N1163">
        <f t="shared" si="37"/>
        <v>4200</v>
      </c>
      <c r="O1163">
        <f t="shared" si="36"/>
        <v>2269.1999999999998</v>
      </c>
      <c r="P1163">
        <f>Table1[[#This Row],[Quantity]]*Table1[[#This Row],[unit_price]]*Table1[[#This Row],[Discount]]</f>
        <v>718.80000000000007</v>
      </c>
      <c r="Q1163" t="str">
        <f>VLOOKUP(E1163,Products!$A$2:$E$23,2,0)</f>
        <v>USB Flash Drive 64GB</v>
      </c>
      <c r="R1163" t="str">
        <f>VLOOKUP(Table1[[#This Row],[Product ID]],Products!$A$2:$E$23,3,0)</f>
        <v>Electronics</v>
      </c>
      <c r="S1163" t="str">
        <f>VLOOKUP(C1163,Customers!$A$2:$F$201,4,0)</f>
        <v>Madhya Pradesh</v>
      </c>
      <c r="T1163" t="str">
        <f>VLOOKUP(Table1[[#This Row],[Customer ID]],Customers!$A$2:$F$201,5,0)</f>
        <v>Central</v>
      </c>
      <c r="U1163" t="str">
        <f>VLOOKUP(Table1[[#This Row],[Customer ID]],Customers!$A$2:$F$201,6,0)</f>
        <v>Corporate</v>
      </c>
      <c r="V1163" t="str">
        <f>TEXT(Table1[[#This Row],[Order Date]],"MMM")</f>
        <v>Dec</v>
      </c>
      <c r="W1163" t="str">
        <f>TEXT(Table1[[#This Row],[Order Date]],"yyyy")</f>
        <v>2025</v>
      </c>
    </row>
    <row r="1164" spans="1:23" x14ac:dyDescent="0.25">
      <c r="A1164" s="2" t="s">
        <v>1410</v>
      </c>
      <c r="B1164" s="4">
        <v>45997</v>
      </c>
      <c r="C1164" s="2" t="s">
        <v>154</v>
      </c>
      <c r="D1164" s="2" t="str">
        <f>TEXT(Table1[[#This Row],[Order Date]],"mmmm")</f>
        <v>December</v>
      </c>
      <c r="E1164" s="2" t="s">
        <v>91</v>
      </c>
      <c r="F1164" s="2">
        <v>6</v>
      </c>
      <c r="G1164" s="5">
        <v>0.1</v>
      </c>
      <c r="H1164" s="2" t="s">
        <v>25</v>
      </c>
      <c r="I1164" s="2" t="s">
        <v>46</v>
      </c>
      <c r="J1164" s="2" t="s">
        <v>21</v>
      </c>
      <c r="K1164">
        <f>VLOOKUP(E1164,Products!$A$2:$E$23,5,0)</f>
        <v>1199</v>
      </c>
      <c r="L1164">
        <f>VLOOKUP(E1164,Products!$A$2:$E$23,4,0)</f>
        <v>600</v>
      </c>
      <c r="M1164" s="2">
        <f>K1164*F1164-Table1[[#This Row],[discount_amount]]</f>
        <v>6474.6</v>
      </c>
      <c r="N1164">
        <f t="shared" si="37"/>
        <v>3600</v>
      </c>
      <c r="O1164">
        <f t="shared" si="36"/>
        <v>2874.6000000000004</v>
      </c>
      <c r="P1164">
        <f>Table1[[#This Row],[Quantity]]*Table1[[#This Row],[unit_price]]*Table1[[#This Row],[Discount]]</f>
        <v>719.40000000000009</v>
      </c>
      <c r="Q1164" t="str">
        <f>VLOOKUP(E1164,Products!$A$2:$E$23,2,0)</f>
        <v>Formal Shirt</v>
      </c>
      <c r="R1164" t="str">
        <f>VLOOKUP(Table1[[#This Row],[Product ID]],Products!$A$2:$E$23,3,0)</f>
        <v>Clothing</v>
      </c>
      <c r="S1164" t="str">
        <f>VLOOKUP(C1164,Customers!$A$2:$F$201,4,0)</f>
        <v>Telangana</v>
      </c>
      <c r="T1164" t="str">
        <f>VLOOKUP(Table1[[#This Row],[Customer ID]],Customers!$A$2:$F$201,5,0)</f>
        <v>South</v>
      </c>
      <c r="U1164" t="str">
        <f>VLOOKUP(Table1[[#This Row],[Customer ID]],Customers!$A$2:$F$201,6,0)</f>
        <v>Consumer</v>
      </c>
      <c r="V1164" t="str">
        <f>TEXT(Table1[[#This Row],[Order Date]],"MMM")</f>
        <v>Dec</v>
      </c>
      <c r="W1164" t="str">
        <f>TEXT(Table1[[#This Row],[Order Date]],"yyyy")</f>
        <v>2025</v>
      </c>
    </row>
    <row r="1165" spans="1:23" x14ac:dyDescent="0.25">
      <c r="A1165" s="2" t="s">
        <v>1411</v>
      </c>
      <c r="B1165" s="4">
        <v>45997</v>
      </c>
      <c r="C1165" s="2" t="s">
        <v>148</v>
      </c>
      <c r="D1165" s="2" t="str">
        <f>TEXT(Table1[[#This Row],[Order Date]],"mmmm")</f>
        <v>December</v>
      </c>
      <c r="E1165" s="2" t="s">
        <v>118</v>
      </c>
      <c r="F1165" s="2">
        <v>5</v>
      </c>
      <c r="G1165" s="5">
        <v>0.05</v>
      </c>
      <c r="H1165" s="2" t="s">
        <v>30</v>
      </c>
      <c r="I1165" s="2" t="s">
        <v>31</v>
      </c>
      <c r="J1165" s="2" t="s">
        <v>21</v>
      </c>
      <c r="K1165">
        <f>VLOOKUP(E1165,Products!$A$2:$E$23,5,0)</f>
        <v>150</v>
      </c>
      <c r="L1165">
        <f>VLOOKUP(E1165,Products!$A$2:$E$23,4,0)</f>
        <v>90</v>
      </c>
      <c r="M1165" s="2">
        <f>K1165*F1165-Table1[[#This Row],[discount_amount]]</f>
        <v>712.5</v>
      </c>
      <c r="N1165">
        <f t="shared" si="37"/>
        <v>450</v>
      </c>
      <c r="O1165">
        <f t="shared" si="36"/>
        <v>262.5</v>
      </c>
      <c r="P1165">
        <f>Table1[[#This Row],[Quantity]]*Table1[[#This Row],[unit_price]]*Table1[[#This Row],[Discount]]</f>
        <v>37.5</v>
      </c>
      <c r="Q1165" t="str">
        <f>VLOOKUP(E1165,Products!$A$2:$E$23,2,0)</f>
        <v>Gel Pen Box</v>
      </c>
      <c r="R1165" t="str">
        <f>VLOOKUP(Table1[[#This Row],[Product ID]],Products!$A$2:$E$23,3,0)</f>
        <v>Office Supplies</v>
      </c>
      <c r="S1165" t="str">
        <f>VLOOKUP(C1165,Customers!$A$2:$F$201,4,0)</f>
        <v>Uttar Pradesh</v>
      </c>
      <c r="T1165" t="str">
        <f>VLOOKUP(Table1[[#This Row],[Customer ID]],Customers!$A$2:$F$201,5,0)</f>
        <v>North</v>
      </c>
      <c r="U1165" t="str">
        <f>VLOOKUP(Table1[[#This Row],[Customer ID]],Customers!$A$2:$F$201,6,0)</f>
        <v>Corporate</v>
      </c>
      <c r="V1165" t="str">
        <f>TEXT(Table1[[#This Row],[Order Date]],"MMM")</f>
        <v>Dec</v>
      </c>
      <c r="W1165" t="str">
        <f>TEXT(Table1[[#This Row],[Order Date]],"yyyy")</f>
        <v>2025</v>
      </c>
    </row>
    <row r="1166" spans="1:23" x14ac:dyDescent="0.25">
      <c r="A1166" s="2" t="s">
        <v>1412</v>
      </c>
      <c r="B1166" s="4">
        <v>45998</v>
      </c>
      <c r="C1166" s="2" t="s">
        <v>256</v>
      </c>
      <c r="D1166" s="2" t="str">
        <f>TEXT(Table1[[#This Row],[Order Date]],"mmmm")</f>
        <v>December</v>
      </c>
      <c r="E1166" s="2" t="s">
        <v>82</v>
      </c>
      <c r="F1166" s="2">
        <v>1</v>
      </c>
      <c r="G1166" s="5">
        <v>0.05</v>
      </c>
      <c r="H1166" s="2" t="s">
        <v>25</v>
      </c>
      <c r="I1166" s="2" t="s">
        <v>20</v>
      </c>
      <c r="J1166" s="2" t="s">
        <v>21</v>
      </c>
      <c r="K1166">
        <f>VLOOKUP(E1166,Products!$A$2:$E$23,5,0)</f>
        <v>1799</v>
      </c>
      <c r="L1166">
        <f>VLOOKUP(E1166,Products!$A$2:$E$23,4,0)</f>
        <v>1100</v>
      </c>
      <c r="M1166" s="2">
        <f>K1166*F1166-Table1[[#This Row],[discount_amount]]</f>
        <v>1709.05</v>
      </c>
      <c r="N1166">
        <f t="shared" si="37"/>
        <v>1100</v>
      </c>
      <c r="O1166">
        <f t="shared" si="36"/>
        <v>609.04999999999995</v>
      </c>
      <c r="P1166">
        <f>Table1[[#This Row],[Quantity]]*Table1[[#This Row],[unit_price]]*Table1[[#This Row],[Discount]]</f>
        <v>89.95</v>
      </c>
      <c r="Q1166" t="str">
        <f>VLOOKUP(E1166,Products!$A$2:$E$23,2,0)</f>
        <v>Webcam HD</v>
      </c>
      <c r="R1166" t="str">
        <f>VLOOKUP(Table1[[#This Row],[Product ID]],Products!$A$2:$E$23,3,0)</f>
        <v>Electronics</v>
      </c>
      <c r="S1166" t="str">
        <f>VLOOKUP(C1166,Customers!$A$2:$F$201,4,0)</f>
        <v>Gujarat</v>
      </c>
      <c r="T1166" t="str">
        <f>VLOOKUP(Table1[[#This Row],[Customer ID]],Customers!$A$2:$F$201,5,0)</f>
        <v>West</v>
      </c>
      <c r="U1166" t="str">
        <f>VLOOKUP(Table1[[#This Row],[Customer ID]],Customers!$A$2:$F$201,6,0)</f>
        <v>Consumer</v>
      </c>
      <c r="V1166" t="str">
        <f>TEXT(Table1[[#This Row],[Order Date]],"MMM")</f>
        <v>Dec</v>
      </c>
      <c r="W1166" t="str">
        <f>TEXT(Table1[[#This Row],[Order Date]],"yyyy")</f>
        <v>2025</v>
      </c>
    </row>
    <row r="1167" spans="1:23" x14ac:dyDescent="0.25">
      <c r="A1167" s="2" t="s">
        <v>1413</v>
      </c>
      <c r="B1167" s="4">
        <v>45998</v>
      </c>
      <c r="C1167" s="2" t="s">
        <v>86</v>
      </c>
      <c r="D1167" s="2" t="str">
        <f>TEXT(Table1[[#This Row],[Order Date]],"mmmm")</f>
        <v>December</v>
      </c>
      <c r="E1167" s="2" t="s">
        <v>29</v>
      </c>
      <c r="F1167" s="2">
        <v>20</v>
      </c>
      <c r="G1167" s="5">
        <v>0.1</v>
      </c>
      <c r="H1167" s="2" t="s">
        <v>30</v>
      </c>
      <c r="I1167" s="2" t="s">
        <v>38</v>
      </c>
      <c r="J1167" s="2" t="s">
        <v>21</v>
      </c>
      <c r="K1167">
        <f>VLOOKUP(E1167,Products!$A$2:$E$23,5,0)</f>
        <v>599</v>
      </c>
      <c r="L1167">
        <f>VLOOKUP(E1167,Products!$A$2:$E$23,4,0)</f>
        <v>350</v>
      </c>
      <c r="M1167" s="2">
        <f>K1167*F1167-Table1[[#This Row],[discount_amount]]</f>
        <v>10782</v>
      </c>
      <c r="N1167">
        <f t="shared" si="37"/>
        <v>7000</v>
      </c>
      <c r="O1167">
        <f t="shared" si="36"/>
        <v>3782</v>
      </c>
      <c r="P1167">
        <f>Table1[[#This Row],[Quantity]]*Table1[[#This Row],[unit_price]]*Table1[[#This Row],[Discount]]</f>
        <v>1198</v>
      </c>
      <c r="Q1167" t="str">
        <f>VLOOKUP(E1167,Products!$A$2:$E$23,2,0)</f>
        <v>USB Flash Drive 64GB</v>
      </c>
      <c r="R1167" t="str">
        <f>VLOOKUP(Table1[[#This Row],[Product ID]],Products!$A$2:$E$23,3,0)</f>
        <v>Electronics</v>
      </c>
      <c r="S1167" t="str">
        <f>VLOOKUP(C1167,Customers!$A$2:$F$201,4,0)</f>
        <v>Delhi</v>
      </c>
      <c r="T1167" t="str">
        <f>VLOOKUP(Table1[[#This Row],[Customer ID]],Customers!$A$2:$F$201,5,0)</f>
        <v>North</v>
      </c>
      <c r="U1167" t="str">
        <f>VLOOKUP(Table1[[#This Row],[Customer ID]],Customers!$A$2:$F$201,6,0)</f>
        <v>Consumer</v>
      </c>
      <c r="V1167" t="str">
        <f>TEXT(Table1[[#This Row],[Order Date]],"MMM")</f>
        <v>Dec</v>
      </c>
      <c r="W1167" t="str">
        <f>TEXT(Table1[[#This Row],[Order Date]],"yyyy")</f>
        <v>2025</v>
      </c>
    </row>
    <row r="1168" spans="1:23" x14ac:dyDescent="0.25">
      <c r="A1168" s="2" t="s">
        <v>1414</v>
      </c>
      <c r="B1168" s="4">
        <v>45998</v>
      </c>
      <c r="C1168" s="2" t="s">
        <v>214</v>
      </c>
      <c r="D1168" s="2" t="str">
        <f>TEXT(Table1[[#This Row],[Order Date]],"mmmm")</f>
        <v>December</v>
      </c>
      <c r="E1168" s="2" t="s">
        <v>82</v>
      </c>
      <c r="F1168" s="2">
        <v>2</v>
      </c>
      <c r="G1168" s="5">
        <v>0.05</v>
      </c>
      <c r="H1168" s="2" t="s">
        <v>30</v>
      </c>
      <c r="I1168" s="2" t="s">
        <v>38</v>
      </c>
      <c r="J1168" s="2" t="s">
        <v>21</v>
      </c>
      <c r="K1168">
        <f>VLOOKUP(E1168,Products!$A$2:$E$23,5,0)</f>
        <v>1799</v>
      </c>
      <c r="L1168">
        <f>VLOOKUP(E1168,Products!$A$2:$E$23,4,0)</f>
        <v>1100</v>
      </c>
      <c r="M1168" s="2">
        <f>K1168*F1168-Table1[[#This Row],[discount_amount]]</f>
        <v>3418.1</v>
      </c>
      <c r="N1168">
        <f t="shared" si="37"/>
        <v>2200</v>
      </c>
      <c r="O1168">
        <f t="shared" si="36"/>
        <v>1218.0999999999999</v>
      </c>
      <c r="P1168">
        <f>Table1[[#This Row],[Quantity]]*Table1[[#This Row],[unit_price]]*Table1[[#This Row],[Discount]]</f>
        <v>179.9</v>
      </c>
      <c r="Q1168" t="str">
        <f>VLOOKUP(E1168,Products!$A$2:$E$23,2,0)</f>
        <v>Webcam HD</v>
      </c>
      <c r="R1168" t="str">
        <f>VLOOKUP(Table1[[#This Row],[Product ID]],Products!$A$2:$E$23,3,0)</f>
        <v>Electronics</v>
      </c>
      <c r="S1168" t="str">
        <f>VLOOKUP(C1168,Customers!$A$2:$F$201,4,0)</f>
        <v>Maharashtra</v>
      </c>
      <c r="T1168" t="str">
        <f>VLOOKUP(Table1[[#This Row],[Customer ID]],Customers!$A$2:$F$201,5,0)</f>
        <v>Central</v>
      </c>
      <c r="U1168" t="str">
        <f>VLOOKUP(Table1[[#This Row],[Customer ID]],Customers!$A$2:$F$201,6,0)</f>
        <v>Consumer</v>
      </c>
      <c r="V1168" t="str">
        <f>TEXT(Table1[[#This Row],[Order Date]],"MMM")</f>
        <v>Dec</v>
      </c>
      <c r="W1168" t="str">
        <f>TEXT(Table1[[#This Row],[Order Date]],"yyyy")</f>
        <v>2025</v>
      </c>
    </row>
    <row r="1169" spans="1:23" x14ac:dyDescent="0.25">
      <c r="A1169" s="2" t="s">
        <v>1415</v>
      </c>
      <c r="B1169" s="4">
        <v>46001</v>
      </c>
      <c r="C1169" s="2" t="s">
        <v>443</v>
      </c>
      <c r="D1169" s="2" t="str">
        <f>TEXT(Table1[[#This Row],[Order Date]],"mmmm")</f>
        <v>December</v>
      </c>
      <c r="E1169" s="2" t="s">
        <v>66</v>
      </c>
      <c r="F1169" s="2">
        <v>4</v>
      </c>
      <c r="G1169" s="5">
        <v>0</v>
      </c>
      <c r="H1169" s="2" t="s">
        <v>30</v>
      </c>
      <c r="I1169" s="2" t="s">
        <v>38</v>
      </c>
      <c r="J1169" s="2" t="s">
        <v>21</v>
      </c>
      <c r="K1169">
        <f>VLOOKUP(E1169,Products!$A$2:$E$23,5,0)</f>
        <v>1299</v>
      </c>
      <c r="L1169">
        <f>VLOOKUP(E1169,Products!$A$2:$E$23,4,0)</f>
        <v>800</v>
      </c>
      <c r="M1169" s="2">
        <f>K1169*F1169-Table1[[#This Row],[discount_amount]]</f>
        <v>5196</v>
      </c>
      <c r="N1169">
        <f t="shared" si="37"/>
        <v>3200</v>
      </c>
      <c r="O1169">
        <f t="shared" si="36"/>
        <v>1996</v>
      </c>
      <c r="P1169">
        <f>Table1[[#This Row],[Quantity]]*Table1[[#This Row],[unit_price]]*Table1[[#This Row],[Discount]]</f>
        <v>0</v>
      </c>
      <c r="Q1169" t="str">
        <f>VLOOKUP(E1169,Products!$A$2:$E$23,2,0)</f>
        <v>Power Bank 10000mAh</v>
      </c>
      <c r="R1169" t="str">
        <f>VLOOKUP(Table1[[#This Row],[Product ID]],Products!$A$2:$E$23,3,0)</f>
        <v>Electronics</v>
      </c>
      <c r="S1169" t="str">
        <f>VLOOKUP(C1169,Customers!$A$2:$F$201,4,0)</f>
        <v>Kerala</v>
      </c>
      <c r="T1169" t="str">
        <f>VLOOKUP(Table1[[#This Row],[Customer ID]],Customers!$A$2:$F$201,5,0)</f>
        <v>South</v>
      </c>
      <c r="U1169" t="str">
        <f>VLOOKUP(Table1[[#This Row],[Customer ID]],Customers!$A$2:$F$201,6,0)</f>
        <v>Consumer</v>
      </c>
      <c r="V1169" t="str">
        <f>TEXT(Table1[[#This Row],[Order Date]],"MMM")</f>
        <v>Dec</v>
      </c>
      <c r="W1169" t="str">
        <f>TEXT(Table1[[#This Row],[Order Date]],"yyyy")</f>
        <v>2025</v>
      </c>
    </row>
    <row r="1170" spans="1:23" x14ac:dyDescent="0.25">
      <c r="A1170" s="2" t="s">
        <v>1416</v>
      </c>
      <c r="B1170" s="4">
        <v>46001</v>
      </c>
      <c r="C1170" s="2" t="s">
        <v>297</v>
      </c>
      <c r="D1170" s="2" t="str">
        <f>TEXT(Table1[[#This Row],[Order Date]],"mmmm")</f>
        <v>December</v>
      </c>
      <c r="E1170" s="2" t="s">
        <v>155</v>
      </c>
      <c r="F1170" s="2">
        <v>3</v>
      </c>
      <c r="G1170" s="5">
        <v>0.2</v>
      </c>
      <c r="H1170" s="2" t="s">
        <v>25</v>
      </c>
      <c r="I1170" s="2" t="s">
        <v>38</v>
      </c>
      <c r="J1170" s="2" t="s">
        <v>21</v>
      </c>
      <c r="K1170">
        <f>VLOOKUP(E1170,Products!$A$2:$E$23,5,0)</f>
        <v>1599</v>
      </c>
      <c r="L1170">
        <f>VLOOKUP(E1170,Products!$A$2:$E$23,4,0)</f>
        <v>900</v>
      </c>
      <c r="M1170" s="2">
        <f>K1170*F1170-Table1[[#This Row],[discount_amount]]</f>
        <v>3837.6</v>
      </c>
      <c r="N1170">
        <f t="shared" si="37"/>
        <v>2700</v>
      </c>
      <c r="O1170">
        <f t="shared" si="36"/>
        <v>1137.5999999999999</v>
      </c>
      <c r="P1170">
        <f>Table1[[#This Row],[Quantity]]*Table1[[#This Row],[unit_price]]*Table1[[#This Row],[Discount]]</f>
        <v>959.40000000000009</v>
      </c>
      <c r="Q1170" t="str">
        <f>VLOOKUP(E1170,Products!$A$2:$E$23,2,0)</f>
        <v>Headphones</v>
      </c>
      <c r="R1170" t="str">
        <f>VLOOKUP(Table1[[#This Row],[Product ID]],Products!$A$2:$E$23,3,0)</f>
        <v>Electronics</v>
      </c>
      <c r="S1170" t="str">
        <f>VLOOKUP(C1170,Customers!$A$2:$F$201,4,0)</f>
        <v>Maharashtra</v>
      </c>
      <c r="T1170" t="str">
        <f>VLOOKUP(Table1[[#This Row],[Customer ID]],Customers!$A$2:$F$201,5,0)</f>
        <v>West</v>
      </c>
      <c r="U1170" t="str">
        <f>VLOOKUP(Table1[[#This Row],[Customer ID]],Customers!$A$2:$F$201,6,0)</f>
        <v>Consumer</v>
      </c>
      <c r="V1170" t="str">
        <f>TEXT(Table1[[#This Row],[Order Date]],"MMM")</f>
        <v>Dec</v>
      </c>
      <c r="W1170" t="str">
        <f>TEXT(Table1[[#This Row],[Order Date]],"yyyy")</f>
        <v>2025</v>
      </c>
    </row>
    <row r="1171" spans="1:23" x14ac:dyDescent="0.25">
      <c r="A1171" s="2" t="s">
        <v>1417</v>
      </c>
      <c r="B1171" s="4">
        <v>46002</v>
      </c>
      <c r="C1171" s="2" t="s">
        <v>171</v>
      </c>
      <c r="D1171" s="2" t="str">
        <f>TEXT(Table1[[#This Row],[Order Date]],"mmmm")</f>
        <v>December</v>
      </c>
      <c r="E1171" s="2" t="s">
        <v>73</v>
      </c>
      <c r="F1171" s="2">
        <v>2</v>
      </c>
      <c r="G1171" s="5">
        <v>0.15</v>
      </c>
      <c r="H1171" s="2" t="s">
        <v>25</v>
      </c>
      <c r="I1171" s="2" t="s">
        <v>20</v>
      </c>
      <c r="J1171" s="2" t="s">
        <v>21</v>
      </c>
      <c r="K1171">
        <f>VLOOKUP(E1171,Products!$A$2:$E$23,5,0)</f>
        <v>6499</v>
      </c>
      <c r="L1171">
        <f>VLOOKUP(E1171,Products!$A$2:$E$23,4,0)</f>
        <v>4200</v>
      </c>
      <c r="M1171" s="2">
        <f>K1171*F1171-Table1[[#This Row],[discount_amount]]</f>
        <v>11048.3</v>
      </c>
      <c r="N1171">
        <f t="shared" si="37"/>
        <v>8400</v>
      </c>
      <c r="O1171">
        <f t="shared" si="36"/>
        <v>2648.2999999999993</v>
      </c>
      <c r="P1171">
        <f>Table1[[#This Row],[Quantity]]*Table1[[#This Row],[unit_price]]*Table1[[#This Row],[Discount]]</f>
        <v>1949.6999999999998</v>
      </c>
      <c r="Q1171" t="str">
        <f>VLOOKUP(E1171,Products!$A$2:$E$23,2,0)</f>
        <v>Study Table</v>
      </c>
      <c r="R1171" t="str">
        <f>VLOOKUP(Table1[[#This Row],[Product ID]],Products!$A$2:$E$23,3,0)</f>
        <v>Furniture</v>
      </c>
      <c r="S1171" t="str">
        <f>VLOOKUP(C1171,Customers!$A$2:$F$201,4,0)</f>
        <v>Delhi</v>
      </c>
      <c r="T1171" t="str">
        <f>VLOOKUP(Table1[[#This Row],[Customer ID]],Customers!$A$2:$F$201,5,0)</f>
        <v>North</v>
      </c>
      <c r="U1171" t="str">
        <f>VLOOKUP(Table1[[#This Row],[Customer ID]],Customers!$A$2:$F$201,6,0)</f>
        <v>Consumer</v>
      </c>
      <c r="V1171" t="str">
        <f>TEXT(Table1[[#This Row],[Order Date]],"MMM")</f>
        <v>Dec</v>
      </c>
      <c r="W1171" t="str">
        <f>TEXT(Table1[[#This Row],[Order Date]],"yyyy")</f>
        <v>2025</v>
      </c>
    </row>
    <row r="1172" spans="1:23" x14ac:dyDescent="0.25">
      <c r="A1172" s="2" t="s">
        <v>1418</v>
      </c>
      <c r="B1172" s="4">
        <v>46002</v>
      </c>
      <c r="C1172" s="2" t="s">
        <v>443</v>
      </c>
      <c r="D1172" s="2" t="str">
        <f>TEXT(Table1[[#This Row],[Order Date]],"mmmm")</f>
        <v>December</v>
      </c>
      <c r="E1172" s="2" t="s">
        <v>66</v>
      </c>
      <c r="F1172" s="2">
        <v>12</v>
      </c>
      <c r="G1172" s="5">
        <v>0</v>
      </c>
      <c r="H1172" s="2" t="s">
        <v>19</v>
      </c>
      <c r="I1172" s="2" t="s">
        <v>31</v>
      </c>
      <c r="J1172" s="2" t="s">
        <v>79</v>
      </c>
      <c r="K1172">
        <f>VLOOKUP(E1172,Products!$A$2:$E$23,5,0)</f>
        <v>1299</v>
      </c>
      <c r="L1172">
        <f>VLOOKUP(E1172,Products!$A$2:$E$23,4,0)</f>
        <v>800</v>
      </c>
      <c r="M1172" s="2">
        <f>K1172*F1172-Table1[[#This Row],[discount_amount]]</f>
        <v>15588</v>
      </c>
      <c r="N1172">
        <f t="shared" si="37"/>
        <v>9600</v>
      </c>
      <c r="O1172">
        <f t="shared" si="36"/>
        <v>5988</v>
      </c>
      <c r="P1172">
        <f>Table1[[#This Row],[Quantity]]*Table1[[#This Row],[unit_price]]*Table1[[#This Row],[Discount]]</f>
        <v>0</v>
      </c>
      <c r="Q1172" t="str">
        <f>VLOOKUP(E1172,Products!$A$2:$E$23,2,0)</f>
        <v>Power Bank 10000mAh</v>
      </c>
      <c r="R1172" t="str">
        <f>VLOOKUP(Table1[[#This Row],[Product ID]],Products!$A$2:$E$23,3,0)</f>
        <v>Electronics</v>
      </c>
      <c r="S1172" t="str">
        <f>VLOOKUP(C1172,Customers!$A$2:$F$201,4,0)</f>
        <v>Kerala</v>
      </c>
      <c r="T1172" t="str">
        <f>VLOOKUP(Table1[[#This Row],[Customer ID]],Customers!$A$2:$F$201,5,0)</f>
        <v>South</v>
      </c>
      <c r="U1172" t="str">
        <f>VLOOKUP(Table1[[#This Row],[Customer ID]],Customers!$A$2:$F$201,6,0)</f>
        <v>Consumer</v>
      </c>
      <c r="V1172" t="str">
        <f>TEXT(Table1[[#This Row],[Order Date]],"MMM")</f>
        <v>Dec</v>
      </c>
      <c r="W1172" t="str">
        <f>TEXT(Table1[[#This Row],[Order Date]],"yyyy")</f>
        <v>2025</v>
      </c>
    </row>
    <row r="1173" spans="1:23" x14ac:dyDescent="0.25">
      <c r="A1173" s="2" t="s">
        <v>1419</v>
      </c>
      <c r="B1173" s="4">
        <v>46002</v>
      </c>
      <c r="C1173" s="2" t="s">
        <v>598</v>
      </c>
      <c r="D1173" s="2" t="str">
        <f>TEXT(Table1[[#This Row],[Order Date]],"mmmm")</f>
        <v>December</v>
      </c>
      <c r="E1173" s="2" t="s">
        <v>121</v>
      </c>
      <c r="F1173" s="2">
        <v>4</v>
      </c>
      <c r="G1173" s="5">
        <v>0</v>
      </c>
      <c r="H1173" s="2" t="s">
        <v>30</v>
      </c>
      <c r="I1173" s="2" t="s">
        <v>38</v>
      </c>
      <c r="J1173" s="2" t="s">
        <v>21</v>
      </c>
      <c r="K1173">
        <f>VLOOKUP(E1173,Products!$A$2:$E$23,5,0)</f>
        <v>499</v>
      </c>
      <c r="L1173">
        <f>VLOOKUP(E1173,Products!$A$2:$E$23,4,0)</f>
        <v>250</v>
      </c>
      <c r="M1173" s="2">
        <f>K1173*F1173-Table1[[#This Row],[discount_amount]]</f>
        <v>1996</v>
      </c>
      <c r="N1173">
        <f t="shared" si="37"/>
        <v>1000</v>
      </c>
      <c r="O1173">
        <f t="shared" si="36"/>
        <v>996</v>
      </c>
      <c r="P1173">
        <f>Table1[[#This Row],[Quantity]]*Table1[[#This Row],[unit_price]]*Table1[[#This Row],[Discount]]</f>
        <v>0</v>
      </c>
      <c r="Q1173" t="str">
        <f>VLOOKUP(E1173,Products!$A$2:$E$23,2,0)</f>
        <v>Cotton T-Shirt</v>
      </c>
      <c r="R1173" t="str">
        <f>VLOOKUP(Table1[[#This Row],[Product ID]],Products!$A$2:$E$23,3,0)</f>
        <v>Clothing</v>
      </c>
      <c r="S1173" t="str">
        <f>VLOOKUP(C1173,Customers!$A$2:$F$201,4,0)</f>
        <v>Odisha</v>
      </c>
      <c r="T1173" t="str">
        <f>VLOOKUP(Table1[[#This Row],[Customer ID]],Customers!$A$2:$F$201,5,0)</f>
        <v>East</v>
      </c>
      <c r="U1173" t="str">
        <f>VLOOKUP(Table1[[#This Row],[Customer ID]],Customers!$A$2:$F$201,6,0)</f>
        <v>Corporate</v>
      </c>
      <c r="V1173" t="str">
        <f>TEXT(Table1[[#This Row],[Order Date]],"MMM")</f>
        <v>Dec</v>
      </c>
      <c r="W1173" t="str">
        <f>TEXT(Table1[[#This Row],[Order Date]],"yyyy")</f>
        <v>2025</v>
      </c>
    </row>
    <row r="1174" spans="1:23" x14ac:dyDescent="0.25">
      <c r="A1174" s="2" t="s">
        <v>1420</v>
      </c>
      <c r="B1174" s="4">
        <v>46004</v>
      </c>
      <c r="C1174" s="2" t="s">
        <v>48</v>
      </c>
      <c r="D1174" s="2" t="str">
        <f>TEXT(Table1[[#This Row],[Order Date]],"mmmm")</f>
        <v>December</v>
      </c>
      <c r="E1174" s="2" t="s">
        <v>63</v>
      </c>
      <c r="F1174" s="2">
        <v>3</v>
      </c>
      <c r="G1174" s="5">
        <v>0.2</v>
      </c>
      <c r="H1174" s="2" t="s">
        <v>30</v>
      </c>
      <c r="I1174" s="2" t="s">
        <v>31</v>
      </c>
      <c r="J1174" s="2" t="s">
        <v>21</v>
      </c>
      <c r="K1174">
        <f>VLOOKUP(E1174,Products!$A$2:$E$23,5,0)</f>
        <v>5499</v>
      </c>
      <c r="L1174">
        <f>VLOOKUP(E1174,Products!$A$2:$E$23,4,0)</f>
        <v>3500</v>
      </c>
      <c r="M1174" s="2">
        <f>K1174*F1174-Table1[[#This Row],[discount_amount]]</f>
        <v>13197.6</v>
      </c>
      <c r="N1174">
        <f t="shared" si="37"/>
        <v>10500</v>
      </c>
      <c r="O1174">
        <f t="shared" si="36"/>
        <v>2697.6000000000004</v>
      </c>
      <c r="P1174">
        <f>Table1[[#This Row],[Quantity]]*Table1[[#This Row],[unit_price]]*Table1[[#This Row],[Discount]]</f>
        <v>3299.4</v>
      </c>
      <c r="Q1174" t="str">
        <f>VLOOKUP(E1174,Products!$A$2:$E$23,2,0)</f>
        <v>Office Chair</v>
      </c>
      <c r="R1174" t="str">
        <f>VLOOKUP(Table1[[#This Row],[Product ID]],Products!$A$2:$E$23,3,0)</f>
        <v>Furniture</v>
      </c>
      <c r="S1174" t="str">
        <f>VLOOKUP(C1174,Customers!$A$2:$F$201,4,0)</f>
        <v>Maharashtra</v>
      </c>
      <c r="T1174" t="str">
        <f>VLOOKUP(Table1[[#This Row],[Customer ID]],Customers!$A$2:$F$201,5,0)</f>
        <v>West</v>
      </c>
      <c r="U1174" t="str">
        <f>VLOOKUP(Table1[[#This Row],[Customer ID]],Customers!$A$2:$F$201,6,0)</f>
        <v>Home Office</v>
      </c>
      <c r="V1174" t="str">
        <f>TEXT(Table1[[#This Row],[Order Date]],"MMM")</f>
        <v>Dec</v>
      </c>
      <c r="W1174" t="str">
        <f>TEXT(Table1[[#This Row],[Order Date]],"yyyy")</f>
        <v>2025</v>
      </c>
    </row>
    <row r="1175" spans="1:23" x14ac:dyDescent="0.25">
      <c r="A1175" s="2" t="s">
        <v>1421</v>
      </c>
      <c r="B1175" s="4">
        <v>46004</v>
      </c>
      <c r="C1175" s="2" t="s">
        <v>56</v>
      </c>
      <c r="D1175" s="2" t="str">
        <f>TEXT(Table1[[#This Row],[Order Date]],"mmmm")</f>
        <v>December</v>
      </c>
      <c r="E1175" s="2" t="s">
        <v>41</v>
      </c>
      <c r="F1175" s="2">
        <v>4</v>
      </c>
      <c r="G1175" s="5">
        <v>0.05</v>
      </c>
      <c r="H1175" s="2" t="s">
        <v>19</v>
      </c>
      <c r="I1175" s="2" t="s">
        <v>26</v>
      </c>
      <c r="J1175" s="2" t="s">
        <v>21</v>
      </c>
      <c r="K1175">
        <f>VLOOKUP(E1175,Products!$A$2:$E$23,5,0)</f>
        <v>320</v>
      </c>
      <c r="L1175">
        <f>VLOOKUP(E1175,Products!$A$2:$E$23,4,0)</f>
        <v>220</v>
      </c>
      <c r="M1175" s="2">
        <f>K1175*F1175-Table1[[#This Row],[discount_amount]]</f>
        <v>1216</v>
      </c>
      <c r="N1175">
        <f t="shared" si="37"/>
        <v>880</v>
      </c>
      <c r="O1175">
        <f t="shared" si="36"/>
        <v>336</v>
      </c>
      <c r="P1175">
        <f>Table1[[#This Row],[Quantity]]*Table1[[#This Row],[unit_price]]*Table1[[#This Row],[Discount]]</f>
        <v>64</v>
      </c>
      <c r="Q1175" t="str">
        <f>VLOOKUP(E1175,Products!$A$2:$E$23,2,0)</f>
        <v>A4 Paper Ream</v>
      </c>
      <c r="R1175" t="str">
        <f>VLOOKUP(Table1[[#This Row],[Product ID]],Products!$A$2:$E$23,3,0)</f>
        <v>Office Supplies</v>
      </c>
      <c r="S1175" t="str">
        <f>VLOOKUP(C1175,Customers!$A$2:$F$201,4,0)</f>
        <v>Maharashtra</v>
      </c>
      <c r="T1175" t="str">
        <f>VLOOKUP(Table1[[#This Row],[Customer ID]],Customers!$A$2:$F$201,5,0)</f>
        <v>West</v>
      </c>
      <c r="U1175" t="str">
        <f>VLOOKUP(Table1[[#This Row],[Customer ID]],Customers!$A$2:$F$201,6,0)</f>
        <v>Consumer</v>
      </c>
      <c r="V1175" t="str">
        <f>TEXT(Table1[[#This Row],[Order Date]],"MMM")</f>
        <v>Dec</v>
      </c>
      <c r="W1175" t="str">
        <f>TEXT(Table1[[#This Row],[Order Date]],"yyyy")</f>
        <v>2025</v>
      </c>
    </row>
    <row r="1176" spans="1:23" x14ac:dyDescent="0.25">
      <c r="A1176" s="2" t="s">
        <v>1422</v>
      </c>
      <c r="B1176" s="4">
        <v>46005</v>
      </c>
      <c r="C1176" s="2" t="s">
        <v>713</v>
      </c>
      <c r="D1176" s="2" t="str">
        <f>TEXT(Table1[[#This Row],[Order Date]],"mmmm")</f>
        <v>December</v>
      </c>
      <c r="E1176" s="2" t="s">
        <v>118</v>
      </c>
      <c r="F1176" s="2">
        <v>2</v>
      </c>
      <c r="G1176" s="5">
        <v>0.05</v>
      </c>
      <c r="H1176" s="2" t="s">
        <v>25</v>
      </c>
      <c r="I1176" s="2" t="s">
        <v>20</v>
      </c>
      <c r="J1176" s="2" t="s">
        <v>94</v>
      </c>
      <c r="K1176">
        <f>VLOOKUP(E1176,Products!$A$2:$E$23,5,0)</f>
        <v>150</v>
      </c>
      <c r="L1176">
        <f>VLOOKUP(E1176,Products!$A$2:$E$23,4,0)</f>
        <v>90</v>
      </c>
      <c r="M1176" s="2">
        <f>K1176*F1176-Table1[[#This Row],[discount_amount]]</f>
        <v>285</v>
      </c>
      <c r="N1176">
        <f t="shared" si="37"/>
        <v>180</v>
      </c>
      <c r="O1176">
        <f t="shared" si="36"/>
        <v>105</v>
      </c>
      <c r="P1176">
        <f>Table1[[#This Row],[Quantity]]*Table1[[#This Row],[unit_price]]*Table1[[#This Row],[Discount]]</f>
        <v>15</v>
      </c>
      <c r="Q1176" t="str">
        <f>VLOOKUP(E1176,Products!$A$2:$E$23,2,0)</f>
        <v>Gel Pen Box</v>
      </c>
      <c r="R1176" t="str">
        <f>VLOOKUP(Table1[[#This Row],[Product ID]],Products!$A$2:$E$23,3,0)</f>
        <v>Office Supplies</v>
      </c>
      <c r="S1176" t="str">
        <f>VLOOKUP(C1176,Customers!$A$2:$F$201,4,0)</f>
        <v>Gujarat</v>
      </c>
      <c r="T1176" t="str">
        <f>VLOOKUP(Table1[[#This Row],[Customer ID]],Customers!$A$2:$F$201,5,0)</f>
        <v>West</v>
      </c>
      <c r="U1176" t="str">
        <f>VLOOKUP(Table1[[#This Row],[Customer ID]],Customers!$A$2:$F$201,6,0)</f>
        <v>Consumer</v>
      </c>
      <c r="V1176" t="str">
        <f>TEXT(Table1[[#This Row],[Order Date]],"MMM")</f>
        <v>Dec</v>
      </c>
      <c r="W1176" t="str">
        <f>TEXT(Table1[[#This Row],[Order Date]],"yyyy")</f>
        <v>2025</v>
      </c>
    </row>
    <row r="1177" spans="1:23" x14ac:dyDescent="0.25">
      <c r="A1177" s="2" t="s">
        <v>1423</v>
      </c>
      <c r="B1177" s="4">
        <v>46006</v>
      </c>
      <c r="C1177" s="2" t="s">
        <v>115</v>
      </c>
      <c r="D1177" s="2" t="str">
        <f>TEXT(Table1[[#This Row],[Order Date]],"mmmm")</f>
        <v>December</v>
      </c>
      <c r="E1177" s="2" t="s">
        <v>66</v>
      </c>
      <c r="F1177" s="2">
        <v>2</v>
      </c>
      <c r="G1177" s="5">
        <v>0.05</v>
      </c>
      <c r="H1177" s="2" t="s">
        <v>25</v>
      </c>
      <c r="I1177" s="2" t="s">
        <v>46</v>
      </c>
      <c r="J1177" s="2" t="s">
        <v>21</v>
      </c>
      <c r="K1177">
        <f>VLOOKUP(E1177,Products!$A$2:$E$23,5,0)</f>
        <v>1299</v>
      </c>
      <c r="L1177">
        <f>VLOOKUP(E1177,Products!$A$2:$E$23,4,0)</f>
        <v>800</v>
      </c>
      <c r="M1177" s="2">
        <f>K1177*F1177-Table1[[#This Row],[discount_amount]]</f>
        <v>2468.1</v>
      </c>
      <c r="N1177">
        <f t="shared" si="37"/>
        <v>1600</v>
      </c>
      <c r="O1177">
        <f t="shared" si="36"/>
        <v>868.09999999999991</v>
      </c>
      <c r="P1177">
        <f>Table1[[#This Row],[Quantity]]*Table1[[#This Row],[unit_price]]*Table1[[#This Row],[Discount]]</f>
        <v>129.9</v>
      </c>
      <c r="Q1177" t="str">
        <f>VLOOKUP(E1177,Products!$A$2:$E$23,2,0)</f>
        <v>Power Bank 10000mAh</v>
      </c>
      <c r="R1177" t="str">
        <f>VLOOKUP(Table1[[#This Row],[Product ID]],Products!$A$2:$E$23,3,0)</f>
        <v>Electronics</v>
      </c>
      <c r="S1177" t="str">
        <f>VLOOKUP(C1177,Customers!$A$2:$F$201,4,0)</f>
        <v>Bihar</v>
      </c>
      <c r="T1177" t="str">
        <f>VLOOKUP(Table1[[#This Row],[Customer ID]],Customers!$A$2:$F$201,5,0)</f>
        <v>East</v>
      </c>
      <c r="U1177" t="str">
        <f>VLOOKUP(Table1[[#This Row],[Customer ID]],Customers!$A$2:$F$201,6,0)</f>
        <v>Consumer</v>
      </c>
      <c r="V1177" t="str">
        <f>TEXT(Table1[[#This Row],[Order Date]],"MMM")</f>
        <v>Dec</v>
      </c>
      <c r="W1177" t="str">
        <f>TEXT(Table1[[#This Row],[Order Date]],"yyyy")</f>
        <v>2025</v>
      </c>
    </row>
    <row r="1178" spans="1:23" x14ac:dyDescent="0.25">
      <c r="A1178" s="2" t="s">
        <v>1424</v>
      </c>
      <c r="B1178" s="4">
        <v>46006</v>
      </c>
      <c r="C1178" s="2" t="s">
        <v>291</v>
      </c>
      <c r="D1178" s="2" t="str">
        <f>TEXT(Table1[[#This Row],[Order Date]],"mmmm")</f>
        <v>December</v>
      </c>
      <c r="E1178" s="2" t="s">
        <v>41</v>
      </c>
      <c r="F1178" s="2">
        <v>20</v>
      </c>
      <c r="G1178" s="5">
        <v>0</v>
      </c>
      <c r="H1178" s="2" t="s">
        <v>19</v>
      </c>
      <c r="I1178" s="2" t="s">
        <v>20</v>
      </c>
      <c r="J1178" s="2" t="s">
        <v>21</v>
      </c>
      <c r="K1178">
        <f>VLOOKUP(E1178,Products!$A$2:$E$23,5,0)</f>
        <v>320</v>
      </c>
      <c r="L1178">
        <f>VLOOKUP(E1178,Products!$A$2:$E$23,4,0)</f>
        <v>220</v>
      </c>
      <c r="M1178" s="2">
        <f>K1178*F1178-Table1[[#This Row],[discount_amount]]</f>
        <v>6400</v>
      </c>
      <c r="N1178">
        <f t="shared" si="37"/>
        <v>4400</v>
      </c>
      <c r="O1178">
        <f t="shared" si="36"/>
        <v>2000</v>
      </c>
      <c r="P1178">
        <f>Table1[[#This Row],[Quantity]]*Table1[[#This Row],[unit_price]]*Table1[[#This Row],[Discount]]</f>
        <v>0</v>
      </c>
      <c r="Q1178" t="str">
        <f>VLOOKUP(E1178,Products!$A$2:$E$23,2,0)</f>
        <v>A4 Paper Ream</v>
      </c>
      <c r="R1178" t="str">
        <f>VLOOKUP(Table1[[#This Row],[Product ID]],Products!$A$2:$E$23,3,0)</f>
        <v>Office Supplies</v>
      </c>
      <c r="S1178" t="str">
        <f>VLOOKUP(C1178,Customers!$A$2:$F$201,4,0)</f>
        <v>Rajasthan</v>
      </c>
      <c r="T1178" t="str">
        <f>VLOOKUP(Table1[[#This Row],[Customer ID]],Customers!$A$2:$F$201,5,0)</f>
        <v>North</v>
      </c>
      <c r="U1178" t="str">
        <f>VLOOKUP(Table1[[#This Row],[Customer ID]],Customers!$A$2:$F$201,6,0)</f>
        <v>Consumer</v>
      </c>
      <c r="V1178" t="str">
        <f>TEXT(Table1[[#This Row],[Order Date]],"MMM")</f>
        <v>Dec</v>
      </c>
      <c r="W1178" t="str">
        <f>TEXT(Table1[[#This Row],[Order Date]],"yyyy")</f>
        <v>2025</v>
      </c>
    </row>
    <row r="1179" spans="1:23" x14ac:dyDescent="0.25">
      <c r="A1179" s="2" t="s">
        <v>1425</v>
      </c>
      <c r="B1179" s="4">
        <v>46007</v>
      </c>
      <c r="C1179" s="2" t="s">
        <v>439</v>
      </c>
      <c r="D1179" s="2" t="str">
        <f>TEXT(Table1[[#This Row],[Order Date]],"mmmm")</f>
        <v>December</v>
      </c>
      <c r="E1179" s="2" t="s">
        <v>118</v>
      </c>
      <c r="F1179" s="2">
        <v>2</v>
      </c>
      <c r="G1179" s="5">
        <v>0</v>
      </c>
      <c r="H1179" s="2" t="s">
        <v>25</v>
      </c>
      <c r="I1179" s="2" t="s">
        <v>31</v>
      </c>
      <c r="J1179" s="2" t="s">
        <v>21</v>
      </c>
      <c r="K1179">
        <f>VLOOKUP(E1179,Products!$A$2:$E$23,5,0)</f>
        <v>150</v>
      </c>
      <c r="L1179">
        <f>VLOOKUP(E1179,Products!$A$2:$E$23,4,0)</f>
        <v>90</v>
      </c>
      <c r="M1179" s="2">
        <f>K1179*F1179-Table1[[#This Row],[discount_amount]]</f>
        <v>300</v>
      </c>
      <c r="N1179">
        <f t="shared" si="37"/>
        <v>180</v>
      </c>
      <c r="O1179">
        <f t="shared" si="36"/>
        <v>120</v>
      </c>
      <c r="P1179">
        <f>Table1[[#This Row],[Quantity]]*Table1[[#This Row],[unit_price]]*Table1[[#This Row],[Discount]]</f>
        <v>0</v>
      </c>
      <c r="Q1179" t="str">
        <f>VLOOKUP(E1179,Products!$A$2:$E$23,2,0)</f>
        <v>Gel Pen Box</v>
      </c>
      <c r="R1179" t="str">
        <f>VLOOKUP(Table1[[#This Row],[Product ID]],Products!$A$2:$E$23,3,0)</f>
        <v>Office Supplies</v>
      </c>
      <c r="S1179" t="str">
        <f>VLOOKUP(C1179,Customers!$A$2:$F$201,4,0)</f>
        <v>Chandigarh</v>
      </c>
      <c r="T1179" t="str">
        <f>VLOOKUP(Table1[[#This Row],[Customer ID]],Customers!$A$2:$F$201,5,0)</f>
        <v>North</v>
      </c>
      <c r="U1179" t="str">
        <f>VLOOKUP(Table1[[#This Row],[Customer ID]],Customers!$A$2:$F$201,6,0)</f>
        <v>Corporate</v>
      </c>
      <c r="V1179" t="str">
        <f>TEXT(Table1[[#This Row],[Order Date]],"MMM")</f>
        <v>Dec</v>
      </c>
      <c r="W1179" t="str">
        <f>TEXT(Table1[[#This Row],[Order Date]],"yyyy")</f>
        <v>2025</v>
      </c>
    </row>
    <row r="1180" spans="1:23" x14ac:dyDescent="0.25">
      <c r="A1180" s="2" t="s">
        <v>1426</v>
      </c>
      <c r="B1180" s="4">
        <v>46007</v>
      </c>
      <c r="C1180" s="2" t="s">
        <v>501</v>
      </c>
      <c r="D1180" s="2" t="str">
        <f>TEXT(Table1[[#This Row],[Order Date]],"mmmm")</f>
        <v>December</v>
      </c>
      <c r="E1180" s="2" t="s">
        <v>135</v>
      </c>
      <c r="F1180" s="2">
        <v>8</v>
      </c>
      <c r="G1180" s="5">
        <v>0</v>
      </c>
      <c r="H1180" s="2" t="s">
        <v>19</v>
      </c>
      <c r="I1180" s="2" t="s">
        <v>46</v>
      </c>
      <c r="J1180" s="2" t="s">
        <v>79</v>
      </c>
      <c r="K1180">
        <f>VLOOKUP(E1180,Products!$A$2:$E$23,5,0)</f>
        <v>220</v>
      </c>
      <c r="L1180">
        <f>VLOOKUP(E1180,Products!$A$2:$E$23,4,0)</f>
        <v>120</v>
      </c>
      <c r="M1180" s="2">
        <f>K1180*F1180-Table1[[#This Row],[discount_amount]]</f>
        <v>1760</v>
      </c>
      <c r="N1180">
        <f t="shared" si="37"/>
        <v>960</v>
      </c>
      <c r="O1180">
        <f t="shared" si="36"/>
        <v>800</v>
      </c>
      <c r="P1180">
        <f>Table1[[#This Row],[Quantity]]*Table1[[#This Row],[unit_price]]*Table1[[#This Row],[Discount]]</f>
        <v>0</v>
      </c>
      <c r="Q1180" t="str">
        <f>VLOOKUP(E1180,Products!$A$2:$E$23,2,0)</f>
        <v>Stapler</v>
      </c>
      <c r="R1180" t="str">
        <f>VLOOKUP(Table1[[#This Row],[Product ID]],Products!$A$2:$E$23,3,0)</f>
        <v>Office Supplies</v>
      </c>
      <c r="S1180" t="str">
        <f>VLOOKUP(C1180,Customers!$A$2:$F$201,4,0)</f>
        <v>Tamil Nadu</v>
      </c>
      <c r="T1180" t="str">
        <f>VLOOKUP(Table1[[#This Row],[Customer ID]],Customers!$A$2:$F$201,5,0)</f>
        <v>South</v>
      </c>
      <c r="U1180" t="str">
        <f>VLOOKUP(Table1[[#This Row],[Customer ID]],Customers!$A$2:$F$201,6,0)</f>
        <v>Consumer</v>
      </c>
      <c r="V1180" t="str">
        <f>TEXT(Table1[[#This Row],[Order Date]],"MMM")</f>
        <v>Dec</v>
      </c>
      <c r="W1180" t="str">
        <f>TEXT(Table1[[#This Row],[Order Date]],"yyyy")</f>
        <v>2025</v>
      </c>
    </row>
    <row r="1181" spans="1:23" x14ac:dyDescent="0.25">
      <c r="A1181" s="2" t="s">
        <v>1427</v>
      </c>
      <c r="B1181" s="4">
        <v>46008</v>
      </c>
      <c r="C1181" s="2" t="s">
        <v>329</v>
      </c>
      <c r="D1181" s="2" t="str">
        <f>TEXT(Table1[[#This Row],[Order Date]],"mmmm")</f>
        <v>December</v>
      </c>
      <c r="E1181" s="2" t="s">
        <v>73</v>
      </c>
      <c r="F1181" s="2">
        <v>1</v>
      </c>
      <c r="G1181" s="5">
        <v>0</v>
      </c>
      <c r="H1181" s="2" t="s">
        <v>19</v>
      </c>
      <c r="I1181" s="2" t="s">
        <v>38</v>
      </c>
      <c r="J1181" s="2" t="s">
        <v>94</v>
      </c>
      <c r="K1181">
        <f>VLOOKUP(E1181,Products!$A$2:$E$23,5,0)</f>
        <v>6499</v>
      </c>
      <c r="L1181">
        <f>VLOOKUP(E1181,Products!$A$2:$E$23,4,0)</f>
        <v>4200</v>
      </c>
      <c r="M1181" s="2">
        <f>K1181*F1181-Table1[[#This Row],[discount_amount]]</f>
        <v>6499</v>
      </c>
      <c r="N1181">
        <f t="shared" si="37"/>
        <v>4200</v>
      </c>
      <c r="O1181">
        <f t="shared" si="36"/>
        <v>2299</v>
      </c>
      <c r="P1181">
        <f>Table1[[#This Row],[Quantity]]*Table1[[#This Row],[unit_price]]*Table1[[#This Row],[Discount]]</f>
        <v>0</v>
      </c>
      <c r="Q1181" t="str">
        <f>VLOOKUP(E1181,Products!$A$2:$E$23,2,0)</f>
        <v>Study Table</v>
      </c>
      <c r="R1181" t="str">
        <f>VLOOKUP(Table1[[#This Row],[Product ID]],Products!$A$2:$E$23,3,0)</f>
        <v>Furniture</v>
      </c>
      <c r="S1181" t="str">
        <f>VLOOKUP(C1181,Customers!$A$2:$F$201,4,0)</f>
        <v>Maharashtra</v>
      </c>
      <c r="T1181" t="str">
        <f>VLOOKUP(Table1[[#This Row],[Customer ID]],Customers!$A$2:$F$201,5,0)</f>
        <v>West</v>
      </c>
      <c r="U1181" t="str">
        <f>VLOOKUP(Table1[[#This Row],[Customer ID]],Customers!$A$2:$F$201,6,0)</f>
        <v>Consumer</v>
      </c>
      <c r="V1181" t="str">
        <f>TEXT(Table1[[#This Row],[Order Date]],"MMM")</f>
        <v>Dec</v>
      </c>
      <c r="W1181" t="str">
        <f>TEXT(Table1[[#This Row],[Order Date]],"yyyy")</f>
        <v>2025</v>
      </c>
    </row>
    <row r="1182" spans="1:23" x14ac:dyDescent="0.25">
      <c r="A1182" s="2" t="s">
        <v>1428</v>
      </c>
      <c r="B1182" s="4">
        <v>46008</v>
      </c>
      <c r="C1182" s="2" t="s">
        <v>70</v>
      </c>
      <c r="D1182" s="2" t="str">
        <f>TEXT(Table1[[#This Row],[Order Date]],"mmmm")</f>
        <v>December</v>
      </c>
      <c r="E1182" s="2" t="s">
        <v>155</v>
      </c>
      <c r="F1182" s="2">
        <v>20</v>
      </c>
      <c r="G1182" s="5">
        <v>0.15</v>
      </c>
      <c r="H1182" s="2" t="s">
        <v>19</v>
      </c>
      <c r="I1182" s="2" t="s">
        <v>38</v>
      </c>
      <c r="J1182" s="2" t="s">
        <v>21</v>
      </c>
      <c r="K1182">
        <f>VLOOKUP(E1182,Products!$A$2:$E$23,5,0)</f>
        <v>1599</v>
      </c>
      <c r="L1182">
        <f>VLOOKUP(E1182,Products!$A$2:$E$23,4,0)</f>
        <v>900</v>
      </c>
      <c r="M1182" s="2">
        <f>K1182*F1182-Table1[[#This Row],[discount_amount]]</f>
        <v>27183</v>
      </c>
      <c r="N1182">
        <f t="shared" si="37"/>
        <v>18000</v>
      </c>
      <c r="O1182">
        <f t="shared" si="36"/>
        <v>9183</v>
      </c>
      <c r="P1182">
        <f>Table1[[#This Row],[Quantity]]*Table1[[#This Row],[unit_price]]*Table1[[#This Row],[Discount]]</f>
        <v>4797</v>
      </c>
      <c r="Q1182" t="str">
        <f>VLOOKUP(E1182,Products!$A$2:$E$23,2,0)</f>
        <v>Headphones</v>
      </c>
      <c r="R1182" t="str">
        <f>VLOOKUP(Table1[[#This Row],[Product ID]],Products!$A$2:$E$23,3,0)</f>
        <v>Electronics</v>
      </c>
      <c r="S1182" t="str">
        <f>VLOOKUP(C1182,Customers!$A$2:$F$201,4,0)</f>
        <v>Delhi</v>
      </c>
      <c r="T1182" t="str">
        <f>VLOOKUP(Table1[[#This Row],[Customer ID]],Customers!$A$2:$F$201,5,0)</f>
        <v>North</v>
      </c>
      <c r="U1182" t="str">
        <f>VLOOKUP(Table1[[#This Row],[Customer ID]],Customers!$A$2:$F$201,6,0)</f>
        <v>Home Office</v>
      </c>
      <c r="V1182" t="str">
        <f>TEXT(Table1[[#This Row],[Order Date]],"MMM")</f>
        <v>Dec</v>
      </c>
      <c r="W1182" t="str">
        <f>TEXT(Table1[[#This Row],[Order Date]],"yyyy")</f>
        <v>2025</v>
      </c>
    </row>
    <row r="1183" spans="1:23" x14ac:dyDescent="0.25">
      <c r="A1183" s="2" t="s">
        <v>1429</v>
      </c>
      <c r="B1183" s="4">
        <v>46009</v>
      </c>
      <c r="C1183" s="2" t="s">
        <v>152</v>
      </c>
      <c r="D1183" s="2" t="str">
        <f>TEXT(Table1[[#This Row],[Order Date]],"mmmm")</f>
        <v>December</v>
      </c>
      <c r="E1183" s="2" t="s">
        <v>60</v>
      </c>
      <c r="F1183" s="2">
        <v>6</v>
      </c>
      <c r="G1183" s="5">
        <v>0</v>
      </c>
      <c r="H1183" s="2" t="s">
        <v>30</v>
      </c>
      <c r="I1183" s="2" t="s">
        <v>46</v>
      </c>
      <c r="J1183" s="2" t="s">
        <v>21</v>
      </c>
      <c r="K1183">
        <f>VLOOKUP(E1183,Products!$A$2:$E$23,5,0)</f>
        <v>449</v>
      </c>
      <c r="L1183">
        <f>VLOOKUP(E1183,Products!$A$2:$E$23,4,0)</f>
        <v>260</v>
      </c>
      <c r="M1183" s="2">
        <f>K1183*F1183-Table1[[#This Row],[discount_amount]]</f>
        <v>2694</v>
      </c>
      <c r="N1183">
        <f t="shared" si="37"/>
        <v>1560</v>
      </c>
      <c r="O1183">
        <f t="shared" si="36"/>
        <v>1134</v>
      </c>
      <c r="P1183">
        <f>Table1[[#This Row],[Quantity]]*Table1[[#This Row],[unit_price]]*Table1[[#This Row],[Discount]]</f>
        <v>0</v>
      </c>
      <c r="Q1183" t="str">
        <f>VLOOKUP(E1183,Products!$A$2:$E$23,2,0)</f>
        <v>Desk Organizer</v>
      </c>
      <c r="R1183" t="str">
        <f>VLOOKUP(Table1[[#This Row],[Product ID]],Products!$A$2:$E$23,3,0)</f>
        <v>Office Supplies</v>
      </c>
      <c r="S1183" t="str">
        <f>VLOOKUP(C1183,Customers!$A$2:$F$201,4,0)</f>
        <v>Gujarat</v>
      </c>
      <c r="T1183" t="str">
        <f>VLOOKUP(Table1[[#This Row],[Customer ID]],Customers!$A$2:$F$201,5,0)</f>
        <v>West</v>
      </c>
      <c r="U1183" t="str">
        <f>VLOOKUP(Table1[[#This Row],[Customer ID]],Customers!$A$2:$F$201,6,0)</f>
        <v>Consumer</v>
      </c>
      <c r="V1183" t="str">
        <f>TEXT(Table1[[#This Row],[Order Date]],"MMM")</f>
        <v>Dec</v>
      </c>
      <c r="W1183" t="str">
        <f>TEXT(Table1[[#This Row],[Order Date]],"yyyy")</f>
        <v>2025</v>
      </c>
    </row>
    <row r="1184" spans="1:23" x14ac:dyDescent="0.25">
      <c r="A1184" s="2" t="s">
        <v>1430</v>
      </c>
      <c r="B1184" s="4">
        <v>46010</v>
      </c>
      <c r="C1184" s="2" t="s">
        <v>567</v>
      </c>
      <c r="D1184" s="2" t="str">
        <f>TEXT(Table1[[#This Row],[Order Date]],"mmmm")</f>
        <v>December</v>
      </c>
      <c r="E1184" s="2" t="s">
        <v>24</v>
      </c>
      <c r="F1184" s="2">
        <v>5</v>
      </c>
      <c r="G1184" s="5">
        <v>0</v>
      </c>
      <c r="H1184" s="2" t="s">
        <v>25</v>
      </c>
      <c r="I1184" s="2" t="s">
        <v>31</v>
      </c>
      <c r="J1184" s="2" t="s">
        <v>21</v>
      </c>
      <c r="K1184">
        <f>VLOOKUP(E1184,Products!$A$2:$E$23,5,0)</f>
        <v>899</v>
      </c>
      <c r="L1184">
        <f>VLOOKUP(E1184,Products!$A$2:$E$23,4,0)</f>
        <v>500</v>
      </c>
      <c r="M1184" s="2">
        <f>K1184*F1184-Table1[[#This Row],[discount_amount]]</f>
        <v>4495</v>
      </c>
      <c r="N1184">
        <f t="shared" si="37"/>
        <v>2500</v>
      </c>
      <c r="O1184">
        <f t="shared" si="36"/>
        <v>1995</v>
      </c>
      <c r="P1184">
        <f>Table1[[#This Row],[Quantity]]*Table1[[#This Row],[unit_price]]*Table1[[#This Row],[Discount]]</f>
        <v>0</v>
      </c>
      <c r="Q1184" t="str">
        <f>VLOOKUP(E1184,Products!$A$2:$E$23,2,0)</f>
        <v>Monitor Stand</v>
      </c>
      <c r="R1184" t="str">
        <f>VLOOKUP(Table1[[#This Row],[Product ID]],Products!$A$2:$E$23,3,0)</f>
        <v>Furniture</v>
      </c>
      <c r="S1184" t="str">
        <f>VLOOKUP(C1184,Customers!$A$2:$F$201,4,0)</f>
        <v>Gujarat</v>
      </c>
      <c r="T1184" t="str">
        <f>VLOOKUP(Table1[[#This Row],[Customer ID]],Customers!$A$2:$F$201,5,0)</f>
        <v>West</v>
      </c>
      <c r="U1184" t="str">
        <f>VLOOKUP(Table1[[#This Row],[Customer ID]],Customers!$A$2:$F$201,6,0)</f>
        <v>Consumer</v>
      </c>
      <c r="V1184" t="str">
        <f>TEXT(Table1[[#This Row],[Order Date]],"MMM")</f>
        <v>Dec</v>
      </c>
      <c r="W1184" t="str">
        <f>TEXT(Table1[[#This Row],[Order Date]],"yyyy")</f>
        <v>2025</v>
      </c>
    </row>
    <row r="1185" spans="1:23" x14ac:dyDescent="0.25">
      <c r="A1185" s="2" t="s">
        <v>1431</v>
      </c>
      <c r="B1185" s="4">
        <v>46011</v>
      </c>
      <c r="C1185" s="2" t="s">
        <v>256</v>
      </c>
      <c r="D1185" s="2" t="str">
        <f>TEXT(Table1[[#This Row],[Order Date]],"mmmm")</f>
        <v>December</v>
      </c>
      <c r="E1185" s="2" t="s">
        <v>37</v>
      </c>
      <c r="F1185" s="2">
        <v>12</v>
      </c>
      <c r="G1185" s="5">
        <v>0</v>
      </c>
      <c r="H1185" s="2" t="s">
        <v>25</v>
      </c>
      <c r="I1185" s="2" t="s">
        <v>46</v>
      </c>
      <c r="J1185" s="2" t="s">
        <v>21</v>
      </c>
      <c r="K1185">
        <f>VLOOKUP(E1185,Products!$A$2:$E$23,5,0)</f>
        <v>1799</v>
      </c>
      <c r="L1185">
        <f>VLOOKUP(E1185,Products!$A$2:$E$23,4,0)</f>
        <v>900</v>
      </c>
      <c r="M1185" s="2">
        <f>K1185*F1185-Table1[[#This Row],[discount_amount]]</f>
        <v>21588</v>
      </c>
      <c r="N1185">
        <f t="shared" si="37"/>
        <v>10800</v>
      </c>
      <c r="O1185">
        <f t="shared" si="36"/>
        <v>10788</v>
      </c>
      <c r="P1185">
        <f>Table1[[#This Row],[Quantity]]*Table1[[#This Row],[unit_price]]*Table1[[#This Row],[Discount]]</f>
        <v>0</v>
      </c>
      <c r="Q1185" t="str">
        <f>VLOOKUP(E1185,Products!$A$2:$E$23,2,0)</f>
        <v>Denim Jeans</v>
      </c>
      <c r="R1185" t="str">
        <f>VLOOKUP(Table1[[#This Row],[Product ID]],Products!$A$2:$E$23,3,0)</f>
        <v>Clothing</v>
      </c>
      <c r="S1185" t="str">
        <f>VLOOKUP(C1185,Customers!$A$2:$F$201,4,0)</f>
        <v>Gujarat</v>
      </c>
      <c r="T1185" t="str">
        <f>VLOOKUP(Table1[[#This Row],[Customer ID]],Customers!$A$2:$F$201,5,0)</f>
        <v>West</v>
      </c>
      <c r="U1185" t="str">
        <f>VLOOKUP(Table1[[#This Row],[Customer ID]],Customers!$A$2:$F$201,6,0)</f>
        <v>Consumer</v>
      </c>
      <c r="V1185" t="str">
        <f>TEXT(Table1[[#This Row],[Order Date]],"MMM")</f>
        <v>Dec</v>
      </c>
      <c r="W1185" t="str">
        <f>TEXT(Table1[[#This Row],[Order Date]],"yyyy")</f>
        <v>2025</v>
      </c>
    </row>
    <row r="1186" spans="1:23" x14ac:dyDescent="0.25">
      <c r="A1186" s="2" t="s">
        <v>1432</v>
      </c>
      <c r="B1186" s="4">
        <v>46011</v>
      </c>
      <c r="C1186" s="2" t="s">
        <v>88</v>
      </c>
      <c r="D1186" s="2" t="str">
        <f>TEXT(Table1[[#This Row],[Order Date]],"mmmm")</f>
        <v>December</v>
      </c>
      <c r="E1186" s="2" t="s">
        <v>45</v>
      </c>
      <c r="F1186" s="2">
        <v>2</v>
      </c>
      <c r="G1186" s="5">
        <v>0.05</v>
      </c>
      <c r="H1186" s="2" t="s">
        <v>25</v>
      </c>
      <c r="I1186" s="2" t="s">
        <v>26</v>
      </c>
      <c r="J1186" s="2" t="s">
        <v>21</v>
      </c>
      <c r="K1186">
        <f>VLOOKUP(E1186,Products!$A$2:$E$23,5,0)</f>
        <v>899</v>
      </c>
      <c r="L1186">
        <f>VLOOKUP(E1186,Products!$A$2:$E$23,4,0)</f>
        <v>450</v>
      </c>
      <c r="M1186" s="2">
        <f>K1186*F1186-Table1[[#This Row],[discount_amount]]</f>
        <v>1708.1</v>
      </c>
      <c r="N1186">
        <f t="shared" si="37"/>
        <v>900</v>
      </c>
      <c r="O1186">
        <f t="shared" si="36"/>
        <v>808.09999999999991</v>
      </c>
      <c r="P1186">
        <f>Table1[[#This Row],[Quantity]]*Table1[[#This Row],[unit_price]]*Table1[[#This Row],[Discount]]</f>
        <v>89.9</v>
      </c>
      <c r="Q1186" t="str">
        <f>VLOOKUP(E1186,Products!$A$2:$E$23,2,0)</f>
        <v>Track Pants</v>
      </c>
      <c r="R1186" t="str">
        <f>VLOOKUP(Table1[[#This Row],[Product ID]],Products!$A$2:$E$23,3,0)</f>
        <v>Clothing</v>
      </c>
      <c r="S1186" t="str">
        <f>VLOOKUP(C1186,Customers!$A$2:$F$201,4,0)</f>
        <v>Gujarat</v>
      </c>
      <c r="T1186" t="str">
        <f>VLOOKUP(Table1[[#This Row],[Customer ID]],Customers!$A$2:$F$201,5,0)</f>
        <v>West</v>
      </c>
      <c r="U1186" t="str">
        <f>VLOOKUP(Table1[[#This Row],[Customer ID]],Customers!$A$2:$F$201,6,0)</f>
        <v>Consumer</v>
      </c>
      <c r="V1186" t="str">
        <f>TEXT(Table1[[#This Row],[Order Date]],"MMM")</f>
        <v>Dec</v>
      </c>
      <c r="W1186" t="str">
        <f>TEXT(Table1[[#This Row],[Order Date]],"yyyy")</f>
        <v>2025</v>
      </c>
    </row>
    <row r="1187" spans="1:23" x14ac:dyDescent="0.25">
      <c r="A1187" s="2" t="s">
        <v>1433</v>
      </c>
      <c r="B1187" s="4">
        <v>46011</v>
      </c>
      <c r="C1187" s="2" t="s">
        <v>217</v>
      </c>
      <c r="D1187" s="2" t="str">
        <f>TEXT(Table1[[#This Row],[Order Date]],"mmmm")</f>
        <v>December</v>
      </c>
      <c r="E1187" s="2" t="s">
        <v>73</v>
      </c>
      <c r="F1187" s="2">
        <v>10</v>
      </c>
      <c r="G1187" s="5">
        <v>0.05</v>
      </c>
      <c r="H1187" s="2" t="s">
        <v>19</v>
      </c>
      <c r="I1187" s="2" t="s">
        <v>20</v>
      </c>
      <c r="J1187" s="2" t="s">
        <v>21</v>
      </c>
      <c r="K1187">
        <f>VLOOKUP(E1187,Products!$A$2:$E$23,5,0)</f>
        <v>6499</v>
      </c>
      <c r="L1187">
        <f>VLOOKUP(E1187,Products!$A$2:$E$23,4,0)</f>
        <v>4200</v>
      </c>
      <c r="M1187" s="2">
        <f>K1187*F1187-Table1[[#This Row],[discount_amount]]</f>
        <v>61740.5</v>
      </c>
      <c r="N1187">
        <f t="shared" si="37"/>
        <v>42000</v>
      </c>
      <c r="O1187">
        <f t="shared" si="36"/>
        <v>19740.5</v>
      </c>
      <c r="P1187">
        <f>Table1[[#This Row],[Quantity]]*Table1[[#This Row],[unit_price]]*Table1[[#This Row],[Discount]]</f>
        <v>3249.5</v>
      </c>
      <c r="Q1187" t="str">
        <f>VLOOKUP(E1187,Products!$A$2:$E$23,2,0)</f>
        <v>Study Table</v>
      </c>
      <c r="R1187" t="str">
        <f>VLOOKUP(Table1[[#This Row],[Product ID]],Products!$A$2:$E$23,3,0)</f>
        <v>Furniture</v>
      </c>
      <c r="S1187" t="str">
        <f>VLOOKUP(C1187,Customers!$A$2:$F$201,4,0)</f>
        <v>Madhya Pradesh</v>
      </c>
      <c r="T1187" t="str">
        <f>VLOOKUP(Table1[[#This Row],[Customer ID]],Customers!$A$2:$F$201,5,0)</f>
        <v>Central</v>
      </c>
      <c r="U1187" t="str">
        <f>VLOOKUP(Table1[[#This Row],[Customer ID]],Customers!$A$2:$F$201,6,0)</f>
        <v>Corporate</v>
      </c>
      <c r="V1187" t="str">
        <f>TEXT(Table1[[#This Row],[Order Date]],"MMM")</f>
        <v>Dec</v>
      </c>
      <c r="W1187" t="str">
        <f>TEXT(Table1[[#This Row],[Order Date]],"yyyy")</f>
        <v>2025</v>
      </c>
    </row>
    <row r="1188" spans="1:23" x14ac:dyDescent="0.25">
      <c r="A1188" s="2" t="s">
        <v>1434</v>
      </c>
      <c r="B1188" s="4">
        <v>46012</v>
      </c>
      <c r="C1188" s="2" t="s">
        <v>120</v>
      </c>
      <c r="D1188" s="2" t="str">
        <f>TEXT(Table1[[#This Row],[Order Date]],"mmmm")</f>
        <v>December</v>
      </c>
      <c r="E1188" s="2" t="s">
        <v>60</v>
      </c>
      <c r="F1188" s="2">
        <v>3</v>
      </c>
      <c r="G1188" s="5">
        <v>0.05</v>
      </c>
      <c r="H1188" s="2" t="s">
        <v>19</v>
      </c>
      <c r="I1188" s="2" t="s">
        <v>38</v>
      </c>
      <c r="J1188" s="2" t="s">
        <v>42</v>
      </c>
      <c r="K1188">
        <f>VLOOKUP(E1188,Products!$A$2:$E$23,5,0)</f>
        <v>449</v>
      </c>
      <c r="L1188">
        <f>VLOOKUP(E1188,Products!$A$2:$E$23,4,0)</f>
        <v>260</v>
      </c>
      <c r="M1188" s="2">
        <f>K1188*F1188-Table1[[#This Row],[discount_amount]]</f>
        <v>1279.6500000000001</v>
      </c>
      <c r="N1188">
        <f t="shared" si="37"/>
        <v>780</v>
      </c>
      <c r="O1188">
        <f t="shared" si="36"/>
        <v>499.65000000000009</v>
      </c>
      <c r="P1188">
        <f>Table1[[#This Row],[Quantity]]*Table1[[#This Row],[unit_price]]*Table1[[#This Row],[Discount]]</f>
        <v>67.350000000000009</v>
      </c>
      <c r="Q1188" t="str">
        <f>VLOOKUP(E1188,Products!$A$2:$E$23,2,0)</f>
        <v>Desk Organizer</v>
      </c>
      <c r="R1188" t="str">
        <f>VLOOKUP(Table1[[#This Row],[Product ID]],Products!$A$2:$E$23,3,0)</f>
        <v>Office Supplies</v>
      </c>
      <c r="S1188" t="str">
        <f>VLOOKUP(C1188,Customers!$A$2:$F$201,4,0)</f>
        <v>Madhya Pradesh</v>
      </c>
      <c r="T1188" t="str">
        <f>VLOOKUP(Table1[[#This Row],[Customer ID]],Customers!$A$2:$F$201,5,0)</f>
        <v>Central</v>
      </c>
      <c r="U1188" t="str">
        <f>VLOOKUP(Table1[[#This Row],[Customer ID]],Customers!$A$2:$F$201,6,0)</f>
        <v>Corporate</v>
      </c>
      <c r="V1188" t="str">
        <f>TEXT(Table1[[#This Row],[Order Date]],"MMM")</f>
        <v>Dec</v>
      </c>
      <c r="W1188" t="str">
        <f>TEXT(Table1[[#This Row],[Order Date]],"yyyy")</f>
        <v>2025</v>
      </c>
    </row>
    <row r="1189" spans="1:23" x14ac:dyDescent="0.25">
      <c r="A1189" s="2" t="s">
        <v>1435</v>
      </c>
      <c r="B1189" s="4">
        <v>46012</v>
      </c>
      <c r="C1189" s="2" t="s">
        <v>278</v>
      </c>
      <c r="D1189" s="2" t="str">
        <f>TEXT(Table1[[#This Row],[Order Date]],"mmmm")</f>
        <v>December</v>
      </c>
      <c r="E1189" s="2" t="s">
        <v>34</v>
      </c>
      <c r="F1189" s="2">
        <v>4</v>
      </c>
      <c r="G1189" s="5">
        <v>0.05</v>
      </c>
      <c r="H1189" s="2" t="s">
        <v>30</v>
      </c>
      <c r="I1189" s="2" t="s">
        <v>46</v>
      </c>
      <c r="J1189" s="2" t="s">
        <v>42</v>
      </c>
      <c r="K1189">
        <f>VLOOKUP(E1189,Products!$A$2:$E$23,5,0)</f>
        <v>4599</v>
      </c>
      <c r="L1189">
        <f>VLOOKUP(E1189,Products!$A$2:$E$23,4,0)</f>
        <v>3000</v>
      </c>
      <c r="M1189" s="2">
        <f>K1189*F1189-Table1[[#This Row],[discount_amount]]</f>
        <v>17476.2</v>
      </c>
      <c r="N1189">
        <f t="shared" si="37"/>
        <v>12000</v>
      </c>
      <c r="O1189">
        <f t="shared" si="36"/>
        <v>5476.2000000000007</v>
      </c>
      <c r="P1189">
        <f>Table1[[#This Row],[Quantity]]*Table1[[#This Row],[unit_price]]*Table1[[#This Row],[Discount]]</f>
        <v>919.80000000000007</v>
      </c>
      <c r="Q1189" t="str">
        <f>VLOOKUP(E1189,Products!$A$2:$E$23,2,0)</f>
        <v>Filing Cabinet</v>
      </c>
      <c r="R1189" t="str">
        <f>VLOOKUP(Table1[[#This Row],[Product ID]],Products!$A$2:$E$23,3,0)</f>
        <v>Furniture</v>
      </c>
      <c r="S1189" t="str">
        <f>VLOOKUP(C1189,Customers!$A$2:$F$201,4,0)</f>
        <v>Odisha</v>
      </c>
      <c r="T1189" t="str">
        <f>VLOOKUP(Table1[[#This Row],[Customer ID]],Customers!$A$2:$F$201,5,0)</f>
        <v>East</v>
      </c>
      <c r="U1189" t="str">
        <f>VLOOKUP(Table1[[#This Row],[Customer ID]],Customers!$A$2:$F$201,6,0)</f>
        <v>Corporate</v>
      </c>
      <c r="V1189" t="str">
        <f>TEXT(Table1[[#This Row],[Order Date]],"MMM")</f>
        <v>Dec</v>
      </c>
      <c r="W1189" t="str">
        <f>TEXT(Table1[[#This Row],[Order Date]],"yyyy")</f>
        <v>2025</v>
      </c>
    </row>
    <row r="1190" spans="1:23" x14ac:dyDescent="0.25">
      <c r="A1190" s="2" t="s">
        <v>1436</v>
      </c>
      <c r="B1190" s="4">
        <v>46014</v>
      </c>
      <c r="C1190" s="2" t="s">
        <v>939</v>
      </c>
      <c r="D1190" s="2" t="str">
        <f>TEXT(Table1[[#This Row],[Order Date]],"mmmm")</f>
        <v>December</v>
      </c>
      <c r="E1190" s="2" t="s">
        <v>91</v>
      </c>
      <c r="F1190" s="2">
        <v>2</v>
      </c>
      <c r="G1190" s="5">
        <v>0</v>
      </c>
      <c r="H1190" s="2" t="s">
        <v>19</v>
      </c>
      <c r="I1190" s="2" t="s">
        <v>31</v>
      </c>
      <c r="J1190" s="2" t="s">
        <v>42</v>
      </c>
      <c r="K1190">
        <f>VLOOKUP(E1190,Products!$A$2:$E$23,5,0)</f>
        <v>1199</v>
      </c>
      <c r="L1190">
        <f>VLOOKUP(E1190,Products!$A$2:$E$23,4,0)</f>
        <v>600</v>
      </c>
      <c r="M1190" s="2">
        <f>K1190*F1190-Table1[[#This Row],[discount_amount]]</f>
        <v>2398</v>
      </c>
      <c r="N1190">
        <f t="shared" si="37"/>
        <v>1200</v>
      </c>
      <c r="O1190">
        <f t="shared" si="36"/>
        <v>1198</v>
      </c>
      <c r="P1190">
        <f>Table1[[#This Row],[Quantity]]*Table1[[#This Row],[unit_price]]*Table1[[#This Row],[Discount]]</f>
        <v>0</v>
      </c>
      <c r="Q1190" t="str">
        <f>VLOOKUP(E1190,Products!$A$2:$E$23,2,0)</f>
        <v>Formal Shirt</v>
      </c>
      <c r="R1190" t="str">
        <f>VLOOKUP(Table1[[#This Row],[Product ID]],Products!$A$2:$E$23,3,0)</f>
        <v>Clothing</v>
      </c>
      <c r="S1190" t="str">
        <f>VLOOKUP(C1190,Customers!$A$2:$F$201,4,0)</f>
        <v>Uttar Pradesh</v>
      </c>
      <c r="T1190" t="str">
        <f>VLOOKUP(Table1[[#This Row],[Customer ID]],Customers!$A$2:$F$201,5,0)</f>
        <v>North</v>
      </c>
      <c r="U1190" t="str">
        <f>VLOOKUP(Table1[[#This Row],[Customer ID]],Customers!$A$2:$F$201,6,0)</f>
        <v>Consumer</v>
      </c>
      <c r="V1190" t="str">
        <f>TEXT(Table1[[#This Row],[Order Date]],"MMM")</f>
        <v>Dec</v>
      </c>
      <c r="W1190" t="str">
        <f>TEXT(Table1[[#This Row],[Order Date]],"yyyy")</f>
        <v>2025</v>
      </c>
    </row>
    <row r="1191" spans="1:23" x14ac:dyDescent="0.25">
      <c r="A1191" s="2" t="s">
        <v>1437</v>
      </c>
      <c r="B1191" s="4">
        <v>46014</v>
      </c>
      <c r="C1191" s="2" t="s">
        <v>368</v>
      </c>
      <c r="D1191" s="2" t="str">
        <f>TEXT(Table1[[#This Row],[Order Date]],"mmmm")</f>
        <v>December</v>
      </c>
      <c r="E1191" s="2" t="s">
        <v>66</v>
      </c>
      <c r="F1191" s="2">
        <v>12</v>
      </c>
      <c r="G1191" s="5">
        <v>0.1</v>
      </c>
      <c r="H1191" s="2" t="s">
        <v>19</v>
      </c>
      <c r="I1191" s="2" t="s">
        <v>38</v>
      </c>
      <c r="J1191" s="2" t="s">
        <v>42</v>
      </c>
      <c r="K1191">
        <f>VLOOKUP(E1191,Products!$A$2:$E$23,5,0)</f>
        <v>1299</v>
      </c>
      <c r="L1191">
        <f>VLOOKUP(E1191,Products!$A$2:$E$23,4,0)</f>
        <v>800</v>
      </c>
      <c r="M1191" s="2">
        <f>K1191*F1191-Table1[[#This Row],[discount_amount]]</f>
        <v>14029.2</v>
      </c>
      <c r="N1191">
        <f t="shared" si="37"/>
        <v>9600</v>
      </c>
      <c r="O1191">
        <f t="shared" si="36"/>
        <v>4429.2000000000007</v>
      </c>
      <c r="P1191">
        <f>Table1[[#This Row],[Quantity]]*Table1[[#This Row],[unit_price]]*Table1[[#This Row],[Discount]]</f>
        <v>1558.8000000000002</v>
      </c>
      <c r="Q1191" t="str">
        <f>VLOOKUP(E1191,Products!$A$2:$E$23,2,0)</f>
        <v>Power Bank 10000mAh</v>
      </c>
      <c r="R1191" t="str">
        <f>VLOOKUP(Table1[[#This Row],[Product ID]],Products!$A$2:$E$23,3,0)</f>
        <v>Electronics</v>
      </c>
      <c r="S1191" t="str">
        <f>VLOOKUP(C1191,Customers!$A$2:$F$201,4,0)</f>
        <v>Telangana</v>
      </c>
      <c r="T1191" t="str">
        <f>VLOOKUP(Table1[[#This Row],[Customer ID]],Customers!$A$2:$F$201,5,0)</f>
        <v>South</v>
      </c>
      <c r="U1191" t="str">
        <f>VLOOKUP(Table1[[#This Row],[Customer ID]],Customers!$A$2:$F$201,6,0)</f>
        <v>Consumer</v>
      </c>
      <c r="V1191" t="str">
        <f>TEXT(Table1[[#This Row],[Order Date]],"MMM")</f>
        <v>Dec</v>
      </c>
      <c r="W1191" t="str">
        <f>TEXT(Table1[[#This Row],[Order Date]],"yyyy")</f>
        <v>2025</v>
      </c>
    </row>
    <row r="1192" spans="1:23" x14ac:dyDescent="0.25">
      <c r="A1192" s="2" t="s">
        <v>1438</v>
      </c>
      <c r="B1192" s="4">
        <v>46014</v>
      </c>
      <c r="C1192" s="2" t="s">
        <v>942</v>
      </c>
      <c r="D1192" s="2" t="str">
        <f>TEXT(Table1[[#This Row],[Order Date]],"mmmm")</f>
        <v>December</v>
      </c>
      <c r="E1192" s="2" t="s">
        <v>37</v>
      </c>
      <c r="F1192" s="2">
        <v>2</v>
      </c>
      <c r="G1192" s="5">
        <v>0.05</v>
      </c>
      <c r="H1192" s="2" t="s">
        <v>30</v>
      </c>
      <c r="I1192" s="2" t="s">
        <v>31</v>
      </c>
      <c r="J1192" s="2" t="s">
        <v>21</v>
      </c>
      <c r="K1192">
        <f>VLOOKUP(E1192,Products!$A$2:$E$23,5,0)</f>
        <v>1799</v>
      </c>
      <c r="L1192">
        <f>VLOOKUP(E1192,Products!$A$2:$E$23,4,0)</f>
        <v>900</v>
      </c>
      <c r="M1192" s="2">
        <f>K1192*F1192-Table1[[#This Row],[discount_amount]]</f>
        <v>3418.1</v>
      </c>
      <c r="N1192">
        <f t="shared" si="37"/>
        <v>1800</v>
      </c>
      <c r="O1192">
        <f t="shared" si="36"/>
        <v>1618.1</v>
      </c>
      <c r="P1192">
        <f>Table1[[#This Row],[Quantity]]*Table1[[#This Row],[unit_price]]*Table1[[#This Row],[Discount]]</f>
        <v>179.9</v>
      </c>
      <c r="Q1192" t="str">
        <f>VLOOKUP(E1192,Products!$A$2:$E$23,2,0)</f>
        <v>Denim Jeans</v>
      </c>
      <c r="R1192" t="str">
        <f>VLOOKUP(Table1[[#This Row],[Product ID]],Products!$A$2:$E$23,3,0)</f>
        <v>Clothing</v>
      </c>
      <c r="S1192" t="str">
        <f>VLOOKUP(C1192,Customers!$A$2:$F$201,4,0)</f>
        <v>Rajasthan</v>
      </c>
      <c r="T1192" t="str">
        <f>VLOOKUP(Table1[[#This Row],[Customer ID]],Customers!$A$2:$F$201,5,0)</f>
        <v>North</v>
      </c>
      <c r="U1192" t="str">
        <f>VLOOKUP(Table1[[#This Row],[Customer ID]],Customers!$A$2:$F$201,6,0)</f>
        <v>Corporate</v>
      </c>
      <c r="V1192" t="str">
        <f>TEXT(Table1[[#This Row],[Order Date]],"MMM")</f>
        <v>Dec</v>
      </c>
      <c r="W1192" t="str">
        <f>TEXT(Table1[[#This Row],[Order Date]],"yyyy")</f>
        <v>2025</v>
      </c>
    </row>
    <row r="1193" spans="1:23" x14ac:dyDescent="0.25">
      <c r="A1193" s="2" t="s">
        <v>1439</v>
      </c>
      <c r="B1193" s="4">
        <v>46015</v>
      </c>
      <c r="C1193" s="2" t="s">
        <v>129</v>
      </c>
      <c r="D1193" s="2" t="str">
        <f>TEXT(Table1[[#This Row],[Order Date]],"mmmm")</f>
        <v>December</v>
      </c>
      <c r="E1193" s="2" t="s">
        <v>45</v>
      </c>
      <c r="F1193" s="2">
        <v>2</v>
      </c>
      <c r="G1193" s="5">
        <v>0.05</v>
      </c>
      <c r="H1193" s="2" t="s">
        <v>30</v>
      </c>
      <c r="I1193" s="2" t="s">
        <v>38</v>
      </c>
      <c r="J1193" s="2" t="s">
        <v>42</v>
      </c>
      <c r="K1193">
        <f>VLOOKUP(E1193,Products!$A$2:$E$23,5,0)</f>
        <v>899</v>
      </c>
      <c r="L1193">
        <f>VLOOKUP(E1193,Products!$A$2:$E$23,4,0)</f>
        <v>450</v>
      </c>
      <c r="M1193" s="2">
        <f>K1193*F1193-Table1[[#This Row],[discount_amount]]</f>
        <v>1708.1</v>
      </c>
      <c r="N1193">
        <f t="shared" si="37"/>
        <v>900</v>
      </c>
      <c r="O1193">
        <f t="shared" si="36"/>
        <v>808.09999999999991</v>
      </c>
      <c r="P1193">
        <f>Table1[[#This Row],[Quantity]]*Table1[[#This Row],[unit_price]]*Table1[[#This Row],[Discount]]</f>
        <v>89.9</v>
      </c>
      <c r="Q1193" t="str">
        <f>VLOOKUP(E1193,Products!$A$2:$E$23,2,0)</f>
        <v>Track Pants</v>
      </c>
      <c r="R1193" t="str">
        <f>VLOOKUP(Table1[[#This Row],[Product ID]],Products!$A$2:$E$23,3,0)</f>
        <v>Clothing</v>
      </c>
      <c r="S1193" t="str">
        <f>VLOOKUP(C1193,Customers!$A$2:$F$201,4,0)</f>
        <v>Telangana</v>
      </c>
      <c r="T1193" t="str">
        <f>VLOOKUP(Table1[[#This Row],[Customer ID]],Customers!$A$2:$F$201,5,0)</f>
        <v>South</v>
      </c>
      <c r="U1193" t="str">
        <f>VLOOKUP(Table1[[#This Row],[Customer ID]],Customers!$A$2:$F$201,6,0)</f>
        <v>Consumer</v>
      </c>
      <c r="V1193" t="str">
        <f>TEXT(Table1[[#This Row],[Order Date]],"MMM")</f>
        <v>Dec</v>
      </c>
      <c r="W1193" t="str">
        <f>TEXT(Table1[[#This Row],[Order Date]],"yyyy")</f>
        <v>2025</v>
      </c>
    </row>
    <row r="1194" spans="1:23" x14ac:dyDescent="0.25">
      <c r="A1194" s="2" t="s">
        <v>1440</v>
      </c>
      <c r="B1194" s="4">
        <v>46016</v>
      </c>
      <c r="C1194" s="2" t="s">
        <v>582</v>
      </c>
      <c r="D1194" s="2" t="str">
        <f>TEXT(Table1[[#This Row],[Order Date]],"mmmm")</f>
        <v>December</v>
      </c>
      <c r="E1194" s="2" t="s">
        <v>41</v>
      </c>
      <c r="F1194" s="2">
        <v>10</v>
      </c>
      <c r="G1194" s="5">
        <v>0.2</v>
      </c>
      <c r="H1194" s="2" t="s">
        <v>30</v>
      </c>
      <c r="I1194" s="2" t="s">
        <v>26</v>
      </c>
      <c r="J1194" s="2" t="s">
        <v>21</v>
      </c>
      <c r="K1194">
        <f>VLOOKUP(E1194,Products!$A$2:$E$23,5,0)</f>
        <v>320</v>
      </c>
      <c r="L1194">
        <f>VLOOKUP(E1194,Products!$A$2:$E$23,4,0)</f>
        <v>220</v>
      </c>
      <c r="M1194" s="2">
        <f>K1194*F1194-Table1[[#This Row],[discount_amount]]</f>
        <v>2560</v>
      </c>
      <c r="N1194">
        <f t="shared" si="37"/>
        <v>2200</v>
      </c>
      <c r="O1194">
        <f t="shared" si="36"/>
        <v>360</v>
      </c>
      <c r="P1194">
        <f>Table1[[#This Row],[Quantity]]*Table1[[#This Row],[unit_price]]*Table1[[#This Row],[Discount]]</f>
        <v>640</v>
      </c>
      <c r="Q1194" t="str">
        <f>VLOOKUP(E1194,Products!$A$2:$E$23,2,0)</f>
        <v>A4 Paper Ream</v>
      </c>
      <c r="R1194" t="str">
        <f>VLOOKUP(Table1[[#This Row],[Product ID]],Products!$A$2:$E$23,3,0)</f>
        <v>Office Supplies</v>
      </c>
      <c r="S1194" t="str">
        <f>VLOOKUP(C1194,Customers!$A$2:$F$201,4,0)</f>
        <v>Bihar</v>
      </c>
      <c r="T1194" t="str">
        <f>VLOOKUP(Table1[[#This Row],[Customer ID]],Customers!$A$2:$F$201,5,0)</f>
        <v>East</v>
      </c>
      <c r="U1194" t="str">
        <f>VLOOKUP(Table1[[#This Row],[Customer ID]],Customers!$A$2:$F$201,6,0)</f>
        <v>Corporate</v>
      </c>
      <c r="V1194" t="str">
        <f>TEXT(Table1[[#This Row],[Order Date]],"MMM")</f>
        <v>Dec</v>
      </c>
      <c r="W1194" t="str">
        <f>TEXT(Table1[[#This Row],[Order Date]],"yyyy")</f>
        <v>2025</v>
      </c>
    </row>
    <row r="1195" spans="1:23" x14ac:dyDescent="0.25">
      <c r="A1195" s="2" t="s">
        <v>1441</v>
      </c>
      <c r="B1195" s="4">
        <v>46017</v>
      </c>
      <c r="C1195" s="2" t="s">
        <v>783</v>
      </c>
      <c r="D1195" s="2" t="str">
        <f>TEXT(Table1[[#This Row],[Order Date]],"mmmm")</f>
        <v>December</v>
      </c>
      <c r="E1195" s="2" t="s">
        <v>155</v>
      </c>
      <c r="F1195" s="2">
        <v>4</v>
      </c>
      <c r="G1195" s="5">
        <v>0.15</v>
      </c>
      <c r="H1195" s="2" t="s">
        <v>19</v>
      </c>
      <c r="I1195" s="2" t="s">
        <v>20</v>
      </c>
      <c r="J1195" s="2" t="s">
        <v>21</v>
      </c>
      <c r="K1195">
        <f>VLOOKUP(E1195,Products!$A$2:$E$23,5,0)</f>
        <v>1599</v>
      </c>
      <c r="L1195">
        <f>VLOOKUP(E1195,Products!$A$2:$E$23,4,0)</f>
        <v>900</v>
      </c>
      <c r="M1195" s="2">
        <f>K1195*F1195-Table1[[#This Row],[discount_amount]]</f>
        <v>5436.6</v>
      </c>
      <c r="N1195">
        <f t="shared" si="37"/>
        <v>3600</v>
      </c>
      <c r="O1195">
        <f t="shared" si="36"/>
        <v>1836.6000000000004</v>
      </c>
      <c r="P1195">
        <f>Table1[[#This Row],[Quantity]]*Table1[[#This Row],[unit_price]]*Table1[[#This Row],[Discount]]</f>
        <v>959.4</v>
      </c>
      <c r="Q1195" t="str">
        <f>VLOOKUP(E1195,Products!$A$2:$E$23,2,0)</f>
        <v>Headphones</v>
      </c>
      <c r="R1195" t="str">
        <f>VLOOKUP(Table1[[#This Row],[Product ID]],Products!$A$2:$E$23,3,0)</f>
        <v>Electronics</v>
      </c>
      <c r="S1195" t="str">
        <f>VLOOKUP(C1195,Customers!$A$2:$F$201,4,0)</f>
        <v>Chandigarh</v>
      </c>
      <c r="T1195" t="str">
        <f>VLOOKUP(Table1[[#This Row],[Customer ID]],Customers!$A$2:$F$201,5,0)</f>
        <v>North</v>
      </c>
      <c r="U1195" t="str">
        <f>VLOOKUP(Table1[[#This Row],[Customer ID]],Customers!$A$2:$F$201,6,0)</f>
        <v>Consumer</v>
      </c>
      <c r="V1195" t="str">
        <f>TEXT(Table1[[#This Row],[Order Date]],"MMM")</f>
        <v>Dec</v>
      </c>
      <c r="W1195" t="str">
        <f>TEXT(Table1[[#This Row],[Order Date]],"yyyy")</f>
        <v>2025</v>
      </c>
    </row>
    <row r="1196" spans="1:23" x14ac:dyDescent="0.25">
      <c r="A1196" s="2" t="s">
        <v>1442</v>
      </c>
      <c r="B1196" s="4">
        <v>46017</v>
      </c>
      <c r="C1196" s="2" t="s">
        <v>1443</v>
      </c>
      <c r="D1196" s="2" t="str">
        <f>TEXT(Table1[[#This Row],[Order Date]],"mmmm")</f>
        <v>December</v>
      </c>
      <c r="E1196" s="2" t="s">
        <v>34</v>
      </c>
      <c r="F1196" s="2">
        <v>2</v>
      </c>
      <c r="G1196" s="5">
        <v>0.1</v>
      </c>
      <c r="H1196" s="2" t="s">
        <v>19</v>
      </c>
      <c r="I1196" s="2" t="s">
        <v>31</v>
      </c>
      <c r="J1196" s="2" t="s">
        <v>42</v>
      </c>
      <c r="K1196">
        <f>VLOOKUP(E1196,Products!$A$2:$E$23,5,0)</f>
        <v>4599</v>
      </c>
      <c r="L1196">
        <f>VLOOKUP(E1196,Products!$A$2:$E$23,4,0)</f>
        <v>3000</v>
      </c>
      <c r="M1196" s="2">
        <f>K1196*F1196-Table1[[#This Row],[discount_amount]]</f>
        <v>8278.2000000000007</v>
      </c>
      <c r="N1196">
        <f t="shared" si="37"/>
        <v>6000</v>
      </c>
      <c r="O1196">
        <f t="shared" si="36"/>
        <v>2278.2000000000007</v>
      </c>
      <c r="P1196">
        <f>Table1[[#This Row],[Quantity]]*Table1[[#This Row],[unit_price]]*Table1[[#This Row],[Discount]]</f>
        <v>919.80000000000007</v>
      </c>
      <c r="Q1196" t="str">
        <f>VLOOKUP(E1196,Products!$A$2:$E$23,2,0)</f>
        <v>Filing Cabinet</v>
      </c>
      <c r="R1196" t="str">
        <f>VLOOKUP(Table1[[#This Row],[Product ID]],Products!$A$2:$E$23,3,0)</f>
        <v>Furniture</v>
      </c>
      <c r="S1196" t="str">
        <f>VLOOKUP(C1196,Customers!$A$2:$F$201,4,0)</f>
        <v>Delhi</v>
      </c>
      <c r="T1196" t="str">
        <f>VLOOKUP(Table1[[#This Row],[Customer ID]],Customers!$A$2:$F$201,5,0)</f>
        <v>North</v>
      </c>
      <c r="U1196" t="str">
        <f>VLOOKUP(Table1[[#This Row],[Customer ID]],Customers!$A$2:$F$201,6,0)</f>
        <v>Corporate</v>
      </c>
      <c r="V1196" t="str">
        <f>TEXT(Table1[[#This Row],[Order Date]],"MMM")</f>
        <v>Dec</v>
      </c>
      <c r="W1196" t="str">
        <f>TEXT(Table1[[#This Row],[Order Date]],"yyyy")</f>
        <v>2025</v>
      </c>
    </row>
    <row r="1197" spans="1:23" x14ac:dyDescent="0.25">
      <c r="A1197" s="2" t="s">
        <v>1444</v>
      </c>
      <c r="B1197" s="4">
        <v>46018</v>
      </c>
      <c r="C1197" s="2" t="s">
        <v>205</v>
      </c>
      <c r="D1197" s="2" t="str">
        <f>TEXT(Table1[[#This Row],[Order Date]],"mmmm")</f>
        <v>December</v>
      </c>
      <c r="E1197" s="2" t="s">
        <v>127</v>
      </c>
      <c r="F1197" s="2">
        <v>6</v>
      </c>
      <c r="G1197" s="5">
        <v>0</v>
      </c>
      <c r="H1197" s="2" t="s">
        <v>19</v>
      </c>
      <c r="I1197" s="2" t="s">
        <v>26</v>
      </c>
      <c r="J1197" s="2" t="s">
        <v>21</v>
      </c>
      <c r="K1197">
        <f>VLOOKUP(E1197,Products!$A$2:$E$23,5,0)</f>
        <v>1999</v>
      </c>
      <c r="L1197">
        <f>VLOOKUP(E1197,Products!$A$2:$E$23,4,0)</f>
        <v>1200</v>
      </c>
      <c r="M1197" s="2">
        <f>K1197*F1197-Table1[[#This Row],[discount_amount]]</f>
        <v>11994</v>
      </c>
      <c r="N1197">
        <f t="shared" si="37"/>
        <v>7200</v>
      </c>
      <c r="O1197">
        <f t="shared" si="36"/>
        <v>4794</v>
      </c>
      <c r="P1197">
        <f>Table1[[#This Row],[Quantity]]*Table1[[#This Row],[unit_price]]*Table1[[#This Row],[Discount]]</f>
        <v>0</v>
      </c>
      <c r="Q1197" t="str">
        <f>VLOOKUP(E1197,Products!$A$2:$E$23,2,0)</f>
        <v>Bluetooth Speaker</v>
      </c>
      <c r="R1197" t="str">
        <f>VLOOKUP(Table1[[#This Row],[Product ID]],Products!$A$2:$E$23,3,0)</f>
        <v>Electronics</v>
      </c>
      <c r="S1197" t="str">
        <f>VLOOKUP(C1197,Customers!$A$2:$F$201,4,0)</f>
        <v>Gujarat</v>
      </c>
      <c r="T1197" t="str">
        <f>VLOOKUP(Table1[[#This Row],[Customer ID]],Customers!$A$2:$F$201,5,0)</f>
        <v>West</v>
      </c>
      <c r="U1197" t="str">
        <f>VLOOKUP(Table1[[#This Row],[Customer ID]],Customers!$A$2:$F$201,6,0)</f>
        <v>Consumer</v>
      </c>
      <c r="V1197" t="str">
        <f>TEXT(Table1[[#This Row],[Order Date]],"MMM")</f>
        <v>Dec</v>
      </c>
      <c r="W1197" t="str">
        <f>TEXT(Table1[[#This Row],[Order Date]],"yyyy")</f>
        <v>2025</v>
      </c>
    </row>
    <row r="1198" spans="1:23" x14ac:dyDescent="0.25">
      <c r="A1198" s="2" t="s">
        <v>1445</v>
      </c>
      <c r="B1198" s="4">
        <v>46018</v>
      </c>
      <c r="C1198" s="2" t="s">
        <v>605</v>
      </c>
      <c r="D1198" s="2" t="str">
        <f>TEXT(Table1[[#This Row],[Order Date]],"mmmm")</f>
        <v>December</v>
      </c>
      <c r="E1198" s="2" t="s">
        <v>155</v>
      </c>
      <c r="F1198" s="2">
        <v>8</v>
      </c>
      <c r="G1198" s="5">
        <v>0</v>
      </c>
      <c r="H1198" s="2" t="s">
        <v>19</v>
      </c>
      <c r="I1198" s="2" t="s">
        <v>20</v>
      </c>
      <c r="J1198" s="2" t="s">
        <v>42</v>
      </c>
      <c r="K1198">
        <f>VLOOKUP(E1198,Products!$A$2:$E$23,5,0)</f>
        <v>1599</v>
      </c>
      <c r="L1198">
        <f>VLOOKUP(E1198,Products!$A$2:$E$23,4,0)</f>
        <v>900</v>
      </c>
      <c r="M1198" s="2">
        <f>K1198*F1198-Table1[[#This Row],[discount_amount]]</f>
        <v>12792</v>
      </c>
      <c r="N1198">
        <f t="shared" si="37"/>
        <v>7200</v>
      </c>
      <c r="O1198">
        <f t="shared" si="36"/>
        <v>5592</v>
      </c>
      <c r="P1198">
        <f>Table1[[#This Row],[Quantity]]*Table1[[#This Row],[unit_price]]*Table1[[#This Row],[Discount]]</f>
        <v>0</v>
      </c>
      <c r="Q1198" t="str">
        <f>VLOOKUP(E1198,Products!$A$2:$E$23,2,0)</f>
        <v>Headphones</v>
      </c>
      <c r="R1198" t="str">
        <f>VLOOKUP(Table1[[#This Row],[Product ID]],Products!$A$2:$E$23,3,0)</f>
        <v>Electronics</v>
      </c>
      <c r="S1198" t="str">
        <f>VLOOKUP(C1198,Customers!$A$2:$F$201,4,0)</f>
        <v>Rajasthan</v>
      </c>
      <c r="T1198" t="str">
        <f>VLOOKUP(Table1[[#This Row],[Customer ID]],Customers!$A$2:$F$201,5,0)</f>
        <v>North</v>
      </c>
      <c r="U1198" t="str">
        <f>VLOOKUP(Table1[[#This Row],[Customer ID]],Customers!$A$2:$F$201,6,0)</f>
        <v>Consumer</v>
      </c>
      <c r="V1198" t="str">
        <f>TEXT(Table1[[#This Row],[Order Date]],"MMM")</f>
        <v>Dec</v>
      </c>
      <c r="W1198" t="str">
        <f>TEXT(Table1[[#This Row],[Order Date]],"yyyy")</f>
        <v>2025</v>
      </c>
    </row>
    <row r="1199" spans="1:23" x14ac:dyDescent="0.25">
      <c r="A1199" s="2" t="s">
        <v>1446</v>
      </c>
      <c r="B1199" s="4">
        <v>46020</v>
      </c>
      <c r="C1199" s="2" t="s">
        <v>258</v>
      </c>
      <c r="D1199" s="2" t="str">
        <f>TEXT(Table1[[#This Row],[Order Date]],"mmmm")</f>
        <v>December</v>
      </c>
      <c r="E1199" s="2" t="s">
        <v>63</v>
      </c>
      <c r="F1199" s="2">
        <v>20</v>
      </c>
      <c r="G1199" s="5">
        <v>0.15</v>
      </c>
      <c r="H1199" s="2" t="s">
        <v>30</v>
      </c>
      <c r="I1199" s="2" t="s">
        <v>46</v>
      </c>
      <c r="J1199" s="2" t="s">
        <v>21</v>
      </c>
      <c r="K1199">
        <f>VLOOKUP(E1199,Products!$A$2:$E$23,5,0)</f>
        <v>5499</v>
      </c>
      <c r="L1199">
        <f>VLOOKUP(E1199,Products!$A$2:$E$23,4,0)</f>
        <v>3500</v>
      </c>
      <c r="M1199" s="2">
        <f>K1199*F1199-Table1[[#This Row],[discount_amount]]</f>
        <v>93483</v>
      </c>
      <c r="N1199">
        <f t="shared" si="37"/>
        <v>70000</v>
      </c>
      <c r="O1199">
        <f t="shared" si="36"/>
        <v>23483</v>
      </c>
      <c r="P1199">
        <f>Table1[[#This Row],[Quantity]]*Table1[[#This Row],[unit_price]]*Table1[[#This Row],[Discount]]</f>
        <v>16497</v>
      </c>
      <c r="Q1199" t="str">
        <f>VLOOKUP(E1199,Products!$A$2:$E$23,2,0)</f>
        <v>Office Chair</v>
      </c>
      <c r="R1199" t="str">
        <f>VLOOKUP(Table1[[#This Row],[Product ID]],Products!$A$2:$E$23,3,0)</f>
        <v>Furniture</v>
      </c>
      <c r="S1199" t="str">
        <f>VLOOKUP(C1199,Customers!$A$2:$F$201,4,0)</f>
        <v>Karnataka</v>
      </c>
      <c r="T1199" t="str">
        <f>VLOOKUP(Table1[[#This Row],[Customer ID]],Customers!$A$2:$F$201,5,0)</f>
        <v>South</v>
      </c>
      <c r="U1199" t="str">
        <f>VLOOKUP(Table1[[#This Row],[Customer ID]],Customers!$A$2:$F$201,6,0)</f>
        <v>Consumer</v>
      </c>
      <c r="V1199" t="str">
        <f>TEXT(Table1[[#This Row],[Order Date]],"MMM")</f>
        <v>Dec</v>
      </c>
      <c r="W1199" t="str">
        <f>TEXT(Table1[[#This Row],[Order Date]],"yyyy")</f>
        <v>2025</v>
      </c>
    </row>
    <row r="1200" spans="1:23" x14ac:dyDescent="0.25">
      <c r="A1200" s="2" t="s">
        <v>1447</v>
      </c>
      <c r="B1200" s="4">
        <v>46021</v>
      </c>
      <c r="C1200" s="2" t="s">
        <v>654</v>
      </c>
      <c r="D1200" s="2" t="str">
        <f>TEXT(Table1[[#This Row],[Order Date]],"mmmm")</f>
        <v>December</v>
      </c>
      <c r="E1200" s="2" t="s">
        <v>45</v>
      </c>
      <c r="F1200" s="2">
        <v>2</v>
      </c>
      <c r="G1200" s="5">
        <v>0</v>
      </c>
      <c r="H1200" s="2" t="s">
        <v>30</v>
      </c>
      <c r="I1200" s="2" t="s">
        <v>31</v>
      </c>
      <c r="J1200" s="2" t="s">
        <v>21</v>
      </c>
      <c r="K1200">
        <f>VLOOKUP(E1200,Products!$A$2:$E$23,5,0)</f>
        <v>899</v>
      </c>
      <c r="L1200">
        <f>VLOOKUP(E1200,Products!$A$2:$E$23,4,0)</f>
        <v>450</v>
      </c>
      <c r="M1200" s="2">
        <f>K1200*F1200-Table1[[#This Row],[discount_amount]]</f>
        <v>1798</v>
      </c>
      <c r="N1200">
        <f t="shared" si="37"/>
        <v>900</v>
      </c>
      <c r="O1200">
        <f t="shared" si="36"/>
        <v>898</v>
      </c>
      <c r="P1200">
        <f>Table1[[#This Row],[Quantity]]*Table1[[#This Row],[unit_price]]*Table1[[#This Row],[Discount]]</f>
        <v>0</v>
      </c>
      <c r="Q1200" t="str">
        <f>VLOOKUP(E1200,Products!$A$2:$E$23,2,0)</f>
        <v>Track Pants</v>
      </c>
      <c r="R1200" t="str">
        <f>VLOOKUP(Table1[[#This Row],[Product ID]],Products!$A$2:$E$23,3,0)</f>
        <v>Clothing</v>
      </c>
      <c r="S1200" t="str">
        <f>VLOOKUP(C1200,Customers!$A$2:$F$201,4,0)</f>
        <v>Telangana</v>
      </c>
      <c r="T1200" t="str">
        <f>VLOOKUP(Table1[[#This Row],[Customer ID]],Customers!$A$2:$F$201,5,0)</f>
        <v>South</v>
      </c>
      <c r="U1200" t="str">
        <f>VLOOKUP(Table1[[#This Row],[Customer ID]],Customers!$A$2:$F$201,6,0)</f>
        <v>Consumer</v>
      </c>
      <c r="V1200" t="str">
        <f>TEXT(Table1[[#This Row],[Order Date]],"MMM")</f>
        <v>Dec</v>
      </c>
      <c r="W1200" t="str">
        <f>TEXT(Table1[[#This Row],[Order Date]],"yyyy")</f>
        <v>2025</v>
      </c>
    </row>
    <row r="1201" spans="1:23" x14ac:dyDescent="0.25">
      <c r="A1201" s="2" t="s">
        <v>1448</v>
      </c>
      <c r="B1201" s="4">
        <v>46021</v>
      </c>
      <c r="C1201" s="2" t="s">
        <v>160</v>
      </c>
      <c r="D1201" s="2" t="str">
        <f>TEXT(Table1[[#This Row],[Order Date]],"mmmm")</f>
        <v>December</v>
      </c>
      <c r="E1201" s="2" t="s">
        <v>18</v>
      </c>
      <c r="F1201" s="2">
        <v>12</v>
      </c>
      <c r="G1201" s="5">
        <v>0.1</v>
      </c>
      <c r="H1201" s="2" t="s">
        <v>25</v>
      </c>
      <c r="I1201" s="2" t="s">
        <v>20</v>
      </c>
      <c r="J1201" s="2" t="s">
        <v>21</v>
      </c>
      <c r="K1201">
        <f>VLOOKUP(E1201,Products!$A$2:$E$23,5,0)</f>
        <v>4299</v>
      </c>
      <c r="L1201">
        <f>VLOOKUP(E1201,Products!$A$2:$E$23,4,0)</f>
        <v>2800</v>
      </c>
      <c r="M1201" s="2">
        <f>K1201*F1201-Table1[[#This Row],[discount_amount]]</f>
        <v>46429.2</v>
      </c>
      <c r="N1201">
        <f t="shared" si="37"/>
        <v>33600</v>
      </c>
      <c r="O1201">
        <f t="shared" si="36"/>
        <v>12829.199999999997</v>
      </c>
      <c r="P1201">
        <f>Table1[[#This Row],[Quantity]]*Table1[[#This Row],[unit_price]]*Table1[[#This Row],[Discount]]</f>
        <v>5158.8</v>
      </c>
      <c r="Q1201" t="str">
        <f>VLOOKUP(E1201,Products!$A$2:$E$23,2,0)</f>
        <v>Bookshelf</v>
      </c>
      <c r="R1201" t="str">
        <f>VLOOKUP(Table1[[#This Row],[Product ID]],Products!$A$2:$E$23,3,0)</f>
        <v>Furniture</v>
      </c>
      <c r="S1201" t="str">
        <f>VLOOKUP(C1201,Customers!$A$2:$F$201,4,0)</f>
        <v>Gujarat</v>
      </c>
      <c r="T1201" t="str">
        <f>VLOOKUP(Table1[[#This Row],[Customer ID]],Customers!$A$2:$F$201,5,0)</f>
        <v>West</v>
      </c>
      <c r="U1201" t="str">
        <f>VLOOKUP(Table1[[#This Row],[Customer ID]],Customers!$A$2:$F$201,6,0)</f>
        <v>Consumer</v>
      </c>
      <c r="V1201" t="str">
        <f>TEXT(Table1[[#This Row],[Order Date]],"MMM")</f>
        <v>Dec</v>
      </c>
      <c r="W1201" t="str">
        <f>TEXT(Table1[[#This Row],[Order Date]],"yyyy")</f>
        <v>2025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3"/>
  <sheetViews>
    <sheetView workbookViewId="0">
      <pane ySplit="1" topLeftCell="A2" activePane="bottomLeft" state="frozen"/>
      <selection pane="bottomLeft" activeCell="D28" sqref="D28"/>
    </sheetView>
  </sheetViews>
  <sheetFormatPr defaultRowHeight="15" x14ac:dyDescent="0.25"/>
  <cols>
    <col min="1" max="1" width="14" customWidth="1"/>
    <col min="2" max="2" width="26" customWidth="1"/>
    <col min="3" max="3" width="16" customWidth="1"/>
    <col min="4" max="5" width="17" customWidth="1"/>
  </cols>
  <sheetData>
    <row r="1" spans="1:5" x14ac:dyDescent="0.25">
      <c r="A1" s="3" t="s">
        <v>10</v>
      </c>
      <c r="B1" s="3" t="s">
        <v>1449</v>
      </c>
      <c r="C1" s="3" t="s">
        <v>1450</v>
      </c>
      <c r="D1" s="3" t="s">
        <v>1451</v>
      </c>
      <c r="E1" s="3" t="s">
        <v>1452</v>
      </c>
    </row>
    <row r="2" spans="1:5" x14ac:dyDescent="0.25">
      <c r="A2" s="2" t="s">
        <v>49</v>
      </c>
      <c r="B2" s="2" t="s">
        <v>1453</v>
      </c>
      <c r="C2" s="2" t="s">
        <v>1454</v>
      </c>
      <c r="D2" s="2">
        <v>450</v>
      </c>
      <c r="E2" s="2">
        <v>700</v>
      </c>
    </row>
    <row r="3" spans="1:5" x14ac:dyDescent="0.25">
      <c r="A3" s="2" t="s">
        <v>127</v>
      </c>
      <c r="B3" s="2" t="s">
        <v>1455</v>
      </c>
      <c r="C3" s="2" t="s">
        <v>1454</v>
      </c>
      <c r="D3" s="2">
        <v>1200</v>
      </c>
      <c r="E3" s="2">
        <v>1999</v>
      </c>
    </row>
    <row r="4" spans="1:5" x14ac:dyDescent="0.25">
      <c r="A4" s="2" t="s">
        <v>29</v>
      </c>
      <c r="B4" s="2" t="s">
        <v>1456</v>
      </c>
      <c r="C4" s="2" t="s">
        <v>1454</v>
      </c>
      <c r="D4" s="2">
        <v>350</v>
      </c>
      <c r="E4" s="2">
        <v>599</v>
      </c>
    </row>
    <row r="5" spans="1:5" x14ac:dyDescent="0.25">
      <c r="A5" s="2" t="s">
        <v>155</v>
      </c>
      <c r="B5" s="2" t="s">
        <v>1457</v>
      </c>
      <c r="C5" s="2" t="s">
        <v>1454</v>
      </c>
      <c r="D5" s="2">
        <v>900</v>
      </c>
      <c r="E5" s="2">
        <v>1599</v>
      </c>
    </row>
    <row r="6" spans="1:5" x14ac:dyDescent="0.25">
      <c r="A6" s="2" t="s">
        <v>66</v>
      </c>
      <c r="B6" s="2" t="s">
        <v>1458</v>
      </c>
      <c r="C6" s="2" t="s">
        <v>1454</v>
      </c>
      <c r="D6" s="2">
        <v>800</v>
      </c>
      <c r="E6" s="2">
        <v>1299</v>
      </c>
    </row>
    <row r="7" spans="1:5" x14ac:dyDescent="0.25">
      <c r="A7" s="2" t="s">
        <v>82</v>
      </c>
      <c r="B7" s="2" t="s">
        <v>1459</v>
      </c>
      <c r="C7" s="2" t="s">
        <v>1454</v>
      </c>
      <c r="D7" s="2">
        <v>1100</v>
      </c>
      <c r="E7" s="2">
        <v>1799</v>
      </c>
    </row>
    <row r="8" spans="1:5" x14ac:dyDescent="0.25">
      <c r="A8" s="2" t="s">
        <v>63</v>
      </c>
      <c r="B8" s="2" t="s">
        <v>1460</v>
      </c>
      <c r="C8" s="2" t="s">
        <v>1461</v>
      </c>
      <c r="D8" s="2">
        <v>3500</v>
      </c>
      <c r="E8" s="2">
        <v>5499</v>
      </c>
    </row>
    <row r="9" spans="1:5" x14ac:dyDescent="0.25">
      <c r="A9" s="2" t="s">
        <v>73</v>
      </c>
      <c r="B9" s="2" t="s">
        <v>1462</v>
      </c>
      <c r="C9" s="2" t="s">
        <v>1461</v>
      </c>
      <c r="D9" s="2">
        <v>4200</v>
      </c>
      <c r="E9" s="2">
        <v>6499</v>
      </c>
    </row>
    <row r="10" spans="1:5" x14ac:dyDescent="0.25">
      <c r="A10" s="2" t="s">
        <v>18</v>
      </c>
      <c r="B10" s="2" t="s">
        <v>1463</v>
      </c>
      <c r="C10" s="2" t="s">
        <v>1461</v>
      </c>
      <c r="D10" s="2">
        <v>2800</v>
      </c>
      <c r="E10" s="2">
        <v>4299</v>
      </c>
    </row>
    <row r="11" spans="1:5" x14ac:dyDescent="0.25">
      <c r="A11" s="2" t="s">
        <v>34</v>
      </c>
      <c r="B11" s="2" t="s">
        <v>1464</v>
      </c>
      <c r="C11" s="2" t="s">
        <v>1461</v>
      </c>
      <c r="D11" s="2">
        <v>3000</v>
      </c>
      <c r="E11" s="2">
        <v>4599</v>
      </c>
    </row>
    <row r="12" spans="1:5" x14ac:dyDescent="0.25">
      <c r="A12" s="2" t="s">
        <v>24</v>
      </c>
      <c r="B12" s="2" t="s">
        <v>1465</v>
      </c>
      <c r="C12" s="2" t="s">
        <v>1461</v>
      </c>
      <c r="D12" s="2">
        <v>500</v>
      </c>
      <c r="E12" s="2">
        <v>899</v>
      </c>
    </row>
    <row r="13" spans="1:5" x14ac:dyDescent="0.25">
      <c r="A13" s="2" t="s">
        <v>41</v>
      </c>
      <c r="B13" s="2" t="s">
        <v>1466</v>
      </c>
      <c r="C13" s="2" t="s">
        <v>1467</v>
      </c>
      <c r="D13" s="2">
        <v>220</v>
      </c>
      <c r="E13" s="2">
        <v>320</v>
      </c>
    </row>
    <row r="14" spans="1:5" x14ac:dyDescent="0.25">
      <c r="A14" s="2" t="s">
        <v>118</v>
      </c>
      <c r="B14" s="2" t="s">
        <v>1468</v>
      </c>
      <c r="C14" s="2" t="s">
        <v>1467</v>
      </c>
      <c r="D14" s="2">
        <v>90</v>
      </c>
      <c r="E14" s="2">
        <v>150</v>
      </c>
    </row>
    <row r="15" spans="1:5" x14ac:dyDescent="0.25">
      <c r="A15" s="2" t="s">
        <v>135</v>
      </c>
      <c r="B15" s="2" t="s">
        <v>1469</v>
      </c>
      <c r="C15" s="2" t="s">
        <v>1467</v>
      </c>
      <c r="D15" s="2">
        <v>120</v>
      </c>
      <c r="E15" s="2">
        <v>220</v>
      </c>
    </row>
    <row r="16" spans="1:5" x14ac:dyDescent="0.25">
      <c r="A16" s="2" t="s">
        <v>54</v>
      </c>
      <c r="B16" s="2" t="s">
        <v>1470</v>
      </c>
      <c r="C16" s="2" t="s">
        <v>1467</v>
      </c>
      <c r="D16" s="2">
        <v>180</v>
      </c>
      <c r="E16" s="2">
        <v>299</v>
      </c>
    </row>
    <row r="17" spans="1:5" x14ac:dyDescent="0.25">
      <c r="A17" s="2" t="s">
        <v>111</v>
      </c>
      <c r="B17" s="2" t="s">
        <v>1471</v>
      </c>
      <c r="C17" s="2" t="s">
        <v>1467</v>
      </c>
      <c r="D17" s="2">
        <v>140</v>
      </c>
      <c r="E17" s="2">
        <v>240</v>
      </c>
    </row>
    <row r="18" spans="1:5" x14ac:dyDescent="0.25">
      <c r="A18" s="2" t="s">
        <v>60</v>
      </c>
      <c r="B18" s="2" t="s">
        <v>1472</v>
      </c>
      <c r="C18" s="2" t="s">
        <v>1467</v>
      </c>
      <c r="D18" s="2">
        <v>260</v>
      </c>
      <c r="E18" s="2">
        <v>449</v>
      </c>
    </row>
    <row r="19" spans="1:5" x14ac:dyDescent="0.25">
      <c r="A19" s="2" t="s">
        <v>121</v>
      </c>
      <c r="B19" s="2" t="s">
        <v>1473</v>
      </c>
      <c r="C19" s="2" t="s">
        <v>1474</v>
      </c>
      <c r="D19" s="2">
        <v>250</v>
      </c>
      <c r="E19" s="2">
        <v>499</v>
      </c>
    </row>
    <row r="20" spans="1:5" x14ac:dyDescent="0.25">
      <c r="A20" s="2" t="s">
        <v>91</v>
      </c>
      <c r="B20" s="2" t="s">
        <v>1475</v>
      </c>
      <c r="C20" s="2" t="s">
        <v>1474</v>
      </c>
      <c r="D20" s="2">
        <v>600</v>
      </c>
      <c r="E20" s="2">
        <v>1199</v>
      </c>
    </row>
    <row r="21" spans="1:5" x14ac:dyDescent="0.25">
      <c r="A21" s="2" t="s">
        <v>37</v>
      </c>
      <c r="B21" s="2" t="s">
        <v>1476</v>
      </c>
      <c r="C21" s="2" t="s">
        <v>1474</v>
      </c>
      <c r="D21" s="2">
        <v>900</v>
      </c>
      <c r="E21" s="2">
        <v>1799</v>
      </c>
    </row>
    <row r="22" spans="1:5" x14ac:dyDescent="0.25">
      <c r="A22" s="2" t="s">
        <v>57</v>
      </c>
      <c r="B22" s="2" t="s">
        <v>1477</v>
      </c>
      <c r="C22" s="2" t="s">
        <v>1474</v>
      </c>
      <c r="D22" s="2">
        <v>800</v>
      </c>
      <c r="E22" s="2">
        <v>1599</v>
      </c>
    </row>
    <row r="23" spans="1:5" x14ac:dyDescent="0.25">
      <c r="A23" s="2" t="s">
        <v>45</v>
      </c>
      <c r="B23" s="2" t="s">
        <v>1478</v>
      </c>
      <c r="C23" s="2" t="s">
        <v>1474</v>
      </c>
      <c r="D23" s="2">
        <v>450</v>
      </c>
      <c r="E23" s="2">
        <v>899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1"/>
  <sheetViews>
    <sheetView workbookViewId="0">
      <pane ySplit="1" topLeftCell="A154" activePane="bottomLeft" state="frozen"/>
      <selection pane="bottomLeft" activeCell="E207" sqref="E207"/>
    </sheetView>
  </sheetViews>
  <sheetFormatPr defaultRowHeight="15" x14ac:dyDescent="0.25"/>
  <cols>
    <col min="1" max="1" width="15" customWidth="1"/>
    <col min="2" max="2" width="22" customWidth="1"/>
    <col min="3" max="3" width="14" customWidth="1"/>
    <col min="4" max="4" width="16" customWidth="1"/>
    <col min="5" max="5" width="10" customWidth="1"/>
    <col min="6" max="6" width="14" customWidth="1"/>
  </cols>
  <sheetData>
    <row r="1" spans="1:6" x14ac:dyDescent="0.25">
      <c r="A1" s="3" t="s">
        <v>9</v>
      </c>
      <c r="B1" s="3" t="s">
        <v>1479</v>
      </c>
      <c r="C1" s="3" t="s">
        <v>1480</v>
      </c>
      <c r="D1" s="3" t="s">
        <v>1481</v>
      </c>
      <c r="E1" s="3" t="s">
        <v>1482</v>
      </c>
      <c r="F1" s="3" t="s">
        <v>1483</v>
      </c>
    </row>
    <row r="2" spans="1:6" x14ac:dyDescent="0.25">
      <c r="A2" s="2" t="s">
        <v>360</v>
      </c>
      <c r="B2" s="2" t="s">
        <v>1484</v>
      </c>
      <c r="C2" s="2" t="s">
        <v>1485</v>
      </c>
      <c r="D2" s="2" t="s">
        <v>1486</v>
      </c>
      <c r="E2" s="2" t="s">
        <v>1487</v>
      </c>
      <c r="F2" s="2" t="s">
        <v>1488</v>
      </c>
    </row>
    <row r="3" spans="1:6" x14ac:dyDescent="0.25">
      <c r="A3" s="2" t="s">
        <v>605</v>
      </c>
      <c r="B3" s="2" t="s">
        <v>1489</v>
      </c>
      <c r="C3" s="2" t="s">
        <v>1490</v>
      </c>
      <c r="D3" s="2" t="s">
        <v>1491</v>
      </c>
      <c r="E3" s="2" t="s">
        <v>1492</v>
      </c>
      <c r="F3" s="2" t="s">
        <v>1488</v>
      </c>
    </row>
    <row r="4" spans="1:6" x14ac:dyDescent="0.25">
      <c r="A4" s="2" t="s">
        <v>464</v>
      </c>
      <c r="B4" s="2" t="s">
        <v>1493</v>
      </c>
      <c r="C4" s="2" t="s">
        <v>1494</v>
      </c>
      <c r="D4" s="2" t="s">
        <v>1495</v>
      </c>
      <c r="E4" s="2" t="s">
        <v>1496</v>
      </c>
      <c r="F4" s="2" t="s">
        <v>1488</v>
      </c>
    </row>
    <row r="5" spans="1:6" x14ac:dyDescent="0.25">
      <c r="A5" s="2" t="s">
        <v>381</v>
      </c>
      <c r="B5" s="2" t="s">
        <v>1497</v>
      </c>
      <c r="C5" s="2" t="s">
        <v>1498</v>
      </c>
      <c r="D5" s="2" t="s">
        <v>1486</v>
      </c>
      <c r="E5" s="2" t="s">
        <v>1487</v>
      </c>
      <c r="F5" s="2" t="s">
        <v>1488</v>
      </c>
    </row>
    <row r="6" spans="1:6" x14ac:dyDescent="0.25">
      <c r="A6" s="2" t="s">
        <v>535</v>
      </c>
      <c r="B6" s="2" t="s">
        <v>1499</v>
      </c>
      <c r="C6" s="2" t="s">
        <v>1500</v>
      </c>
      <c r="D6" s="2" t="s">
        <v>1501</v>
      </c>
      <c r="E6" s="2" t="s">
        <v>1496</v>
      </c>
      <c r="F6" s="2" t="s">
        <v>1488</v>
      </c>
    </row>
    <row r="7" spans="1:6" x14ac:dyDescent="0.25">
      <c r="A7" s="2" t="s">
        <v>496</v>
      </c>
      <c r="B7" s="2" t="s">
        <v>1502</v>
      </c>
      <c r="C7" s="2" t="s">
        <v>1494</v>
      </c>
      <c r="D7" s="2" t="s">
        <v>1495</v>
      </c>
      <c r="E7" s="2" t="s">
        <v>1496</v>
      </c>
      <c r="F7" s="2" t="s">
        <v>1488</v>
      </c>
    </row>
    <row r="8" spans="1:6" x14ac:dyDescent="0.25">
      <c r="A8" s="2" t="s">
        <v>439</v>
      </c>
      <c r="B8" s="2" t="s">
        <v>1503</v>
      </c>
      <c r="C8" s="2" t="s">
        <v>1504</v>
      </c>
      <c r="D8" s="2" t="s">
        <v>1504</v>
      </c>
      <c r="E8" s="2" t="s">
        <v>1492</v>
      </c>
      <c r="F8" s="2" t="s">
        <v>1505</v>
      </c>
    </row>
    <row r="9" spans="1:6" x14ac:dyDescent="0.25">
      <c r="A9" s="2" t="s">
        <v>313</v>
      </c>
      <c r="B9" s="2" t="s">
        <v>1506</v>
      </c>
      <c r="C9" s="2" t="s">
        <v>1507</v>
      </c>
      <c r="D9" s="2" t="s">
        <v>1508</v>
      </c>
      <c r="E9" s="2" t="s">
        <v>1509</v>
      </c>
      <c r="F9" s="2" t="s">
        <v>1488</v>
      </c>
    </row>
    <row r="10" spans="1:6" x14ac:dyDescent="0.25">
      <c r="A10" s="2" t="s">
        <v>1510</v>
      </c>
      <c r="B10" s="2" t="s">
        <v>1511</v>
      </c>
      <c r="C10" s="2" t="s">
        <v>1512</v>
      </c>
      <c r="D10" s="2" t="s">
        <v>1513</v>
      </c>
      <c r="E10" s="2" t="s">
        <v>1509</v>
      </c>
      <c r="F10" s="2" t="s">
        <v>1488</v>
      </c>
    </row>
    <row r="11" spans="1:6" x14ac:dyDescent="0.25">
      <c r="A11" s="2" t="s">
        <v>126</v>
      </c>
      <c r="B11" s="2" t="s">
        <v>1514</v>
      </c>
      <c r="C11" s="2" t="s">
        <v>1515</v>
      </c>
      <c r="D11" s="2" t="s">
        <v>1516</v>
      </c>
      <c r="E11" s="2" t="s">
        <v>1509</v>
      </c>
      <c r="F11" s="2" t="s">
        <v>1488</v>
      </c>
    </row>
    <row r="12" spans="1:6" x14ac:dyDescent="0.25">
      <c r="A12" s="2" t="s">
        <v>93</v>
      </c>
      <c r="B12" s="2" t="s">
        <v>1517</v>
      </c>
      <c r="C12" s="2" t="s">
        <v>1518</v>
      </c>
      <c r="D12" s="2" t="s">
        <v>1486</v>
      </c>
      <c r="E12" s="2" t="s">
        <v>1487</v>
      </c>
      <c r="F12" s="2" t="s">
        <v>1488</v>
      </c>
    </row>
    <row r="13" spans="1:6" x14ac:dyDescent="0.25">
      <c r="A13" s="2" t="s">
        <v>479</v>
      </c>
      <c r="B13" s="2" t="s">
        <v>1519</v>
      </c>
      <c r="C13" s="2" t="s">
        <v>1520</v>
      </c>
      <c r="D13" s="2" t="s">
        <v>1521</v>
      </c>
      <c r="E13" s="2" t="s">
        <v>1509</v>
      </c>
      <c r="F13" s="2" t="s">
        <v>1488</v>
      </c>
    </row>
    <row r="14" spans="1:6" x14ac:dyDescent="0.25">
      <c r="A14" s="2" t="s">
        <v>869</v>
      </c>
      <c r="B14" s="2" t="s">
        <v>1514</v>
      </c>
      <c r="C14" s="2" t="s">
        <v>1500</v>
      </c>
      <c r="D14" s="2" t="s">
        <v>1501</v>
      </c>
      <c r="E14" s="2" t="s">
        <v>1496</v>
      </c>
      <c r="F14" s="2" t="s">
        <v>1488</v>
      </c>
    </row>
    <row r="15" spans="1:6" x14ac:dyDescent="0.25">
      <c r="A15" s="2" t="s">
        <v>226</v>
      </c>
      <c r="B15" s="2" t="s">
        <v>1522</v>
      </c>
      <c r="C15" s="2" t="s">
        <v>1523</v>
      </c>
      <c r="D15" s="2" t="s">
        <v>1486</v>
      </c>
      <c r="E15" s="2" t="s">
        <v>1487</v>
      </c>
      <c r="F15" s="2" t="s">
        <v>1488</v>
      </c>
    </row>
    <row r="16" spans="1:6" x14ac:dyDescent="0.25">
      <c r="A16" s="2" t="s">
        <v>939</v>
      </c>
      <c r="B16" s="2" t="s">
        <v>1524</v>
      </c>
      <c r="C16" s="2" t="s">
        <v>1525</v>
      </c>
      <c r="D16" s="2" t="s">
        <v>1526</v>
      </c>
      <c r="E16" s="2" t="s">
        <v>1492</v>
      </c>
      <c r="F16" s="2" t="s">
        <v>1488</v>
      </c>
    </row>
    <row r="17" spans="1:6" x14ac:dyDescent="0.25">
      <c r="A17" s="2" t="s">
        <v>345</v>
      </c>
      <c r="B17" s="2" t="s">
        <v>1527</v>
      </c>
      <c r="C17" s="2" t="s">
        <v>1485</v>
      </c>
      <c r="D17" s="2" t="s">
        <v>1486</v>
      </c>
      <c r="E17" s="2" t="s">
        <v>1487</v>
      </c>
      <c r="F17" s="2" t="s">
        <v>1488</v>
      </c>
    </row>
    <row r="18" spans="1:6" x14ac:dyDescent="0.25">
      <c r="A18" s="2" t="s">
        <v>501</v>
      </c>
      <c r="B18" s="2" t="s">
        <v>1528</v>
      </c>
      <c r="C18" s="2" t="s">
        <v>1515</v>
      </c>
      <c r="D18" s="2" t="s">
        <v>1516</v>
      </c>
      <c r="E18" s="2" t="s">
        <v>1509</v>
      </c>
      <c r="F18" s="2" t="s">
        <v>1488</v>
      </c>
    </row>
    <row r="19" spans="1:6" x14ac:dyDescent="0.25">
      <c r="A19" s="2" t="s">
        <v>209</v>
      </c>
      <c r="B19" s="2" t="s">
        <v>1493</v>
      </c>
      <c r="C19" s="2" t="s">
        <v>1504</v>
      </c>
      <c r="D19" s="2" t="s">
        <v>1504</v>
      </c>
      <c r="E19" s="2" t="s">
        <v>1492</v>
      </c>
      <c r="F19" s="2" t="s">
        <v>1505</v>
      </c>
    </row>
    <row r="20" spans="1:6" x14ac:dyDescent="0.25">
      <c r="A20" s="2" t="s">
        <v>65</v>
      </c>
      <c r="B20" s="2" t="s">
        <v>1529</v>
      </c>
      <c r="C20" s="2" t="s">
        <v>1494</v>
      </c>
      <c r="D20" s="2" t="s">
        <v>1495</v>
      </c>
      <c r="E20" s="2" t="s">
        <v>1496</v>
      </c>
      <c r="F20" s="2" t="s">
        <v>1488</v>
      </c>
    </row>
    <row r="21" spans="1:6" x14ac:dyDescent="0.25">
      <c r="A21" s="2" t="s">
        <v>397</v>
      </c>
      <c r="B21" s="2" t="s">
        <v>1530</v>
      </c>
      <c r="C21" s="2" t="s">
        <v>1504</v>
      </c>
      <c r="D21" s="2" t="s">
        <v>1504</v>
      </c>
      <c r="E21" s="2" t="s">
        <v>1492</v>
      </c>
      <c r="F21" s="2" t="s">
        <v>1505</v>
      </c>
    </row>
    <row r="22" spans="1:6" x14ac:dyDescent="0.25">
      <c r="A22" s="2" t="s">
        <v>902</v>
      </c>
      <c r="B22" s="2" t="s">
        <v>1531</v>
      </c>
      <c r="C22" s="2" t="s">
        <v>1518</v>
      </c>
      <c r="D22" s="2" t="s">
        <v>1486</v>
      </c>
      <c r="E22" s="2" t="s">
        <v>1487</v>
      </c>
      <c r="F22" s="2" t="s">
        <v>1488</v>
      </c>
    </row>
    <row r="23" spans="1:6" x14ac:dyDescent="0.25">
      <c r="A23" s="2" t="s">
        <v>258</v>
      </c>
      <c r="B23" s="2" t="s">
        <v>1527</v>
      </c>
      <c r="C23" s="2" t="s">
        <v>1512</v>
      </c>
      <c r="D23" s="2" t="s">
        <v>1513</v>
      </c>
      <c r="E23" s="2" t="s">
        <v>1509</v>
      </c>
      <c r="F23" s="2" t="s">
        <v>1488</v>
      </c>
    </row>
    <row r="24" spans="1:6" x14ac:dyDescent="0.25">
      <c r="A24" s="2" t="s">
        <v>337</v>
      </c>
      <c r="B24" s="2" t="s">
        <v>1532</v>
      </c>
      <c r="C24" s="2" t="s">
        <v>1533</v>
      </c>
      <c r="D24" s="2" t="s">
        <v>1495</v>
      </c>
      <c r="E24" s="2" t="s">
        <v>1496</v>
      </c>
      <c r="F24" s="2" t="s">
        <v>1505</v>
      </c>
    </row>
    <row r="25" spans="1:6" x14ac:dyDescent="0.25">
      <c r="A25" s="2" t="s">
        <v>572</v>
      </c>
      <c r="B25" s="2" t="s">
        <v>1534</v>
      </c>
      <c r="C25" s="2" t="s">
        <v>1520</v>
      </c>
      <c r="D25" s="2" t="s">
        <v>1521</v>
      </c>
      <c r="E25" s="2" t="s">
        <v>1509</v>
      </c>
      <c r="F25" s="2" t="s">
        <v>1488</v>
      </c>
    </row>
    <row r="26" spans="1:6" x14ac:dyDescent="0.25">
      <c r="A26" s="2" t="s">
        <v>759</v>
      </c>
      <c r="B26" s="2" t="s">
        <v>1535</v>
      </c>
      <c r="C26" s="2" t="s">
        <v>1490</v>
      </c>
      <c r="D26" s="2" t="s">
        <v>1491</v>
      </c>
      <c r="E26" s="2" t="s">
        <v>1492</v>
      </c>
      <c r="F26" s="2" t="s">
        <v>1488</v>
      </c>
    </row>
    <row r="27" spans="1:6" x14ac:dyDescent="0.25">
      <c r="A27" s="2" t="s">
        <v>375</v>
      </c>
      <c r="B27" s="2" t="s">
        <v>1536</v>
      </c>
      <c r="C27" s="2" t="s">
        <v>1533</v>
      </c>
      <c r="D27" s="2" t="s">
        <v>1495</v>
      </c>
      <c r="E27" s="2" t="s">
        <v>1496</v>
      </c>
      <c r="F27" s="2" t="s">
        <v>1505</v>
      </c>
    </row>
    <row r="28" spans="1:6" x14ac:dyDescent="0.25">
      <c r="A28" s="2" t="s">
        <v>276</v>
      </c>
      <c r="B28" s="2" t="s">
        <v>1529</v>
      </c>
      <c r="C28" s="2" t="s">
        <v>1515</v>
      </c>
      <c r="D28" s="2" t="s">
        <v>1516</v>
      </c>
      <c r="E28" s="2" t="s">
        <v>1509</v>
      </c>
      <c r="F28" s="2" t="s">
        <v>1488</v>
      </c>
    </row>
    <row r="29" spans="1:6" x14ac:dyDescent="0.25">
      <c r="A29" s="2" t="s">
        <v>160</v>
      </c>
      <c r="B29" s="2" t="s">
        <v>1537</v>
      </c>
      <c r="C29" s="2" t="s">
        <v>1523</v>
      </c>
      <c r="D29" s="2" t="s">
        <v>1486</v>
      </c>
      <c r="E29" s="2" t="s">
        <v>1487</v>
      </c>
      <c r="F29" s="2" t="s">
        <v>1488</v>
      </c>
    </row>
    <row r="30" spans="1:6" x14ac:dyDescent="0.25">
      <c r="A30" s="2" t="s">
        <v>735</v>
      </c>
      <c r="B30" s="2" t="s">
        <v>1538</v>
      </c>
      <c r="C30" s="2" t="s">
        <v>1539</v>
      </c>
      <c r="D30" s="2" t="s">
        <v>1501</v>
      </c>
      <c r="E30" s="2" t="s">
        <v>1487</v>
      </c>
      <c r="F30" s="2" t="s">
        <v>1488</v>
      </c>
    </row>
    <row r="31" spans="1:6" x14ac:dyDescent="0.25">
      <c r="A31" s="2" t="s">
        <v>306</v>
      </c>
      <c r="B31" s="2" t="s">
        <v>1540</v>
      </c>
      <c r="C31" s="2" t="s">
        <v>1520</v>
      </c>
      <c r="D31" s="2" t="s">
        <v>1521</v>
      </c>
      <c r="E31" s="2" t="s">
        <v>1509</v>
      </c>
      <c r="F31" s="2" t="s">
        <v>1488</v>
      </c>
    </row>
    <row r="32" spans="1:6" x14ac:dyDescent="0.25">
      <c r="A32" s="2" t="s">
        <v>183</v>
      </c>
      <c r="B32" s="2" t="s">
        <v>1541</v>
      </c>
      <c r="C32" s="2" t="s">
        <v>1494</v>
      </c>
      <c r="D32" s="2" t="s">
        <v>1495</v>
      </c>
      <c r="E32" s="2" t="s">
        <v>1496</v>
      </c>
      <c r="F32" s="2" t="s">
        <v>1505</v>
      </c>
    </row>
    <row r="33" spans="1:6" x14ac:dyDescent="0.25">
      <c r="A33" s="2" t="s">
        <v>17</v>
      </c>
      <c r="B33" s="2" t="s">
        <v>1542</v>
      </c>
      <c r="C33" s="2" t="s">
        <v>1494</v>
      </c>
      <c r="D33" s="2" t="s">
        <v>1495</v>
      </c>
      <c r="E33" s="2" t="s">
        <v>1496</v>
      </c>
      <c r="F33" s="2" t="s">
        <v>1505</v>
      </c>
    </row>
    <row r="34" spans="1:6" x14ac:dyDescent="0.25">
      <c r="A34" s="2" t="s">
        <v>88</v>
      </c>
      <c r="B34" s="2" t="s">
        <v>1543</v>
      </c>
      <c r="C34" s="2" t="s">
        <v>1485</v>
      </c>
      <c r="D34" s="2" t="s">
        <v>1486</v>
      </c>
      <c r="E34" s="2" t="s">
        <v>1487</v>
      </c>
      <c r="F34" s="2" t="s">
        <v>1488</v>
      </c>
    </row>
    <row r="35" spans="1:6" x14ac:dyDescent="0.25">
      <c r="A35" s="2" t="s">
        <v>356</v>
      </c>
      <c r="B35" s="2" t="s">
        <v>1544</v>
      </c>
      <c r="C35" s="2" t="s">
        <v>1498</v>
      </c>
      <c r="D35" s="2" t="s">
        <v>1486</v>
      </c>
      <c r="E35" s="2" t="s">
        <v>1487</v>
      </c>
      <c r="F35" s="2" t="s">
        <v>1505</v>
      </c>
    </row>
    <row r="36" spans="1:6" x14ac:dyDescent="0.25">
      <c r="A36" s="2" t="s">
        <v>582</v>
      </c>
      <c r="B36" s="2" t="s">
        <v>1545</v>
      </c>
      <c r="C36" s="2" t="s">
        <v>1546</v>
      </c>
      <c r="D36" s="2" t="s">
        <v>1547</v>
      </c>
      <c r="E36" s="2" t="s">
        <v>1548</v>
      </c>
      <c r="F36" s="2" t="s">
        <v>1505</v>
      </c>
    </row>
    <row r="37" spans="1:6" x14ac:dyDescent="0.25">
      <c r="A37" s="2" t="s">
        <v>341</v>
      </c>
      <c r="B37" s="2" t="s">
        <v>1549</v>
      </c>
      <c r="C37" s="2" t="s">
        <v>1546</v>
      </c>
      <c r="D37" s="2" t="s">
        <v>1547</v>
      </c>
      <c r="E37" s="2" t="s">
        <v>1548</v>
      </c>
      <c r="F37" s="2" t="s">
        <v>1488</v>
      </c>
    </row>
    <row r="38" spans="1:6" x14ac:dyDescent="0.25">
      <c r="A38" s="2" t="s">
        <v>48</v>
      </c>
      <c r="B38" s="2" t="s">
        <v>1550</v>
      </c>
      <c r="C38" s="2" t="s">
        <v>1539</v>
      </c>
      <c r="D38" s="2" t="s">
        <v>1501</v>
      </c>
      <c r="E38" s="2" t="s">
        <v>1487</v>
      </c>
      <c r="F38" s="2" t="s">
        <v>1551</v>
      </c>
    </row>
    <row r="39" spans="1:6" x14ac:dyDescent="0.25">
      <c r="A39" s="2" t="s">
        <v>140</v>
      </c>
      <c r="B39" s="2" t="s">
        <v>1552</v>
      </c>
      <c r="C39" s="2" t="s">
        <v>1498</v>
      </c>
      <c r="D39" s="2" t="s">
        <v>1486</v>
      </c>
      <c r="E39" s="2" t="s">
        <v>1487</v>
      </c>
      <c r="F39" s="2" t="s">
        <v>1488</v>
      </c>
    </row>
    <row r="40" spans="1:6" x14ac:dyDescent="0.25">
      <c r="A40" s="2" t="s">
        <v>304</v>
      </c>
      <c r="B40" s="2" t="s">
        <v>1553</v>
      </c>
      <c r="C40" s="2" t="s">
        <v>1485</v>
      </c>
      <c r="D40" s="2" t="s">
        <v>1486</v>
      </c>
      <c r="E40" s="2" t="s">
        <v>1487</v>
      </c>
      <c r="F40" s="2" t="s">
        <v>1551</v>
      </c>
    </row>
    <row r="41" spans="1:6" x14ac:dyDescent="0.25">
      <c r="A41" s="2" t="s">
        <v>84</v>
      </c>
      <c r="B41" s="2" t="s">
        <v>1554</v>
      </c>
      <c r="C41" s="2" t="s">
        <v>1525</v>
      </c>
      <c r="D41" s="2" t="s">
        <v>1526</v>
      </c>
      <c r="E41" s="2" t="s">
        <v>1492</v>
      </c>
      <c r="F41" s="2" t="s">
        <v>1488</v>
      </c>
    </row>
    <row r="42" spans="1:6" x14ac:dyDescent="0.25">
      <c r="A42" s="2" t="s">
        <v>626</v>
      </c>
      <c r="B42" s="2" t="s">
        <v>1555</v>
      </c>
      <c r="C42" s="2" t="s">
        <v>1533</v>
      </c>
      <c r="D42" s="2" t="s">
        <v>1495</v>
      </c>
      <c r="E42" s="2" t="s">
        <v>1496</v>
      </c>
      <c r="F42" s="2" t="s">
        <v>1505</v>
      </c>
    </row>
    <row r="43" spans="1:6" x14ac:dyDescent="0.25">
      <c r="A43" s="2" t="s">
        <v>174</v>
      </c>
      <c r="B43" s="2" t="s">
        <v>1550</v>
      </c>
      <c r="C43" s="2" t="s">
        <v>1523</v>
      </c>
      <c r="D43" s="2" t="s">
        <v>1486</v>
      </c>
      <c r="E43" s="2" t="s">
        <v>1487</v>
      </c>
      <c r="F43" s="2" t="s">
        <v>1488</v>
      </c>
    </row>
    <row r="44" spans="1:6" x14ac:dyDescent="0.25">
      <c r="A44" s="2" t="s">
        <v>310</v>
      </c>
      <c r="B44" s="2" t="s">
        <v>1556</v>
      </c>
      <c r="C44" s="2" t="s">
        <v>1557</v>
      </c>
      <c r="D44" s="2" t="s">
        <v>1558</v>
      </c>
      <c r="E44" s="2" t="s">
        <v>1548</v>
      </c>
      <c r="F44" s="2" t="s">
        <v>1488</v>
      </c>
    </row>
    <row r="45" spans="1:6" x14ac:dyDescent="0.25">
      <c r="A45" s="2" t="s">
        <v>243</v>
      </c>
      <c r="B45" s="2" t="s">
        <v>1502</v>
      </c>
      <c r="C45" s="2" t="s">
        <v>1500</v>
      </c>
      <c r="D45" s="2" t="s">
        <v>1501</v>
      </c>
      <c r="E45" s="2" t="s">
        <v>1496</v>
      </c>
      <c r="F45" s="2" t="s">
        <v>1551</v>
      </c>
    </row>
    <row r="46" spans="1:6" x14ac:dyDescent="0.25">
      <c r="A46" s="2" t="s">
        <v>70</v>
      </c>
      <c r="B46" s="2" t="s">
        <v>1543</v>
      </c>
      <c r="C46" s="2" t="s">
        <v>1559</v>
      </c>
      <c r="D46" s="2" t="s">
        <v>1559</v>
      </c>
      <c r="E46" s="2" t="s">
        <v>1492</v>
      </c>
      <c r="F46" s="2" t="s">
        <v>1551</v>
      </c>
    </row>
    <row r="47" spans="1:6" x14ac:dyDescent="0.25">
      <c r="A47" s="2" t="s">
        <v>676</v>
      </c>
      <c r="B47" s="2" t="s">
        <v>1560</v>
      </c>
      <c r="C47" s="2" t="s">
        <v>1515</v>
      </c>
      <c r="D47" s="2" t="s">
        <v>1516</v>
      </c>
      <c r="E47" s="2" t="s">
        <v>1509</v>
      </c>
      <c r="F47" s="2" t="s">
        <v>1488</v>
      </c>
    </row>
    <row r="48" spans="1:6" x14ac:dyDescent="0.25">
      <c r="A48" s="2" t="s">
        <v>458</v>
      </c>
      <c r="B48" s="2" t="s">
        <v>1561</v>
      </c>
      <c r="C48" s="2" t="s">
        <v>1485</v>
      </c>
      <c r="D48" s="2" t="s">
        <v>1486</v>
      </c>
      <c r="E48" s="2" t="s">
        <v>1487</v>
      </c>
      <c r="F48" s="2" t="s">
        <v>1488</v>
      </c>
    </row>
    <row r="49" spans="1:6" x14ac:dyDescent="0.25">
      <c r="A49" s="2" t="s">
        <v>23</v>
      </c>
      <c r="B49" s="2" t="s">
        <v>1562</v>
      </c>
      <c r="C49" s="2" t="s">
        <v>1498</v>
      </c>
      <c r="D49" s="2" t="s">
        <v>1486</v>
      </c>
      <c r="E49" s="2" t="s">
        <v>1487</v>
      </c>
      <c r="F49" s="2" t="s">
        <v>1488</v>
      </c>
    </row>
    <row r="50" spans="1:6" x14ac:dyDescent="0.25">
      <c r="A50" s="2" t="s">
        <v>942</v>
      </c>
      <c r="B50" s="2" t="s">
        <v>1563</v>
      </c>
      <c r="C50" s="2" t="s">
        <v>1490</v>
      </c>
      <c r="D50" s="2" t="s">
        <v>1491</v>
      </c>
      <c r="E50" s="2" t="s">
        <v>1492</v>
      </c>
      <c r="F50" s="2" t="s">
        <v>1505</v>
      </c>
    </row>
    <row r="51" spans="1:6" x14ac:dyDescent="0.25">
      <c r="A51" s="2" t="s">
        <v>684</v>
      </c>
      <c r="B51" s="2" t="s">
        <v>1564</v>
      </c>
      <c r="C51" s="2" t="s">
        <v>1518</v>
      </c>
      <c r="D51" s="2" t="s">
        <v>1486</v>
      </c>
      <c r="E51" s="2" t="s">
        <v>1487</v>
      </c>
      <c r="F51" s="2" t="s">
        <v>1551</v>
      </c>
    </row>
    <row r="52" spans="1:6" x14ac:dyDescent="0.25">
      <c r="A52" s="2" t="s">
        <v>239</v>
      </c>
      <c r="B52" s="2" t="s">
        <v>1519</v>
      </c>
      <c r="C52" s="2" t="s">
        <v>1512</v>
      </c>
      <c r="D52" s="2" t="s">
        <v>1513</v>
      </c>
      <c r="E52" s="2" t="s">
        <v>1509</v>
      </c>
      <c r="F52" s="2" t="s">
        <v>1488</v>
      </c>
    </row>
    <row r="53" spans="1:6" x14ac:dyDescent="0.25">
      <c r="A53" s="2" t="s">
        <v>190</v>
      </c>
      <c r="B53" s="2" t="s">
        <v>1565</v>
      </c>
      <c r="C53" s="2" t="s">
        <v>1557</v>
      </c>
      <c r="D53" s="2" t="s">
        <v>1558</v>
      </c>
      <c r="E53" s="2" t="s">
        <v>1548</v>
      </c>
      <c r="F53" s="2" t="s">
        <v>1488</v>
      </c>
    </row>
    <row r="54" spans="1:6" x14ac:dyDescent="0.25">
      <c r="A54" s="2" t="s">
        <v>102</v>
      </c>
      <c r="B54" s="2" t="s">
        <v>1566</v>
      </c>
      <c r="C54" s="2" t="s">
        <v>1533</v>
      </c>
      <c r="D54" s="2" t="s">
        <v>1495</v>
      </c>
      <c r="E54" s="2" t="s">
        <v>1496</v>
      </c>
      <c r="F54" s="2" t="s">
        <v>1488</v>
      </c>
    </row>
    <row r="55" spans="1:6" x14ac:dyDescent="0.25">
      <c r="A55" s="2" t="s">
        <v>96</v>
      </c>
      <c r="B55" s="2" t="s">
        <v>1502</v>
      </c>
      <c r="C55" s="2" t="s">
        <v>1557</v>
      </c>
      <c r="D55" s="2" t="s">
        <v>1558</v>
      </c>
      <c r="E55" s="2" t="s">
        <v>1548</v>
      </c>
      <c r="F55" s="2" t="s">
        <v>1488</v>
      </c>
    </row>
    <row r="56" spans="1:6" x14ac:dyDescent="0.25">
      <c r="A56" s="2" t="s">
        <v>158</v>
      </c>
      <c r="B56" s="2" t="s">
        <v>1567</v>
      </c>
      <c r="C56" s="2" t="s">
        <v>1507</v>
      </c>
      <c r="D56" s="2" t="s">
        <v>1508</v>
      </c>
      <c r="E56" s="2" t="s">
        <v>1509</v>
      </c>
      <c r="F56" s="2" t="s">
        <v>1488</v>
      </c>
    </row>
    <row r="57" spans="1:6" x14ac:dyDescent="0.25">
      <c r="A57" s="2" t="s">
        <v>113</v>
      </c>
      <c r="B57" s="2" t="s">
        <v>1568</v>
      </c>
      <c r="C57" s="2" t="s">
        <v>1518</v>
      </c>
      <c r="D57" s="2" t="s">
        <v>1486</v>
      </c>
      <c r="E57" s="2" t="s">
        <v>1487</v>
      </c>
      <c r="F57" s="2" t="s">
        <v>1488</v>
      </c>
    </row>
    <row r="58" spans="1:6" x14ac:dyDescent="0.25">
      <c r="A58" s="2" t="s">
        <v>732</v>
      </c>
      <c r="B58" s="2" t="s">
        <v>1569</v>
      </c>
      <c r="C58" s="2" t="s">
        <v>1512</v>
      </c>
      <c r="D58" s="2" t="s">
        <v>1513</v>
      </c>
      <c r="E58" s="2" t="s">
        <v>1509</v>
      </c>
      <c r="F58" s="2" t="s">
        <v>1488</v>
      </c>
    </row>
    <row r="59" spans="1:6" x14ac:dyDescent="0.25">
      <c r="A59" s="2" t="s">
        <v>509</v>
      </c>
      <c r="B59" s="2" t="s">
        <v>1534</v>
      </c>
      <c r="C59" s="2" t="s">
        <v>1494</v>
      </c>
      <c r="D59" s="2" t="s">
        <v>1495</v>
      </c>
      <c r="E59" s="2" t="s">
        <v>1496</v>
      </c>
      <c r="F59" s="2" t="s">
        <v>1488</v>
      </c>
    </row>
    <row r="60" spans="1:6" x14ac:dyDescent="0.25">
      <c r="A60" s="2" t="s">
        <v>482</v>
      </c>
      <c r="B60" s="2" t="s">
        <v>1570</v>
      </c>
      <c r="C60" s="2" t="s">
        <v>1504</v>
      </c>
      <c r="D60" s="2" t="s">
        <v>1504</v>
      </c>
      <c r="E60" s="2" t="s">
        <v>1492</v>
      </c>
      <c r="F60" s="2" t="s">
        <v>1551</v>
      </c>
    </row>
    <row r="61" spans="1:6" x14ac:dyDescent="0.25">
      <c r="A61" s="2" t="s">
        <v>162</v>
      </c>
      <c r="B61" s="2" t="s">
        <v>1571</v>
      </c>
      <c r="C61" s="2" t="s">
        <v>1523</v>
      </c>
      <c r="D61" s="2" t="s">
        <v>1486</v>
      </c>
      <c r="E61" s="2" t="s">
        <v>1487</v>
      </c>
      <c r="F61" s="2" t="s">
        <v>1551</v>
      </c>
    </row>
    <row r="62" spans="1:6" x14ac:dyDescent="0.25">
      <c r="A62" s="2" t="s">
        <v>550</v>
      </c>
      <c r="B62" s="2" t="s">
        <v>1568</v>
      </c>
      <c r="C62" s="2" t="s">
        <v>1494</v>
      </c>
      <c r="D62" s="2" t="s">
        <v>1495</v>
      </c>
      <c r="E62" s="2" t="s">
        <v>1496</v>
      </c>
      <c r="F62" s="2" t="s">
        <v>1505</v>
      </c>
    </row>
    <row r="63" spans="1:6" x14ac:dyDescent="0.25">
      <c r="A63" s="2" t="s">
        <v>221</v>
      </c>
      <c r="B63" s="2" t="s">
        <v>1563</v>
      </c>
      <c r="C63" s="2" t="s">
        <v>1494</v>
      </c>
      <c r="D63" s="2" t="s">
        <v>1495</v>
      </c>
      <c r="E63" s="2" t="s">
        <v>1496</v>
      </c>
      <c r="F63" s="2" t="s">
        <v>1551</v>
      </c>
    </row>
    <row r="64" spans="1:6" x14ac:dyDescent="0.25">
      <c r="A64" s="2" t="s">
        <v>254</v>
      </c>
      <c r="B64" s="2" t="s">
        <v>1572</v>
      </c>
      <c r="C64" s="2" t="s">
        <v>1490</v>
      </c>
      <c r="D64" s="2" t="s">
        <v>1491</v>
      </c>
      <c r="E64" s="2" t="s">
        <v>1492</v>
      </c>
      <c r="F64" s="2" t="s">
        <v>1488</v>
      </c>
    </row>
    <row r="65" spans="1:6" x14ac:dyDescent="0.25">
      <c r="A65" s="2" t="s">
        <v>180</v>
      </c>
      <c r="B65" s="2" t="s">
        <v>1573</v>
      </c>
      <c r="C65" s="2" t="s">
        <v>1559</v>
      </c>
      <c r="D65" s="2" t="s">
        <v>1559</v>
      </c>
      <c r="E65" s="2" t="s">
        <v>1492</v>
      </c>
      <c r="F65" s="2" t="s">
        <v>1488</v>
      </c>
    </row>
    <row r="66" spans="1:6" x14ac:dyDescent="0.25">
      <c r="A66" s="2" t="s">
        <v>654</v>
      </c>
      <c r="B66" s="2" t="s">
        <v>1574</v>
      </c>
      <c r="C66" s="2" t="s">
        <v>1520</v>
      </c>
      <c r="D66" s="2" t="s">
        <v>1521</v>
      </c>
      <c r="E66" s="2" t="s">
        <v>1509</v>
      </c>
      <c r="F66" s="2" t="s">
        <v>1488</v>
      </c>
    </row>
    <row r="67" spans="1:6" x14ac:dyDescent="0.25">
      <c r="A67" s="2" t="s">
        <v>848</v>
      </c>
      <c r="B67" s="2" t="s">
        <v>1543</v>
      </c>
      <c r="C67" s="2" t="s">
        <v>1575</v>
      </c>
      <c r="D67" s="2" t="s">
        <v>1576</v>
      </c>
      <c r="E67" s="2" t="s">
        <v>1548</v>
      </c>
      <c r="F67" s="2" t="s">
        <v>1505</v>
      </c>
    </row>
    <row r="68" spans="1:6" x14ac:dyDescent="0.25">
      <c r="A68" s="2" t="s">
        <v>237</v>
      </c>
      <c r="B68" s="2" t="s">
        <v>1577</v>
      </c>
      <c r="C68" s="2" t="s">
        <v>1494</v>
      </c>
      <c r="D68" s="2" t="s">
        <v>1495</v>
      </c>
      <c r="E68" s="2" t="s">
        <v>1496</v>
      </c>
      <c r="F68" s="2" t="s">
        <v>1488</v>
      </c>
    </row>
    <row r="69" spans="1:6" x14ac:dyDescent="0.25">
      <c r="A69" s="2" t="s">
        <v>1443</v>
      </c>
      <c r="B69" s="2" t="s">
        <v>1578</v>
      </c>
      <c r="C69" s="2" t="s">
        <v>1559</v>
      </c>
      <c r="D69" s="2" t="s">
        <v>1559</v>
      </c>
      <c r="E69" s="2" t="s">
        <v>1492</v>
      </c>
      <c r="F69" s="2" t="s">
        <v>1505</v>
      </c>
    </row>
    <row r="70" spans="1:6" x14ac:dyDescent="0.25">
      <c r="A70" s="2" t="s">
        <v>272</v>
      </c>
      <c r="B70" s="2" t="s">
        <v>1579</v>
      </c>
      <c r="C70" s="2" t="s">
        <v>1518</v>
      </c>
      <c r="D70" s="2" t="s">
        <v>1486</v>
      </c>
      <c r="E70" s="2" t="s">
        <v>1487</v>
      </c>
      <c r="F70" s="2" t="s">
        <v>1488</v>
      </c>
    </row>
    <row r="71" spans="1:6" x14ac:dyDescent="0.25">
      <c r="A71" s="2" t="s">
        <v>261</v>
      </c>
      <c r="B71" s="2" t="s">
        <v>1580</v>
      </c>
      <c r="C71" s="2" t="s">
        <v>1557</v>
      </c>
      <c r="D71" s="2" t="s">
        <v>1558</v>
      </c>
      <c r="E71" s="2" t="s">
        <v>1548</v>
      </c>
      <c r="F71" s="2" t="s">
        <v>1551</v>
      </c>
    </row>
    <row r="72" spans="1:6" x14ac:dyDescent="0.25">
      <c r="A72" s="2" t="s">
        <v>329</v>
      </c>
      <c r="B72" s="2" t="s">
        <v>1581</v>
      </c>
      <c r="C72" s="2" t="s">
        <v>1539</v>
      </c>
      <c r="D72" s="2" t="s">
        <v>1501</v>
      </c>
      <c r="E72" s="2" t="s">
        <v>1487</v>
      </c>
      <c r="F72" s="2" t="s">
        <v>1488</v>
      </c>
    </row>
    <row r="73" spans="1:6" x14ac:dyDescent="0.25">
      <c r="A73" s="2" t="s">
        <v>56</v>
      </c>
      <c r="B73" s="2" t="s">
        <v>1493</v>
      </c>
      <c r="C73" s="2" t="s">
        <v>1539</v>
      </c>
      <c r="D73" s="2" t="s">
        <v>1501</v>
      </c>
      <c r="E73" s="2" t="s">
        <v>1487</v>
      </c>
      <c r="F73" s="2" t="s">
        <v>1488</v>
      </c>
    </row>
    <row r="74" spans="1:6" x14ac:dyDescent="0.25">
      <c r="A74" s="2" t="s">
        <v>636</v>
      </c>
      <c r="B74" s="2" t="s">
        <v>1582</v>
      </c>
      <c r="C74" s="2" t="s">
        <v>1490</v>
      </c>
      <c r="D74" s="2" t="s">
        <v>1491</v>
      </c>
      <c r="E74" s="2" t="s">
        <v>1492</v>
      </c>
      <c r="F74" s="2" t="s">
        <v>1551</v>
      </c>
    </row>
    <row r="75" spans="1:6" x14ac:dyDescent="0.25">
      <c r="A75" s="2" t="s">
        <v>120</v>
      </c>
      <c r="B75" s="2" t="s">
        <v>1583</v>
      </c>
      <c r="C75" s="2" t="s">
        <v>1533</v>
      </c>
      <c r="D75" s="2" t="s">
        <v>1495</v>
      </c>
      <c r="E75" s="2" t="s">
        <v>1496</v>
      </c>
      <c r="F75" s="2" t="s">
        <v>1505</v>
      </c>
    </row>
    <row r="76" spans="1:6" x14ac:dyDescent="0.25">
      <c r="A76" s="2" t="s">
        <v>820</v>
      </c>
      <c r="B76" s="2" t="s">
        <v>1584</v>
      </c>
      <c r="C76" s="2" t="s">
        <v>1500</v>
      </c>
      <c r="D76" s="2" t="s">
        <v>1501</v>
      </c>
      <c r="E76" s="2" t="s">
        <v>1496</v>
      </c>
      <c r="F76" s="2" t="s">
        <v>1505</v>
      </c>
    </row>
    <row r="77" spans="1:6" x14ac:dyDescent="0.25">
      <c r="A77" s="2" t="s">
        <v>548</v>
      </c>
      <c r="B77" s="2" t="s">
        <v>1585</v>
      </c>
      <c r="C77" s="2" t="s">
        <v>1533</v>
      </c>
      <c r="D77" s="2" t="s">
        <v>1495</v>
      </c>
      <c r="E77" s="2" t="s">
        <v>1496</v>
      </c>
      <c r="F77" s="2" t="s">
        <v>1551</v>
      </c>
    </row>
    <row r="78" spans="1:6" x14ac:dyDescent="0.25">
      <c r="A78" s="2" t="s">
        <v>171</v>
      </c>
      <c r="B78" s="2" t="s">
        <v>1532</v>
      </c>
      <c r="C78" s="2" t="s">
        <v>1559</v>
      </c>
      <c r="D78" s="2" t="s">
        <v>1559</v>
      </c>
      <c r="E78" s="2" t="s">
        <v>1492</v>
      </c>
      <c r="F78" s="2" t="s">
        <v>1488</v>
      </c>
    </row>
    <row r="79" spans="1:6" x14ac:dyDescent="0.25">
      <c r="A79" s="2" t="s">
        <v>407</v>
      </c>
      <c r="B79" s="2" t="s">
        <v>1586</v>
      </c>
      <c r="C79" s="2" t="s">
        <v>1587</v>
      </c>
      <c r="D79" s="2" t="s">
        <v>1501</v>
      </c>
      <c r="E79" s="2" t="s">
        <v>1487</v>
      </c>
      <c r="F79" s="2" t="s">
        <v>1488</v>
      </c>
    </row>
    <row r="80" spans="1:6" x14ac:dyDescent="0.25">
      <c r="A80" s="2" t="s">
        <v>110</v>
      </c>
      <c r="B80" s="2" t="s">
        <v>1588</v>
      </c>
      <c r="C80" s="2" t="s">
        <v>1523</v>
      </c>
      <c r="D80" s="2" t="s">
        <v>1486</v>
      </c>
      <c r="E80" s="2" t="s">
        <v>1487</v>
      </c>
      <c r="F80" s="2" t="s">
        <v>1505</v>
      </c>
    </row>
    <row r="81" spans="1:6" x14ac:dyDescent="0.25">
      <c r="A81" s="2" t="s">
        <v>806</v>
      </c>
      <c r="B81" s="2" t="s">
        <v>1511</v>
      </c>
      <c r="C81" s="2" t="s">
        <v>1533</v>
      </c>
      <c r="D81" s="2" t="s">
        <v>1495</v>
      </c>
      <c r="E81" s="2" t="s">
        <v>1496</v>
      </c>
      <c r="F81" s="2" t="s">
        <v>1488</v>
      </c>
    </row>
    <row r="82" spans="1:6" x14ac:dyDescent="0.25">
      <c r="A82" s="2" t="s">
        <v>235</v>
      </c>
      <c r="B82" s="2" t="s">
        <v>1589</v>
      </c>
      <c r="C82" s="2" t="s">
        <v>1546</v>
      </c>
      <c r="D82" s="2" t="s">
        <v>1547</v>
      </c>
      <c r="E82" s="2" t="s">
        <v>1548</v>
      </c>
      <c r="F82" s="2" t="s">
        <v>1551</v>
      </c>
    </row>
    <row r="83" spans="1:6" x14ac:dyDescent="0.25">
      <c r="A83" s="2" t="s">
        <v>219</v>
      </c>
      <c r="B83" s="2" t="s">
        <v>1590</v>
      </c>
      <c r="C83" s="2" t="s">
        <v>1523</v>
      </c>
      <c r="D83" s="2" t="s">
        <v>1486</v>
      </c>
      <c r="E83" s="2" t="s">
        <v>1487</v>
      </c>
      <c r="F83" s="2" t="s">
        <v>1488</v>
      </c>
    </row>
    <row r="84" spans="1:6" x14ac:dyDescent="0.25">
      <c r="A84" s="2" t="s">
        <v>33</v>
      </c>
      <c r="B84" s="2" t="s">
        <v>1591</v>
      </c>
      <c r="C84" s="2" t="s">
        <v>1575</v>
      </c>
      <c r="D84" s="2" t="s">
        <v>1576</v>
      </c>
      <c r="E84" s="2" t="s">
        <v>1548</v>
      </c>
      <c r="F84" s="2" t="s">
        <v>1488</v>
      </c>
    </row>
    <row r="85" spans="1:6" x14ac:dyDescent="0.25">
      <c r="A85" s="2" t="s">
        <v>178</v>
      </c>
      <c r="B85" s="2" t="s">
        <v>1541</v>
      </c>
      <c r="C85" s="2" t="s">
        <v>1546</v>
      </c>
      <c r="D85" s="2" t="s">
        <v>1547</v>
      </c>
      <c r="E85" s="2" t="s">
        <v>1548</v>
      </c>
      <c r="F85" s="2" t="s">
        <v>1505</v>
      </c>
    </row>
    <row r="86" spans="1:6" x14ac:dyDescent="0.25">
      <c r="A86" s="2" t="s">
        <v>224</v>
      </c>
      <c r="B86" s="2" t="s">
        <v>1592</v>
      </c>
      <c r="C86" s="2" t="s">
        <v>1525</v>
      </c>
      <c r="D86" s="2" t="s">
        <v>1526</v>
      </c>
      <c r="E86" s="2" t="s">
        <v>1492</v>
      </c>
      <c r="F86" s="2" t="s">
        <v>1488</v>
      </c>
    </row>
    <row r="87" spans="1:6" x14ac:dyDescent="0.25">
      <c r="A87" s="2" t="s">
        <v>395</v>
      </c>
      <c r="B87" s="2" t="s">
        <v>1593</v>
      </c>
      <c r="C87" s="2" t="s">
        <v>1485</v>
      </c>
      <c r="D87" s="2" t="s">
        <v>1486</v>
      </c>
      <c r="E87" s="2" t="s">
        <v>1487</v>
      </c>
      <c r="F87" s="2" t="s">
        <v>1505</v>
      </c>
    </row>
    <row r="88" spans="1:6" x14ac:dyDescent="0.25">
      <c r="A88" s="2" t="s">
        <v>783</v>
      </c>
      <c r="B88" s="2" t="s">
        <v>1594</v>
      </c>
      <c r="C88" s="2" t="s">
        <v>1504</v>
      </c>
      <c r="D88" s="2" t="s">
        <v>1504</v>
      </c>
      <c r="E88" s="2" t="s">
        <v>1492</v>
      </c>
      <c r="F88" s="2" t="s">
        <v>1488</v>
      </c>
    </row>
    <row r="89" spans="1:6" x14ac:dyDescent="0.25">
      <c r="A89" s="2" t="s">
        <v>587</v>
      </c>
      <c r="B89" s="2" t="s">
        <v>1595</v>
      </c>
      <c r="C89" s="2" t="s">
        <v>1512</v>
      </c>
      <c r="D89" s="2" t="s">
        <v>1513</v>
      </c>
      <c r="E89" s="2" t="s">
        <v>1509</v>
      </c>
      <c r="F89" s="2" t="s">
        <v>1505</v>
      </c>
    </row>
    <row r="90" spans="1:6" x14ac:dyDescent="0.25">
      <c r="A90" s="2" t="s">
        <v>68</v>
      </c>
      <c r="B90" s="2" t="s">
        <v>1596</v>
      </c>
      <c r="C90" s="2" t="s">
        <v>1504</v>
      </c>
      <c r="D90" s="2" t="s">
        <v>1504</v>
      </c>
      <c r="E90" s="2" t="s">
        <v>1492</v>
      </c>
      <c r="F90" s="2" t="s">
        <v>1488</v>
      </c>
    </row>
    <row r="91" spans="1:6" x14ac:dyDescent="0.25">
      <c r="A91" s="2" t="s">
        <v>152</v>
      </c>
      <c r="B91" s="2" t="s">
        <v>1597</v>
      </c>
      <c r="C91" s="2" t="s">
        <v>1518</v>
      </c>
      <c r="D91" s="2" t="s">
        <v>1486</v>
      </c>
      <c r="E91" s="2" t="s">
        <v>1487</v>
      </c>
      <c r="F91" s="2" t="s">
        <v>1488</v>
      </c>
    </row>
    <row r="92" spans="1:6" x14ac:dyDescent="0.25">
      <c r="A92" s="2" t="s">
        <v>252</v>
      </c>
      <c r="B92" s="2" t="s">
        <v>1598</v>
      </c>
      <c r="C92" s="2" t="s">
        <v>1504</v>
      </c>
      <c r="D92" s="2" t="s">
        <v>1504</v>
      </c>
      <c r="E92" s="2" t="s">
        <v>1492</v>
      </c>
      <c r="F92" s="2" t="s">
        <v>1488</v>
      </c>
    </row>
    <row r="93" spans="1:6" x14ac:dyDescent="0.25">
      <c r="A93" s="2" t="s">
        <v>325</v>
      </c>
      <c r="B93" s="2" t="s">
        <v>1589</v>
      </c>
      <c r="C93" s="2" t="s">
        <v>1587</v>
      </c>
      <c r="D93" s="2" t="s">
        <v>1501</v>
      </c>
      <c r="E93" s="2" t="s">
        <v>1487</v>
      </c>
      <c r="F93" s="2" t="s">
        <v>1505</v>
      </c>
    </row>
    <row r="94" spans="1:6" x14ac:dyDescent="0.25">
      <c r="A94" s="2" t="s">
        <v>274</v>
      </c>
      <c r="B94" s="2" t="s">
        <v>1599</v>
      </c>
      <c r="C94" s="2" t="s">
        <v>1494</v>
      </c>
      <c r="D94" s="2" t="s">
        <v>1495</v>
      </c>
      <c r="E94" s="2" t="s">
        <v>1496</v>
      </c>
      <c r="F94" s="2" t="s">
        <v>1488</v>
      </c>
    </row>
    <row r="95" spans="1:6" x14ac:dyDescent="0.25">
      <c r="A95" s="2" t="s">
        <v>117</v>
      </c>
      <c r="B95" s="2" t="s">
        <v>1600</v>
      </c>
      <c r="C95" s="2" t="s">
        <v>1523</v>
      </c>
      <c r="D95" s="2" t="s">
        <v>1486</v>
      </c>
      <c r="E95" s="2" t="s">
        <v>1487</v>
      </c>
      <c r="F95" s="2" t="s">
        <v>1488</v>
      </c>
    </row>
    <row r="96" spans="1:6" x14ac:dyDescent="0.25">
      <c r="A96" s="2" t="s">
        <v>370</v>
      </c>
      <c r="B96" s="2" t="s">
        <v>1562</v>
      </c>
      <c r="C96" s="2" t="s">
        <v>1515</v>
      </c>
      <c r="D96" s="2" t="s">
        <v>1516</v>
      </c>
      <c r="E96" s="2" t="s">
        <v>1509</v>
      </c>
      <c r="F96" s="2" t="s">
        <v>1488</v>
      </c>
    </row>
    <row r="97" spans="1:6" x14ac:dyDescent="0.25">
      <c r="A97" s="2" t="s">
        <v>525</v>
      </c>
      <c r="B97" s="2" t="s">
        <v>1601</v>
      </c>
      <c r="C97" s="2" t="s">
        <v>1587</v>
      </c>
      <c r="D97" s="2" t="s">
        <v>1501</v>
      </c>
      <c r="E97" s="2" t="s">
        <v>1487</v>
      </c>
      <c r="F97" s="2" t="s">
        <v>1488</v>
      </c>
    </row>
    <row r="98" spans="1:6" x14ac:dyDescent="0.25">
      <c r="A98" s="2" t="s">
        <v>295</v>
      </c>
      <c r="B98" s="2" t="s">
        <v>1602</v>
      </c>
      <c r="C98" s="2" t="s">
        <v>1518</v>
      </c>
      <c r="D98" s="2" t="s">
        <v>1486</v>
      </c>
      <c r="E98" s="2" t="s">
        <v>1487</v>
      </c>
      <c r="F98" s="2" t="s">
        <v>1505</v>
      </c>
    </row>
    <row r="99" spans="1:6" x14ac:dyDescent="0.25">
      <c r="A99" s="2" t="s">
        <v>199</v>
      </c>
      <c r="B99" s="2" t="s">
        <v>1603</v>
      </c>
      <c r="C99" s="2" t="s">
        <v>1485</v>
      </c>
      <c r="D99" s="2" t="s">
        <v>1486</v>
      </c>
      <c r="E99" s="2" t="s">
        <v>1487</v>
      </c>
      <c r="F99" s="2" t="s">
        <v>1505</v>
      </c>
    </row>
    <row r="100" spans="1:6" x14ac:dyDescent="0.25">
      <c r="A100" s="2" t="s">
        <v>51</v>
      </c>
      <c r="B100" s="2" t="s">
        <v>1604</v>
      </c>
      <c r="C100" s="2" t="s">
        <v>1507</v>
      </c>
      <c r="D100" s="2" t="s">
        <v>1508</v>
      </c>
      <c r="E100" s="2" t="s">
        <v>1509</v>
      </c>
      <c r="F100" s="2" t="s">
        <v>1488</v>
      </c>
    </row>
    <row r="101" spans="1:6" x14ac:dyDescent="0.25">
      <c r="A101" s="2" t="s">
        <v>59</v>
      </c>
      <c r="B101" s="2" t="s">
        <v>1605</v>
      </c>
      <c r="C101" s="2" t="s">
        <v>1490</v>
      </c>
      <c r="D101" s="2" t="s">
        <v>1491</v>
      </c>
      <c r="E101" s="2" t="s">
        <v>1492</v>
      </c>
      <c r="F101" s="2" t="s">
        <v>1505</v>
      </c>
    </row>
    <row r="102" spans="1:6" x14ac:dyDescent="0.25">
      <c r="A102" s="2" t="s">
        <v>203</v>
      </c>
      <c r="B102" s="2" t="s">
        <v>1606</v>
      </c>
      <c r="C102" s="2" t="s">
        <v>1507</v>
      </c>
      <c r="D102" s="2" t="s">
        <v>1508</v>
      </c>
      <c r="E102" s="2" t="s">
        <v>1509</v>
      </c>
      <c r="F102" s="2" t="s">
        <v>1505</v>
      </c>
    </row>
    <row r="103" spans="1:6" x14ac:dyDescent="0.25">
      <c r="A103" s="2" t="s">
        <v>363</v>
      </c>
      <c r="B103" s="2" t="s">
        <v>1607</v>
      </c>
      <c r="C103" s="2" t="s">
        <v>1512</v>
      </c>
      <c r="D103" s="2" t="s">
        <v>1513</v>
      </c>
      <c r="E103" s="2" t="s">
        <v>1509</v>
      </c>
      <c r="F103" s="2" t="s">
        <v>1505</v>
      </c>
    </row>
    <row r="104" spans="1:6" x14ac:dyDescent="0.25">
      <c r="A104" s="2" t="s">
        <v>104</v>
      </c>
      <c r="B104" s="2" t="s">
        <v>1589</v>
      </c>
      <c r="C104" s="2" t="s">
        <v>1490</v>
      </c>
      <c r="D104" s="2" t="s">
        <v>1491</v>
      </c>
      <c r="E104" s="2" t="s">
        <v>1492</v>
      </c>
      <c r="F104" s="2" t="s">
        <v>1505</v>
      </c>
    </row>
    <row r="105" spans="1:6" x14ac:dyDescent="0.25">
      <c r="A105" s="2" t="s">
        <v>256</v>
      </c>
      <c r="B105" s="2" t="s">
        <v>1608</v>
      </c>
      <c r="C105" s="2" t="s">
        <v>1485</v>
      </c>
      <c r="D105" s="2" t="s">
        <v>1486</v>
      </c>
      <c r="E105" s="2" t="s">
        <v>1487</v>
      </c>
      <c r="F105" s="2" t="s">
        <v>1488</v>
      </c>
    </row>
    <row r="106" spans="1:6" x14ac:dyDescent="0.25">
      <c r="A106" s="2" t="s">
        <v>278</v>
      </c>
      <c r="B106" s="2" t="s">
        <v>1561</v>
      </c>
      <c r="C106" s="2" t="s">
        <v>1557</v>
      </c>
      <c r="D106" s="2" t="s">
        <v>1558</v>
      </c>
      <c r="E106" s="2" t="s">
        <v>1548</v>
      </c>
      <c r="F106" s="2" t="s">
        <v>1505</v>
      </c>
    </row>
    <row r="107" spans="1:6" x14ac:dyDescent="0.25">
      <c r="A107" s="2" t="s">
        <v>76</v>
      </c>
      <c r="B107" s="2" t="s">
        <v>1609</v>
      </c>
      <c r="C107" s="2" t="s">
        <v>1575</v>
      </c>
      <c r="D107" s="2" t="s">
        <v>1576</v>
      </c>
      <c r="E107" s="2" t="s">
        <v>1548</v>
      </c>
      <c r="F107" s="2" t="s">
        <v>1505</v>
      </c>
    </row>
    <row r="108" spans="1:6" x14ac:dyDescent="0.25">
      <c r="A108" s="2" t="s">
        <v>1135</v>
      </c>
      <c r="B108" s="2" t="s">
        <v>1554</v>
      </c>
      <c r="C108" s="2" t="s">
        <v>1490</v>
      </c>
      <c r="D108" s="2" t="s">
        <v>1491</v>
      </c>
      <c r="E108" s="2" t="s">
        <v>1492</v>
      </c>
      <c r="F108" s="2" t="s">
        <v>1505</v>
      </c>
    </row>
    <row r="109" spans="1:6" x14ac:dyDescent="0.25">
      <c r="A109" s="2" t="s">
        <v>402</v>
      </c>
      <c r="B109" s="2" t="s">
        <v>1506</v>
      </c>
      <c r="C109" s="2" t="s">
        <v>1520</v>
      </c>
      <c r="D109" s="2" t="s">
        <v>1521</v>
      </c>
      <c r="E109" s="2" t="s">
        <v>1509</v>
      </c>
      <c r="F109" s="2" t="s">
        <v>1551</v>
      </c>
    </row>
    <row r="110" spans="1:6" x14ac:dyDescent="0.25">
      <c r="A110" s="2" t="s">
        <v>322</v>
      </c>
      <c r="B110" s="2" t="s">
        <v>1610</v>
      </c>
      <c r="C110" s="2" t="s">
        <v>1504</v>
      </c>
      <c r="D110" s="2" t="s">
        <v>1504</v>
      </c>
      <c r="E110" s="2" t="s">
        <v>1492</v>
      </c>
      <c r="F110" s="2" t="s">
        <v>1488</v>
      </c>
    </row>
    <row r="111" spans="1:6" x14ac:dyDescent="0.25">
      <c r="A111" s="2" t="s">
        <v>639</v>
      </c>
      <c r="B111" s="2" t="s">
        <v>1579</v>
      </c>
      <c r="C111" s="2" t="s">
        <v>1494</v>
      </c>
      <c r="D111" s="2" t="s">
        <v>1495</v>
      </c>
      <c r="E111" s="2" t="s">
        <v>1496</v>
      </c>
      <c r="F111" s="2" t="s">
        <v>1488</v>
      </c>
    </row>
    <row r="112" spans="1:6" x14ac:dyDescent="0.25">
      <c r="A112" s="2" t="s">
        <v>301</v>
      </c>
      <c r="B112" s="2" t="s">
        <v>1611</v>
      </c>
      <c r="C112" s="2" t="s">
        <v>1504</v>
      </c>
      <c r="D112" s="2" t="s">
        <v>1504</v>
      </c>
      <c r="E112" s="2" t="s">
        <v>1492</v>
      </c>
      <c r="F112" s="2" t="s">
        <v>1551</v>
      </c>
    </row>
    <row r="113" spans="1:6" x14ac:dyDescent="0.25">
      <c r="A113" s="2" t="s">
        <v>391</v>
      </c>
      <c r="B113" s="2" t="s">
        <v>1612</v>
      </c>
      <c r="C113" s="2" t="s">
        <v>1504</v>
      </c>
      <c r="D113" s="2" t="s">
        <v>1504</v>
      </c>
      <c r="E113" s="2" t="s">
        <v>1492</v>
      </c>
      <c r="F113" s="2" t="s">
        <v>1505</v>
      </c>
    </row>
    <row r="114" spans="1:6" x14ac:dyDescent="0.25">
      <c r="A114" s="2" t="s">
        <v>142</v>
      </c>
      <c r="B114" s="2" t="s">
        <v>1613</v>
      </c>
      <c r="C114" s="2" t="s">
        <v>1515</v>
      </c>
      <c r="D114" s="2" t="s">
        <v>1516</v>
      </c>
      <c r="E114" s="2" t="s">
        <v>1509</v>
      </c>
      <c r="F114" s="2" t="s">
        <v>1505</v>
      </c>
    </row>
    <row r="115" spans="1:6" x14ac:dyDescent="0.25">
      <c r="A115" s="2" t="s">
        <v>366</v>
      </c>
      <c r="B115" s="2" t="s">
        <v>1614</v>
      </c>
      <c r="C115" s="2" t="s">
        <v>1546</v>
      </c>
      <c r="D115" s="2" t="s">
        <v>1547</v>
      </c>
      <c r="E115" s="2" t="s">
        <v>1548</v>
      </c>
      <c r="F115" s="2" t="s">
        <v>1551</v>
      </c>
    </row>
    <row r="116" spans="1:6" x14ac:dyDescent="0.25">
      <c r="A116" s="2" t="s">
        <v>615</v>
      </c>
      <c r="B116" s="2" t="s">
        <v>1615</v>
      </c>
      <c r="C116" s="2" t="s">
        <v>1559</v>
      </c>
      <c r="D116" s="2" t="s">
        <v>1559</v>
      </c>
      <c r="E116" s="2" t="s">
        <v>1492</v>
      </c>
      <c r="F116" s="2" t="s">
        <v>1505</v>
      </c>
    </row>
    <row r="117" spans="1:6" x14ac:dyDescent="0.25">
      <c r="A117" s="2" t="s">
        <v>719</v>
      </c>
      <c r="B117" s="2" t="s">
        <v>1580</v>
      </c>
      <c r="C117" s="2" t="s">
        <v>1498</v>
      </c>
      <c r="D117" s="2" t="s">
        <v>1486</v>
      </c>
      <c r="E117" s="2" t="s">
        <v>1487</v>
      </c>
      <c r="F117" s="2" t="s">
        <v>1505</v>
      </c>
    </row>
    <row r="118" spans="1:6" x14ac:dyDescent="0.25">
      <c r="A118" s="2" t="s">
        <v>100</v>
      </c>
      <c r="B118" s="2" t="s">
        <v>1567</v>
      </c>
      <c r="C118" s="2" t="s">
        <v>1559</v>
      </c>
      <c r="D118" s="2" t="s">
        <v>1559</v>
      </c>
      <c r="E118" s="2" t="s">
        <v>1492</v>
      </c>
      <c r="F118" s="2" t="s">
        <v>1488</v>
      </c>
    </row>
    <row r="119" spans="1:6" x14ac:dyDescent="0.25">
      <c r="A119" s="2" t="s">
        <v>413</v>
      </c>
      <c r="B119" s="2" t="s">
        <v>1552</v>
      </c>
      <c r="C119" s="2" t="s">
        <v>1512</v>
      </c>
      <c r="D119" s="2" t="s">
        <v>1513</v>
      </c>
      <c r="E119" s="2" t="s">
        <v>1509</v>
      </c>
      <c r="F119" s="2" t="s">
        <v>1505</v>
      </c>
    </row>
    <row r="120" spans="1:6" x14ac:dyDescent="0.25">
      <c r="A120" s="2" t="s">
        <v>205</v>
      </c>
      <c r="B120" s="2" t="s">
        <v>1616</v>
      </c>
      <c r="C120" s="2" t="s">
        <v>1485</v>
      </c>
      <c r="D120" s="2" t="s">
        <v>1486</v>
      </c>
      <c r="E120" s="2" t="s">
        <v>1487</v>
      </c>
      <c r="F120" s="2" t="s">
        <v>1488</v>
      </c>
    </row>
    <row r="121" spans="1:6" x14ac:dyDescent="0.25">
      <c r="A121" s="2" t="s">
        <v>78</v>
      </c>
      <c r="B121" s="2" t="s">
        <v>1613</v>
      </c>
      <c r="C121" s="2" t="s">
        <v>1507</v>
      </c>
      <c r="D121" s="2" t="s">
        <v>1508</v>
      </c>
      <c r="E121" s="2" t="s">
        <v>1509</v>
      </c>
      <c r="F121" s="2" t="s">
        <v>1505</v>
      </c>
    </row>
    <row r="122" spans="1:6" x14ac:dyDescent="0.25">
      <c r="A122" s="2" t="s">
        <v>197</v>
      </c>
      <c r="B122" s="2" t="s">
        <v>1617</v>
      </c>
      <c r="C122" s="2" t="s">
        <v>1494</v>
      </c>
      <c r="D122" s="2" t="s">
        <v>1495</v>
      </c>
      <c r="E122" s="2" t="s">
        <v>1496</v>
      </c>
      <c r="F122" s="2" t="s">
        <v>1488</v>
      </c>
    </row>
    <row r="123" spans="1:6" x14ac:dyDescent="0.25">
      <c r="A123" s="2" t="s">
        <v>137</v>
      </c>
      <c r="B123" s="2" t="s">
        <v>1611</v>
      </c>
      <c r="C123" s="2" t="s">
        <v>1520</v>
      </c>
      <c r="D123" s="2" t="s">
        <v>1521</v>
      </c>
      <c r="E123" s="2" t="s">
        <v>1509</v>
      </c>
      <c r="F123" s="2" t="s">
        <v>1505</v>
      </c>
    </row>
    <row r="124" spans="1:6" x14ac:dyDescent="0.25">
      <c r="A124" s="2" t="s">
        <v>368</v>
      </c>
      <c r="B124" s="2" t="s">
        <v>1618</v>
      </c>
      <c r="C124" s="2" t="s">
        <v>1520</v>
      </c>
      <c r="D124" s="2" t="s">
        <v>1521</v>
      </c>
      <c r="E124" s="2" t="s">
        <v>1509</v>
      </c>
      <c r="F124" s="2" t="s">
        <v>1488</v>
      </c>
    </row>
    <row r="125" spans="1:6" x14ac:dyDescent="0.25">
      <c r="A125" s="2" t="s">
        <v>148</v>
      </c>
      <c r="B125" s="2" t="s">
        <v>1619</v>
      </c>
      <c r="C125" s="2" t="s">
        <v>1525</v>
      </c>
      <c r="D125" s="2" t="s">
        <v>1526</v>
      </c>
      <c r="E125" s="2" t="s">
        <v>1492</v>
      </c>
      <c r="F125" s="2" t="s">
        <v>1505</v>
      </c>
    </row>
    <row r="126" spans="1:6" x14ac:dyDescent="0.25">
      <c r="A126" s="2" t="s">
        <v>437</v>
      </c>
      <c r="B126" s="2" t="s">
        <v>1620</v>
      </c>
      <c r="C126" s="2" t="s">
        <v>1500</v>
      </c>
      <c r="D126" s="2" t="s">
        <v>1501</v>
      </c>
      <c r="E126" s="2" t="s">
        <v>1496</v>
      </c>
      <c r="F126" s="2" t="s">
        <v>1488</v>
      </c>
    </row>
    <row r="127" spans="1:6" x14ac:dyDescent="0.25">
      <c r="A127" s="2" t="s">
        <v>269</v>
      </c>
      <c r="B127" s="2" t="s">
        <v>1596</v>
      </c>
      <c r="C127" s="2" t="s">
        <v>1559</v>
      </c>
      <c r="D127" s="2" t="s">
        <v>1559</v>
      </c>
      <c r="E127" s="2" t="s">
        <v>1492</v>
      </c>
      <c r="F127" s="2" t="s">
        <v>1505</v>
      </c>
    </row>
    <row r="128" spans="1:6" x14ac:dyDescent="0.25">
      <c r="A128" s="2" t="s">
        <v>72</v>
      </c>
      <c r="B128" s="2" t="s">
        <v>1621</v>
      </c>
      <c r="C128" s="2" t="s">
        <v>1539</v>
      </c>
      <c r="D128" s="2" t="s">
        <v>1501</v>
      </c>
      <c r="E128" s="2" t="s">
        <v>1487</v>
      </c>
      <c r="F128" s="2" t="s">
        <v>1488</v>
      </c>
    </row>
    <row r="129" spans="1:6" x14ac:dyDescent="0.25">
      <c r="A129" s="2" t="s">
        <v>460</v>
      </c>
      <c r="B129" s="2" t="s">
        <v>1622</v>
      </c>
      <c r="C129" s="2" t="s">
        <v>1500</v>
      </c>
      <c r="D129" s="2" t="s">
        <v>1501</v>
      </c>
      <c r="E129" s="2" t="s">
        <v>1496</v>
      </c>
      <c r="F129" s="2" t="s">
        <v>1505</v>
      </c>
    </row>
    <row r="130" spans="1:6" x14ac:dyDescent="0.25">
      <c r="A130" s="2" t="s">
        <v>212</v>
      </c>
      <c r="B130" s="2" t="s">
        <v>1623</v>
      </c>
      <c r="C130" s="2" t="s">
        <v>1490</v>
      </c>
      <c r="D130" s="2" t="s">
        <v>1491</v>
      </c>
      <c r="E130" s="2" t="s">
        <v>1492</v>
      </c>
      <c r="F130" s="2" t="s">
        <v>1505</v>
      </c>
    </row>
    <row r="131" spans="1:6" x14ac:dyDescent="0.25">
      <c r="A131" s="2" t="s">
        <v>297</v>
      </c>
      <c r="B131" s="2" t="s">
        <v>1624</v>
      </c>
      <c r="C131" s="2" t="s">
        <v>1587</v>
      </c>
      <c r="D131" s="2" t="s">
        <v>1501</v>
      </c>
      <c r="E131" s="2" t="s">
        <v>1487</v>
      </c>
      <c r="F131" s="2" t="s">
        <v>1488</v>
      </c>
    </row>
    <row r="132" spans="1:6" x14ac:dyDescent="0.25">
      <c r="A132" s="2" t="s">
        <v>598</v>
      </c>
      <c r="B132" s="2" t="s">
        <v>1625</v>
      </c>
      <c r="C132" s="2" t="s">
        <v>1557</v>
      </c>
      <c r="D132" s="2" t="s">
        <v>1558</v>
      </c>
      <c r="E132" s="2" t="s">
        <v>1548</v>
      </c>
      <c r="F132" s="2" t="s">
        <v>1505</v>
      </c>
    </row>
    <row r="133" spans="1:6" x14ac:dyDescent="0.25">
      <c r="A133" s="2" t="s">
        <v>350</v>
      </c>
      <c r="B133" s="2" t="s">
        <v>1536</v>
      </c>
      <c r="C133" s="2" t="s">
        <v>1575</v>
      </c>
      <c r="D133" s="2" t="s">
        <v>1576</v>
      </c>
      <c r="E133" s="2" t="s">
        <v>1548</v>
      </c>
      <c r="F133" s="2" t="s">
        <v>1505</v>
      </c>
    </row>
    <row r="134" spans="1:6" x14ac:dyDescent="0.25">
      <c r="A134" s="2" t="s">
        <v>86</v>
      </c>
      <c r="B134" s="2" t="s">
        <v>1626</v>
      </c>
      <c r="C134" s="2" t="s">
        <v>1559</v>
      </c>
      <c r="D134" s="2" t="s">
        <v>1559</v>
      </c>
      <c r="E134" s="2" t="s">
        <v>1492</v>
      </c>
      <c r="F134" s="2" t="s">
        <v>1488</v>
      </c>
    </row>
    <row r="135" spans="1:6" x14ac:dyDescent="0.25">
      <c r="A135" s="2" t="s">
        <v>577</v>
      </c>
      <c r="B135" s="2" t="s">
        <v>1627</v>
      </c>
      <c r="C135" s="2" t="s">
        <v>1587</v>
      </c>
      <c r="D135" s="2" t="s">
        <v>1501</v>
      </c>
      <c r="E135" s="2" t="s">
        <v>1487</v>
      </c>
      <c r="F135" s="2" t="s">
        <v>1505</v>
      </c>
    </row>
    <row r="136" spans="1:6" x14ac:dyDescent="0.25">
      <c r="A136" s="2" t="s">
        <v>448</v>
      </c>
      <c r="B136" s="2" t="s">
        <v>1502</v>
      </c>
      <c r="C136" s="2" t="s">
        <v>1485</v>
      </c>
      <c r="D136" s="2" t="s">
        <v>1486</v>
      </c>
      <c r="E136" s="2" t="s">
        <v>1487</v>
      </c>
      <c r="F136" s="2" t="s">
        <v>1488</v>
      </c>
    </row>
    <row r="137" spans="1:6" x14ac:dyDescent="0.25">
      <c r="A137" s="2" t="s">
        <v>188</v>
      </c>
      <c r="B137" s="2" t="s">
        <v>1628</v>
      </c>
      <c r="C137" s="2" t="s">
        <v>1546</v>
      </c>
      <c r="D137" s="2" t="s">
        <v>1547</v>
      </c>
      <c r="E137" s="2" t="s">
        <v>1548</v>
      </c>
      <c r="F137" s="2" t="s">
        <v>1505</v>
      </c>
    </row>
    <row r="138" spans="1:6" x14ac:dyDescent="0.25">
      <c r="A138" s="2" t="s">
        <v>533</v>
      </c>
      <c r="B138" s="2" t="s">
        <v>1534</v>
      </c>
      <c r="C138" s="2" t="s">
        <v>1485</v>
      </c>
      <c r="D138" s="2" t="s">
        <v>1486</v>
      </c>
      <c r="E138" s="2" t="s">
        <v>1487</v>
      </c>
      <c r="F138" s="2" t="s">
        <v>1505</v>
      </c>
    </row>
    <row r="139" spans="1:6" x14ac:dyDescent="0.25">
      <c r="A139" s="2" t="s">
        <v>115</v>
      </c>
      <c r="B139" s="2" t="s">
        <v>1629</v>
      </c>
      <c r="C139" s="2" t="s">
        <v>1546</v>
      </c>
      <c r="D139" s="2" t="s">
        <v>1547</v>
      </c>
      <c r="E139" s="2" t="s">
        <v>1548</v>
      </c>
      <c r="F139" s="2" t="s">
        <v>1488</v>
      </c>
    </row>
    <row r="140" spans="1:6" x14ac:dyDescent="0.25">
      <c r="A140" s="2" t="s">
        <v>591</v>
      </c>
      <c r="B140" s="2" t="s">
        <v>1625</v>
      </c>
      <c r="C140" s="2" t="s">
        <v>1575</v>
      </c>
      <c r="D140" s="2" t="s">
        <v>1576</v>
      </c>
      <c r="E140" s="2" t="s">
        <v>1548</v>
      </c>
      <c r="F140" s="2" t="s">
        <v>1505</v>
      </c>
    </row>
    <row r="141" spans="1:6" x14ac:dyDescent="0.25">
      <c r="A141" s="2" t="s">
        <v>383</v>
      </c>
      <c r="B141" s="2" t="s">
        <v>1630</v>
      </c>
      <c r="C141" s="2" t="s">
        <v>1546</v>
      </c>
      <c r="D141" s="2" t="s">
        <v>1547</v>
      </c>
      <c r="E141" s="2" t="s">
        <v>1548</v>
      </c>
      <c r="F141" s="2" t="s">
        <v>1551</v>
      </c>
    </row>
    <row r="142" spans="1:6" x14ac:dyDescent="0.25">
      <c r="A142" s="2" t="s">
        <v>331</v>
      </c>
      <c r="B142" s="2" t="s">
        <v>1631</v>
      </c>
      <c r="C142" s="2" t="s">
        <v>1575</v>
      </c>
      <c r="D142" s="2" t="s">
        <v>1576</v>
      </c>
      <c r="E142" s="2" t="s">
        <v>1548</v>
      </c>
      <c r="F142" s="2" t="s">
        <v>1551</v>
      </c>
    </row>
    <row r="143" spans="1:6" x14ac:dyDescent="0.25">
      <c r="A143" s="2" t="s">
        <v>629</v>
      </c>
      <c r="B143" s="2" t="s">
        <v>1542</v>
      </c>
      <c r="C143" s="2" t="s">
        <v>1575</v>
      </c>
      <c r="D143" s="2" t="s">
        <v>1576</v>
      </c>
      <c r="E143" s="2" t="s">
        <v>1548</v>
      </c>
      <c r="F143" s="2" t="s">
        <v>1488</v>
      </c>
    </row>
    <row r="144" spans="1:6" x14ac:dyDescent="0.25">
      <c r="A144" s="2" t="s">
        <v>425</v>
      </c>
      <c r="B144" s="2" t="s">
        <v>1596</v>
      </c>
      <c r="C144" s="2" t="s">
        <v>1504</v>
      </c>
      <c r="D144" s="2" t="s">
        <v>1504</v>
      </c>
      <c r="E144" s="2" t="s">
        <v>1492</v>
      </c>
      <c r="F144" s="2" t="s">
        <v>1505</v>
      </c>
    </row>
    <row r="145" spans="1:6" x14ac:dyDescent="0.25">
      <c r="A145" s="2" t="s">
        <v>752</v>
      </c>
      <c r="B145" s="2" t="s">
        <v>1632</v>
      </c>
      <c r="C145" s="2" t="s">
        <v>1504</v>
      </c>
      <c r="D145" s="2" t="s">
        <v>1504</v>
      </c>
      <c r="E145" s="2" t="s">
        <v>1492</v>
      </c>
      <c r="F145" s="2" t="s">
        <v>1505</v>
      </c>
    </row>
    <row r="146" spans="1:6" x14ac:dyDescent="0.25">
      <c r="A146" s="2" t="s">
        <v>291</v>
      </c>
      <c r="B146" s="2" t="s">
        <v>1633</v>
      </c>
      <c r="C146" s="2" t="s">
        <v>1490</v>
      </c>
      <c r="D146" s="2" t="s">
        <v>1491</v>
      </c>
      <c r="E146" s="2" t="s">
        <v>1492</v>
      </c>
      <c r="F146" s="2" t="s">
        <v>1488</v>
      </c>
    </row>
    <row r="147" spans="1:6" x14ac:dyDescent="0.25">
      <c r="A147" s="2" t="s">
        <v>176</v>
      </c>
      <c r="B147" s="2" t="s">
        <v>1634</v>
      </c>
      <c r="C147" s="2" t="s">
        <v>1494</v>
      </c>
      <c r="D147" s="2" t="s">
        <v>1495</v>
      </c>
      <c r="E147" s="2" t="s">
        <v>1496</v>
      </c>
      <c r="F147" s="2" t="s">
        <v>1488</v>
      </c>
    </row>
    <row r="148" spans="1:6" x14ac:dyDescent="0.25">
      <c r="A148" s="2" t="s">
        <v>154</v>
      </c>
      <c r="B148" s="2" t="s">
        <v>1489</v>
      </c>
      <c r="C148" s="2" t="s">
        <v>1520</v>
      </c>
      <c r="D148" s="2" t="s">
        <v>1521</v>
      </c>
      <c r="E148" s="2" t="s">
        <v>1509</v>
      </c>
      <c r="F148" s="2" t="s">
        <v>1488</v>
      </c>
    </row>
    <row r="149" spans="1:6" x14ac:dyDescent="0.25">
      <c r="A149" s="2" t="s">
        <v>443</v>
      </c>
      <c r="B149" s="2" t="s">
        <v>1635</v>
      </c>
      <c r="C149" s="2" t="s">
        <v>1507</v>
      </c>
      <c r="D149" s="2" t="s">
        <v>1508</v>
      </c>
      <c r="E149" s="2" t="s">
        <v>1509</v>
      </c>
      <c r="F149" s="2" t="s">
        <v>1488</v>
      </c>
    </row>
    <row r="150" spans="1:6" x14ac:dyDescent="0.25">
      <c r="A150" s="2" t="s">
        <v>90</v>
      </c>
      <c r="B150" s="2" t="s">
        <v>1636</v>
      </c>
      <c r="C150" s="2" t="s">
        <v>1507</v>
      </c>
      <c r="D150" s="2" t="s">
        <v>1508</v>
      </c>
      <c r="E150" s="2" t="s">
        <v>1509</v>
      </c>
      <c r="F150" s="2" t="s">
        <v>1505</v>
      </c>
    </row>
    <row r="151" spans="1:6" x14ac:dyDescent="0.25">
      <c r="A151" s="2" t="s">
        <v>134</v>
      </c>
      <c r="B151" s="2" t="s">
        <v>1637</v>
      </c>
      <c r="C151" s="2" t="s">
        <v>1520</v>
      </c>
      <c r="D151" s="2" t="s">
        <v>1521</v>
      </c>
      <c r="E151" s="2" t="s">
        <v>1509</v>
      </c>
      <c r="F151" s="2" t="s">
        <v>1488</v>
      </c>
    </row>
    <row r="152" spans="1:6" x14ac:dyDescent="0.25">
      <c r="A152" s="2" t="s">
        <v>428</v>
      </c>
      <c r="B152" s="2" t="s">
        <v>1626</v>
      </c>
      <c r="C152" s="2" t="s">
        <v>1533</v>
      </c>
      <c r="D152" s="2" t="s">
        <v>1495</v>
      </c>
      <c r="E152" s="2" t="s">
        <v>1496</v>
      </c>
      <c r="F152" s="2" t="s">
        <v>1488</v>
      </c>
    </row>
    <row r="153" spans="1:6" x14ac:dyDescent="0.25">
      <c r="A153" s="2" t="s">
        <v>415</v>
      </c>
      <c r="B153" s="2" t="s">
        <v>1638</v>
      </c>
      <c r="C153" s="2" t="s">
        <v>1515</v>
      </c>
      <c r="D153" s="2" t="s">
        <v>1516</v>
      </c>
      <c r="E153" s="2" t="s">
        <v>1509</v>
      </c>
      <c r="F153" s="2" t="s">
        <v>1488</v>
      </c>
    </row>
    <row r="154" spans="1:6" x14ac:dyDescent="0.25">
      <c r="A154" s="2" t="s">
        <v>287</v>
      </c>
      <c r="B154" s="2" t="s">
        <v>1591</v>
      </c>
      <c r="C154" s="2" t="s">
        <v>1507</v>
      </c>
      <c r="D154" s="2" t="s">
        <v>1508</v>
      </c>
      <c r="E154" s="2" t="s">
        <v>1509</v>
      </c>
      <c r="F154" s="2" t="s">
        <v>1505</v>
      </c>
    </row>
    <row r="155" spans="1:6" x14ac:dyDescent="0.25">
      <c r="A155" s="2" t="s">
        <v>214</v>
      </c>
      <c r="B155" s="2" t="s">
        <v>1639</v>
      </c>
      <c r="C155" s="2" t="s">
        <v>1500</v>
      </c>
      <c r="D155" s="2" t="s">
        <v>1501</v>
      </c>
      <c r="E155" s="2" t="s">
        <v>1496</v>
      </c>
      <c r="F155" s="2" t="s">
        <v>1488</v>
      </c>
    </row>
    <row r="156" spans="1:6" x14ac:dyDescent="0.25">
      <c r="A156" s="2" t="s">
        <v>656</v>
      </c>
      <c r="B156" s="2" t="s">
        <v>1640</v>
      </c>
      <c r="C156" s="2" t="s">
        <v>1507</v>
      </c>
      <c r="D156" s="2" t="s">
        <v>1508</v>
      </c>
      <c r="E156" s="2" t="s">
        <v>1509</v>
      </c>
      <c r="F156" s="2" t="s">
        <v>1488</v>
      </c>
    </row>
    <row r="157" spans="1:6" x14ac:dyDescent="0.25">
      <c r="A157" s="2" t="s">
        <v>129</v>
      </c>
      <c r="B157" s="2" t="s">
        <v>1641</v>
      </c>
      <c r="C157" s="2" t="s">
        <v>1520</v>
      </c>
      <c r="D157" s="2" t="s">
        <v>1521</v>
      </c>
      <c r="E157" s="2" t="s">
        <v>1509</v>
      </c>
      <c r="F157" s="2" t="s">
        <v>1488</v>
      </c>
    </row>
    <row r="158" spans="1:6" x14ac:dyDescent="0.25">
      <c r="A158" s="2" t="s">
        <v>62</v>
      </c>
      <c r="B158" s="2" t="s">
        <v>1642</v>
      </c>
      <c r="C158" s="2" t="s">
        <v>1587</v>
      </c>
      <c r="D158" s="2" t="s">
        <v>1501</v>
      </c>
      <c r="E158" s="2" t="s">
        <v>1487</v>
      </c>
      <c r="F158" s="2" t="s">
        <v>1488</v>
      </c>
    </row>
    <row r="159" spans="1:6" x14ac:dyDescent="0.25">
      <c r="A159" s="2" t="s">
        <v>40</v>
      </c>
      <c r="B159" s="2" t="s">
        <v>1643</v>
      </c>
      <c r="C159" s="2" t="s">
        <v>1520</v>
      </c>
      <c r="D159" s="2" t="s">
        <v>1521</v>
      </c>
      <c r="E159" s="2" t="s">
        <v>1509</v>
      </c>
      <c r="F159" s="2" t="s">
        <v>1505</v>
      </c>
    </row>
    <row r="160" spans="1:6" x14ac:dyDescent="0.25">
      <c r="A160" s="2" t="s">
        <v>285</v>
      </c>
      <c r="B160" s="2" t="s">
        <v>1644</v>
      </c>
      <c r="C160" s="2" t="s">
        <v>1523</v>
      </c>
      <c r="D160" s="2" t="s">
        <v>1486</v>
      </c>
      <c r="E160" s="2" t="s">
        <v>1487</v>
      </c>
      <c r="F160" s="2" t="s">
        <v>1551</v>
      </c>
    </row>
    <row r="161" spans="1:6" x14ac:dyDescent="0.25">
      <c r="A161" s="2" t="s">
        <v>896</v>
      </c>
      <c r="B161" s="2" t="s">
        <v>1601</v>
      </c>
      <c r="C161" s="2" t="s">
        <v>1539</v>
      </c>
      <c r="D161" s="2" t="s">
        <v>1501</v>
      </c>
      <c r="E161" s="2" t="s">
        <v>1487</v>
      </c>
      <c r="F161" s="2" t="s">
        <v>1488</v>
      </c>
    </row>
    <row r="162" spans="1:6" x14ac:dyDescent="0.25">
      <c r="A162" s="2" t="s">
        <v>358</v>
      </c>
      <c r="B162" s="2" t="s">
        <v>1645</v>
      </c>
      <c r="C162" s="2" t="s">
        <v>1559</v>
      </c>
      <c r="D162" s="2" t="s">
        <v>1559</v>
      </c>
      <c r="E162" s="2" t="s">
        <v>1492</v>
      </c>
      <c r="F162" s="2" t="s">
        <v>1488</v>
      </c>
    </row>
    <row r="163" spans="1:6" x14ac:dyDescent="0.25">
      <c r="A163" s="2" t="s">
        <v>956</v>
      </c>
      <c r="B163" s="2" t="s">
        <v>1542</v>
      </c>
      <c r="C163" s="2" t="s">
        <v>1520</v>
      </c>
      <c r="D163" s="2" t="s">
        <v>1521</v>
      </c>
      <c r="E163" s="2" t="s">
        <v>1509</v>
      </c>
      <c r="F163" s="2" t="s">
        <v>1551</v>
      </c>
    </row>
    <row r="164" spans="1:6" x14ac:dyDescent="0.25">
      <c r="A164" s="2" t="s">
        <v>462</v>
      </c>
      <c r="B164" s="2" t="s">
        <v>1646</v>
      </c>
      <c r="C164" s="2" t="s">
        <v>1507</v>
      </c>
      <c r="D164" s="2" t="s">
        <v>1508</v>
      </c>
      <c r="E164" s="2" t="s">
        <v>1509</v>
      </c>
      <c r="F164" s="2" t="s">
        <v>1488</v>
      </c>
    </row>
    <row r="165" spans="1:6" x14ac:dyDescent="0.25">
      <c r="A165" s="2" t="s">
        <v>44</v>
      </c>
      <c r="B165" s="2" t="s">
        <v>1647</v>
      </c>
      <c r="C165" s="2" t="s">
        <v>1498</v>
      </c>
      <c r="D165" s="2" t="s">
        <v>1486</v>
      </c>
      <c r="E165" s="2" t="s">
        <v>1487</v>
      </c>
      <c r="F165" s="2" t="s">
        <v>1551</v>
      </c>
    </row>
    <row r="166" spans="1:6" x14ac:dyDescent="0.25">
      <c r="A166" s="2" t="s">
        <v>98</v>
      </c>
      <c r="B166" s="2" t="s">
        <v>1648</v>
      </c>
      <c r="C166" s="2" t="s">
        <v>1515</v>
      </c>
      <c r="D166" s="2" t="s">
        <v>1516</v>
      </c>
      <c r="E166" s="2" t="s">
        <v>1509</v>
      </c>
      <c r="F166" s="2" t="s">
        <v>1488</v>
      </c>
    </row>
    <row r="167" spans="1:6" x14ac:dyDescent="0.25">
      <c r="A167" s="2" t="s">
        <v>166</v>
      </c>
      <c r="B167" s="2" t="s">
        <v>1649</v>
      </c>
      <c r="C167" s="2" t="s">
        <v>1518</v>
      </c>
      <c r="D167" s="2" t="s">
        <v>1486</v>
      </c>
      <c r="E167" s="2" t="s">
        <v>1487</v>
      </c>
      <c r="F167" s="2" t="s">
        <v>1488</v>
      </c>
    </row>
    <row r="168" spans="1:6" x14ac:dyDescent="0.25">
      <c r="A168" s="2" t="s">
        <v>713</v>
      </c>
      <c r="B168" s="2" t="s">
        <v>1650</v>
      </c>
      <c r="C168" s="2" t="s">
        <v>1498</v>
      </c>
      <c r="D168" s="2" t="s">
        <v>1486</v>
      </c>
      <c r="E168" s="2" t="s">
        <v>1487</v>
      </c>
      <c r="F168" s="2" t="s">
        <v>1488</v>
      </c>
    </row>
    <row r="169" spans="1:6" x14ac:dyDescent="0.25">
      <c r="A169" s="2" t="s">
        <v>241</v>
      </c>
      <c r="B169" s="2" t="s">
        <v>1651</v>
      </c>
      <c r="C169" s="2" t="s">
        <v>1557</v>
      </c>
      <c r="D169" s="2" t="s">
        <v>1558</v>
      </c>
      <c r="E169" s="2" t="s">
        <v>1548</v>
      </c>
      <c r="F169" s="2" t="s">
        <v>1551</v>
      </c>
    </row>
    <row r="170" spans="1:6" x14ac:dyDescent="0.25">
      <c r="A170" s="2" t="s">
        <v>248</v>
      </c>
      <c r="B170" s="2" t="s">
        <v>1542</v>
      </c>
      <c r="C170" s="2" t="s">
        <v>1575</v>
      </c>
      <c r="D170" s="2" t="s">
        <v>1576</v>
      </c>
      <c r="E170" s="2" t="s">
        <v>1548</v>
      </c>
      <c r="F170" s="2" t="s">
        <v>1488</v>
      </c>
    </row>
    <row r="171" spans="1:6" x14ac:dyDescent="0.25">
      <c r="A171" s="2" t="s">
        <v>201</v>
      </c>
      <c r="B171" s="2" t="s">
        <v>1604</v>
      </c>
      <c r="C171" s="2" t="s">
        <v>1500</v>
      </c>
      <c r="D171" s="2" t="s">
        <v>1501</v>
      </c>
      <c r="E171" s="2" t="s">
        <v>1496</v>
      </c>
      <c r="F171" s="2" t="s">
        <v>1505</v>
      </c>
    </row>
    <row r="172" spans="1:6" x14ac:dyDescent="0.25">
      <c r="A172" s="2" t="s">
        <v>353</v>
      </c>
      <c r="B172" s="2" t="s">
        <v>1652</v>
      </c>
      <c r="C172" s="2" t="s">
        <v>1539</v>
      </c>
      <c r="D172" s="2" t="s">
        <v>1501</v>
      </c>
      <c r="E172" s="2" t="s">
        <v>1487</v>
      </c>
      <c r="F172" s="2" t="s">
        <v>1505</v>
      </c>
    </row>
    <row r="173" spans="1:6" x14ac:dyDescent="0.25">
      <c r="A173" s="2" t="s">
        <v>788</v>
      </c>
      <c r="B173" s="2" t="s">
        <v>1653</v>
      </c>
      <c r="C173" s="2" t="s">
        <v>1525</v>
      </c>
      <c r="D173" s="2" t="s">
        <v>1526</v>
      </c>
      <c r="E173" s="2" t="s">
        <v>1492</v>
      </c>
      <c r="F173" s="2" t="s">
        <v>1551</v>
      </c>
    </row>
    <row r="174" spans="1:6" x14ac:dyDescent="0.25">
      <c r="A174" s="2" t="s">
        <v>194</v>
      </c>
      <c r="B174" s="2" t="s">
        <v>1654</v>
      </c>
      <c r="C174" s="2" t="s">
        <v>1520</v>
      </c>
      <c r="D174" s="2" t="s">
        <v>1521</v>
      </c>
      <c r="E174" s="2" t="s">
        <v>1509</v>
      </c>
      <c r="F174" s="2" t="s">
        <v>1488</v>
      </c>
    </row>
    <row r="175" spans="1:6" x14ac:dyDescent="0.25">
      <c r="A175" s="2" t="s">
        <v>217</v>
      </c>
      <c r="B175" s="2" t="s">
        <v>1564</v>
      </c>
      <c r="C175" s="2" t="s">
        <v>1533</v>
      </c>
      <c r="D175" s="2" t="s">
        <v>1495</v>
      </c>
      <c r="E175" s="2" t="s">
        <v>1496</v>
      </c>
      <c r="F175" s="2" t="s">
        <v>1505</v>
      </c>
    </row>
    <row r="176" spans="1:6" x14ac:dyDescent="0.25">
      <c r="A176" s="2" t="s">
        <v>123</v>
      </c>
      <c r="B176" s="2" t="s">
        <v>1655</v>
      </c>
      <c r="C176" s="2" t="s">
        <v>1525</v>
      </c>
      <c r="D176" s="2" t="s">
        <v>1526</v>
      </c>
      <c r="E176" s="2" t="s">
        <v>1492</v>
      </c>
      <c r="F176" s="2" t="s">
        <v>1488</v>
      </c>
    </row>
    <row r="177" spans="1:6" x14ac:dyDescent="0.25">
      <c r="A177" s="2" t="s">
        <v>421</v>
      </c>
      <c r="B177" s="2" t="s">
        <v>1656</v>
      </c>
      <c r="C177" s="2" t="s">
        <v>1533</v>
      </c>
      <c r="D177" s="2" t="s">
        <v>1495</v>
      </c>
      <c r="E177" s="2" t="s">
        <v>1496</v>
      </c>
      <c r="F177" s="2" t="s">
        <v>1488</v>
      </c>
    </row>
    <row r="178" spans="1:6" x14ac:dyDescent="0.25">
      <c r="A178" s="2" t="s">
        <v>339</v>
      </c>
      <c r="B178" s="2" t="s">
        <v>1519</v>
      </c>
      <c r="C178" s="2" t="s">
        <v>1515</v>
      </c>
      <c r="D178" s="2" t="s">
        <v>1516</v>
      </c>
      <c r="E178" s="2" t="s">
        <v>1509</v>
      </c>
      <c r="F178" s="2" t="s">
        <v>1505</v>
      </c>
    </row>
    <row r="179" spans="1:6" x14ac:dyDescent="0.25">
      <c r="A179" s="2" t="s">
        <v>320</v>
      </c>
      <c r="B179" s="2" t="s">
        <v>1630</v>
      </c>
      <c r="C179" s="2" t="s">
        <v>1498</v>
      </c>
      <c r="D179" s="2" t="s">
        <v>1486</v>
      </c>
      <c r="E179" s="2" t="s">
        <v>1487</v>
      </c>
      <c r="F179" s="2" t="s">
        <v>1488</v>
      </c>
    </row>
    <row r="180" spans="1:6" x14ac:dyDescent="0.25">
      <c r="A180" s="2" t="s">
        <v>389</v>
      </c>
      <c r="B180" s="2" t="s">
        <v>1610</v>
      </c>
      <c r="C180" s="2" t="s">
        <v>1507</v>
      </c>
      <c r="D180" s="2" t="s">
        <v>1508</v>
      </c>
      <c r="E180" s="2" t="s">
        <v>1509</v>
      </c>
      <c r="F180" s="2" t="s">
        <v>1551</v>
      </c>
    </row>
    <row r="181" spans="1:6" x14ac:dyDescent="0.25">
      <c r="A181" s="2" t="s">
        <v>490</v>
      </c>
      <c r="B181" s="2" t="s">
        <v>1657</v>
      </c>
      <c r="C181" s="2" t="s">
        <v>1575</v>
      </c>
      <c r="D181" s="2" t="s">
        <v>1576</v>
      </c>
      <c r="E181" s="2" t="s">
        <v>1548</v>
      </c>
      <c r="F181" s="2" t="s">
        <v>1488</v>
      </c>
    </row>
    <row r="182" spans="1:6" x14ac:dyDescent="0.25">
      <c r="A182" s="2" t="s">
        <v>231</v>
      </c>
      <c r="B182" s="2" t="s">
        <v>1658</v>
      </c>
      <c r="C182" s="2" t="s">
        <v>1546</v>
      </c>
      <c r="D182" s="2" t="s">
        <v>1547</v>
      </c>
      <c r="E182" s="2" t="s">
        <v>1548</v>
      </c>
      <c r="F182" s="2" t="s">
        <v>1505</v>
      </c>
    </row>
    <row r="183" spans="1:6" x14ac:dyDescent="0.25">
      <c r="A183" s="2" t="s">
        <v>132</v>
      </c>
      <c r="B183" s="2" t="s">
        <v>1659</v>
      </c>
      <c r="C183" s="2" t="s">
        <v>1494</v>
      </c>
      <c r="D183" s="2" t="s">
        <v>1495</v>
      </c>
      <c r="E183" s="2" t="s">
        <v>1496</v>
      </c>
      <c r="F183" s="2" t="s">
        <v>1488</v>
      </c>
    </row>
    <row r="184" spans="1:6" x14ac:dyDescent="0.25">
      <c r="A184" s="2" t="s">
        <v>347</v>
      </c>
      <c r="B184" s="2" t="s">
        <v>1633</v>
      </c>
      <c r="C184" s="2" t="s">
        <v>1533</v>
      </c>
      <c r="D184" s="2" t="s">
        <v>1495</v>
      </c>
      <c r="E184" s="2" t="s">
        <v>1496</v>
      </c>
      <c r="F184" s="2" t="s">
        <v>1551</v>
      </c>
    </row>
    <row r="185" spans="1:6" x14ac:dyDescent="0.25">
      <c r="A185" s="2" t="s">
        <v>36</v>
      </c>
      <c r="B185" s="2" t="s">
        <v>1660</v>
      </c>
      <c r="C185" s="2" t="s">
        <v>1523</v>
      </c>
      <c r="D185" s="2" t="s">
        <v>1486</v>
      </c>
      <c r="E185" s="2" t="s">
        <v>1487</v>
      </c>
      <c r="F185" s="2" t="s">
        <v>1488</v>
      </c>
    </row>
    <row r="186" spans="1:6" x14ac:dyDescent="0.25">
      <c r="A186" s="2" t="s">
        <v>108</v>
      </c>
      <c r="B186" s="2" t="s">
        <v>1643</v>
      </c>
      <c r="C186" s="2" t="s">
        <v>1575</v>
      </c>
      <c r="D186" s="2" t="s">
        <v>1576</v>
      </c>
      <c r="E186" s="2" t="s">
        <v>1548</v>
      </c>
      <c r="F186" s="2" t="s">
        <v>1505</v>
      </c>
    </row>
    <row r="187" spans="1:6" x14ac:dyDescent="0.25">
      <c r="A187" s="2" t="s">
        <v>520</v>
      </c>
      <c r="B187" s="2" t="s">
        <v>1588</v>
      </c>
      <c r="C187" s="2" t="s">
        <v>1512</v>
      </c>
      <c r="D187" s="2" t="s">
        <v>1513</v>
      </c>
      <c r="E187" s="2" t="s">
        <v>1509</v>
      </c>
      <c r="F187" s="2" t="s">
        <v>1551</v>
      </c>
    </row>
    <row r="188" spans="1:6" x14ac:dyDescent="0.25">
      <c r="A188" s="2" t="s">
        <v>28</v>
      </c>
      <c r="B188" s="2" t="s">
        <v>1661</v>
      </c>
      <c r="C188" s="2" t="s">
        <v>1539</v>
      </c>
      <c r="D188" s="2" t="s">
        <v>1501</v>
      </c>
      <c r="E188" s="2" t="s">
        <v>1487</v>
      </c>
      <c r="F188" s="2" t="s">
        <v>1488</v>
      </c>
    </row>
    <row r="189" spans="1:6" x14ac:dyDescent="0.25">
      <c r="A189" s="2" t="s">
        <v>453</v>
      </c>
      <c r="B189" s="2" t="s">
        <v>1506</v>
      </c>
      <c r="C189" s="2" t="s">
        <v>1504</v>
      </c>
      <c r="D189" s="2" t="s">
        <v>1504</v>
      </c>
      <c r="E189" s="2" t="s">
        <v>1492</v>
      </c>
      <c r="F189" s="2" t="s">
        <v>1551</v>
      </c>
    </row>
    <row r="190" spans="1:6" x14ac:dyDescent="0.25">
      <c r="A190" s="2" t="s">
        <v>335</v>
      </c>
      <c r="B190" s="2" t="s">
        <v>1647</v>
      </c>
      <c r="C190" s="2" t="s">
        <v>1504</v>
      </c>
      <c r="D190" s="2" t="s">
        <v>1504</v>
      </c>
      <c r="E190" s="2" t="s">
        <v>1492</v>
      </c>
      <c r="F190" s="2" t="s">
        <v>1488</v>
      </c>
    </row>
    <row r="191" spans="1:6" x14ac:dyDescent="0.25">
      <c r="A191" s="2" t="s">
        <v>168</v>
      </c>
      <c r="B191" s="2" t="s">
        <v>1497</v>
      </c>
      <c r="C191" s="2" t="s">
        <v>1559</v>
      </c>
      <c r="D191" s="2" t="s">
        <v>1559</v>
      </c>
      <c r="E191" s="2" t="s">
        <v>1492</v>
      </c>
      <c r="F191" s="2" t="s">
        <v>1505</v>
      </c>
    </row>
    <row r="192" spans="1:6" x14ac:dyDescent="0.25">
      <c r="A192" s="2" t="s">
        <v>266</v>
      </c>
      <c r="B192" s="2" t="s">
        <v>1550</v>
      </c>
      <c r="C192" s="2" t="s">
        <v>1557</v>
      </c>
      <c r="D192" s="2" t="s">
        <v>1558</v>
      </c>
      <c r="E192" s="2" t="s">
        <v>1548</v>
      </c>
      <c r="F192" s="2" t="s">
        <v>1488</v>
      </c>
    </row>
    <row r="193" spans="1:6" x14ac:dyDescent="0.25">
      <c r="A193" s="2" t="s">
        <v>373</v>
      </c>
      <c r="B193" s="2" t="s">
        <v>1659</v>
      </c>
      <c r="C193" s="2" t="s">
        <v>1557</v>
      </c>
      <c r="D193" s="2" t="s">
        <v>1558</v>
      </c>
      <c r="E193" s="2" t="s">
        <v>1548</v>
      </c>
      <c r="F193" s="2" t="s">
        <v>1505</v>
      </c>
    </row>
    <row r="194" spans="1:6" x14ac:dyDescent="0.25">
      <c r="A194" s="2" t="s">
        <v>567</v>
      </c>
      <c r="B194" s="2" t="s">
        <v>1623</v>
      </c>
      <c r="C194" s="2" t="s">
        <v>1523</v>
      </c>
      <c r="D194" s="2" t="s">
        <v>1486</v>
      </c>
      <c r="E194" s="2" t="s">
        <v>1487</v>
      </c>
      <c r="F194" s="2" t="s">
        <v>1488</v>
      </c>
    </row>
    <row r="195" spans="1:6" x14ac:dyDescent="0.25">
      <c r="A195" s="2" t="s">
        <v>333</v>
      </c>
      <c r="B195" s="2" t="s">
        <v>1662</v>
      </c>
      <c r="C195" s="2" t="s">
        <v>1490</v>
      </c>
      <c r="D195" s="2" t="s">
        <v>1491</v>
      </c>
      <c r="E195" s="2" t="s">
        <v>1492</v>
      </c>
      <c r="F195" s="2" t="s">
        <v>1505</v>
      </c>
    </row>
    <row r="196" spans="1:6" x14ac:dyDescent="0.25">
      <c r="A196" s="2" t="s">
        <v>228</v>
      </c>
      <c r="B196" s="2" t="s">
        <v>1535</v>
      </c>
      <c r="C196" s="2" t="s">
        <v>1557</v>
      </c>
      <c r="D196" s="2" t="s">
        <v>1558</v>
      </c>
      <c r="E196" s="2" t="s">
        <v>1548</v>
      </c>
      <c r="F196" s="2" t="s">
        <v>1488</v>
      </c>
    </row>
    <row r="197" spans="1:6" x14ac:dyDescent="0.25">
      <c r="A197" s="2" t="s">
        <v>53</v>
      </c>
      <c r="B197" s="2" t="s">
        <v>1663</v>
      </c>
      <c r="C197" s="2" t="s">
        <v>1494</v>
      </c>
      <c r="D197" s="2" t="s">
        <v>1495</v>
      </c>
      <c r="E197" s="2" t="s">
        <v>1496</v>
      </c>
      <c r="F197" s="2" t="s">
        <v>1505</v>
      </c>
    </row>
    <row r="198" spans="1:6" x14ac:dyDescent="0.25">
      <c r="A198" s="2" t="s">
        <v>81</v>
      </c>
      <c r="B198" s="2" t="s">
        <v>1664</v>
      </c>
      <c r="C198" s="2" t="s">
        <v>1504</v>
      </c>
      <c r="D198" s="2" t="s">
        <v>1504</v>
      </c>
      <c r="E198" s="2" t="s">
        <v>1492</v>
      </c>
      <c r="F198" s="2" t="s">
        <v>1488</v>
      </c>
    </row>
    <row r="199" spans="1:6" x14ac:dyDescent="0.25">
      <c r="A199" s="2" t="s">
        <v>150</v>
      </c>
      <c r="B199" s="2" t="s">
        <v>1622</v>
      </c>
      <c r="C199" s="2" t="s">
        <v>1559</v>
      </c>
      <c r="D199" s="2" t="s">
        <v>1559</v>
      </c>
      <c r="E199" s="2" t="s">
        <v>1492</v>
      </c>
      <c r="F199" s="2" t="s">
        <v>1505</v>
      </c>
    </row>
    <row r="200" spans="1:6" x14ac:dyDescent="0.25">
      <c r="A200" s="2" t="s">
        <v>144</v>
      </c>
      <c r="B200" s="2" t="s">
        <v>1665</v>
      </c>
      <c r="C200" s="2" t="s">
        <v>1539</v>
      </c>
      <c r="D200" s="2" t="s">
        <v>1501</v>
      </c>
      <c r="E200" s="2" t="s">
        <v>1487</v>
      </c>
      <c r="F200" s="2" t="s">
        <v>1505</v>
      </c>
    </row>
    <row r="201" spans="1:6" x14ac:dyDescent="0.25">
      <c r="A201" s="2" t="s">
        <v>905</v>
      </c>
      <c r="B201" s="2" t="s">
        <v>1666</v>
      </c>
      <c r="C201" s="2" t="s">
        <v>1504</v>
      </c>
      <c r="D201" s="2" t="s">
        <v>1504</v>
      </c>
      <c r="E201" s="2" t="s">
        <v>1492</v>
      </c>
      <c r="F201" s="2" t="s">
        <v>1488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AC735-C227-41B6-BA86-DFC7F4A6D7B9}">
  <dimension ref="A1:W43"/>
  <sheetViews>
    <sheetView workbookViewId="0">
      <selection activeCell="B24" sqref="B24"/>
    </sheetView>
  </sheetViews>
  <sheetFormatPr defaultRowHeight="15" x14ac:dyDescent="0.25"/>
  <cols>
    <col min="1" max="1" width="10.5703125" customWidth="1"/>
    <col min="2" max="2" width="12.85546875" customWidth="1"/>
    <col min="3" max="3" width="14" customWidth="1"/>
    <col min="5" max="5" width="12.28515625" customWidth="1"/>
    <col min="6" max="7" width="10.85546875" customWidth="1"/>
    <col min="8" max="8" width="12.7109375" customWidth="1"/>
    <col min="9" max="9" width="16.7109375" customWidth="1"/>
    <col min="11" max="12" width="12.140625" customWidth="1"/>
    <col min="13" max="13" width="11.5703125" customWidth="1"/>
    <col min="14" max="14" width="11.85546875" customWidth="1"/>
    <col min="16" max="16" width="18.5703125" customWidth="1"/>
    <col min="17" max="17" width="15.7109375" customWidth="1"/>
    <col min="18" max="18" width="11" customWidth="1"/>
    <col min="20" max="20" width="9.28515625" customWidth="1"/>
    <col min="21" max="21" width="10.85546875" customWidth="1"/>
    <col min="22" max="22" width="10" customWidth="1"/>
  </cols>
  <sheetData>
    <row r="1" spans="1:23" x14ac:dyDescent="0.25">
      <c r="A1" t="s">
        <v>7</v>
      </c>
      <c r="B1" t="s">
        <v>8</v>
      </c>
      <c r="C1" t="s">
        <v>9</v>
      </c>
      <c r="D1" t="s">
        <v>1686</v>
      </c>
      <c r="E1" t="s">
        <v>10</v>
      </c>
      <c r="F1" t="s">
        <v>11</v>
      </c>
      <c r="G1" t="s">
        <v>12</v>
      </c>
      <c r="H1" t="s">
        <v>13</v>
      </c>
      <c r="I1" t="s">
        <v>14</v>
      </c>
      <c r="J1" t="s">
        <v>15</v>
      </c>
      <c r="K1" t="s">
        <v>1679</v>
      </c>
      <c r="L1" t="s">
        <v>1680</v>
      </c>
      <c r="M1" t="s">
        <v>1682</v>
      </c>
      <c r="N1" t="s">
        <v>1683</v>
      </c>
      <c r="O1" t="s">
        <v>1684</v>
      </c>
      <c r="P1" t="s">
        <v>1681</v>
      </c>
      <c r="Q1" t="s">
        <v>1449</v>
      </c>
      <c r="R1" t="s">
        <v>1450</v>
      </c>
      <c r="S1" t="s">
        <v>1481</v>
      </c>
      <c r="T1" t="s">
        <v>1482</v>
      </c>
      <c r="U1" t="s">
        <v>1685</v>
      </c>
      <c r="V1" t="s">
        <v>1687</v>
      </c>
      <c r="W1" t="s">
        <v>1691</v>
      </c>
    </row>
    <row r="2" spans="1:23" x14ac:dyDescent="0.25">
      <c r="A2" t="s">
        <v>1419</v>
      </c>
      <c r="B2" s="9">
        <v>46002</v>
      </c>
      <c r="C2" t="s">
        <v>598</v>
      </c>
      <c r="D2" t="s">
        <v>1704</v>
      </c>
      <c r="E2" t="s">
        <v>121</v>
      </c>
      <c r="F2">
        <v>4</v>
      </c>
      <c r="G2">
        <v>0</v>
      </c>
      <c r="H2" t="s">
        <v>30</v>
      </c>
      <c r="I2" t="s">
        <v>38</v>
      </c>
      <c r="J2" t="s">
        <v>21</v>
      </c>
      <c r="K2">
        <v>499</v>
      </c>
      <c r="L2">
        <v>250</v>
      </c>
      <c r="M2">
        <v>1996</v>
      </c>
      <c r="N2">
        <v>1000</v>
      </c>
      <c r="O2">
        <v>996</v>
      </c>
      <c r="P2">
        <v>0</v>
      </c>
      <c r="Q2" t="s">
        <v>1473</v>
      </c>
      <c r="R2" t="s">
        <v>1474</v>
      </c>
      <c r="S2" t="s">
        <v>1558</v>
      </c>
      <c r="T2" t="s">
        <v>1548</v>
      </c>
      <c r="U2" t="s">
        <v>1505</v>
      </c>
      <c r="V2" t="s">
        <v>1678</v>
      </c>
      <c r="W2" t="s">
        <v>1693</v>
      </c>
    </row>
    <row r="3" spans="1:23" x14ac:dyDescent="0.25">
      <c r="A3" t="s">
        <v>1399</v>
      </c>
      <c r="B3" s="9">
        <v>45990</v>
      </c>
      <c r="C3" t="s">
        <v>203</v>
      </c>
      <c r="D3" t="s">
        <v>1703</v>
      </c>
      <c r="E3" t="s">
        <v>121</v>
      </c>
      <c r="F3">
        <v>4</v>
      </c>
      <c r="G3">
        <v>0.1</v>
      </c>
      <c r="H3" t="s">
        <v>19</v>
      </c>
      <c r="I3" t="s">
        <v>20</v>
      </c>
      <c r="J3" t="s">
        <v>42</v>
      </c>
      <c r="K3">
        <v>499</v>
      </c>
      <c r="L3">
        <v>250</v>
      </c>
      <c r="M3">
        <v>1796.4</v>
      </c>
      <c r="N3">
        <v>1000</v>
      </c>
      <c r="O3">
        <v>796.40000000000009</v>
      </c>
      <c r="P3">
        <v>199.60000000000002</v>
      </c>
      <c r="Q3" t="s">
        <v>1473</v>
      </c>
      <c r="R3" t="s">
        <v>1474</v>
      </c>
      <c r="S3" t="s">
        <v>1508</v>
      </c>
      <c r="T3" t="s">
        <v>1509</v>
      </c>
      <c r="U3" t="s">
        <v>1505</v>
      </c>
      <c r="V3" t="s">
        <v>1677</v>
      </c>
      <c r="W3" t="s">
        <v>1693</v>
      </c>
    </row>
    <row r="4" spans="1:23" x14ac:dyDescent="0.25">
      <c r="A4" t="s">
        <v>1393</v>
      </c>
      <c r="B4" s="9">
        <v>45986</v>
      </c>
      <c r="C4" t="s">
        <v>413</v>
      </c>
      <c r="D4" t="s">
        <v>1703</v>
      </c>
      <c r="E4" t="s">
        <v>121</v>
      </c>
      <c r="F4">
        <v>4</v>
      </c>
      <c r="G4">
        <v>0.1</v>
      </c>
      <c r="H4" t="s">
        <v>30</v>
      </c>
      <c r="I4" t="s">
        <v>20</v>
      </c>
      <c r="J4" t="s">
        <v>21</v>
      </c>
      <c r="K4">
        <v>499</v>
      </c>
      <c r="L4">
        <v>250</v>
      </c>
      <c r="M4">
        <v>1796.4</v>
      </c>
      <c r="N4">
        <v>1000</v>
      </c>
      <c r="O4">
        <v>796.40000000000009</v>
      </c>
      <c r="P4">
        <v>199.60000000000002</v>
      </c>
      <c r="Q4" t="s">
        <v>1473</v>
      </c>
      <c r="R4" t="s">
        <v>1474</v>
      </c>
      <c r="S4" t="s">
        <v>1513</v>
      </c>
      <c r="T4" t="s">
        <v>1509</v>
      </c>
      <c r="U4" t="s">
        <v>1505</v>
      </c>
      <c r="V4" t="s">
        <v>1677</v>
      </c>
      <c r="W4" t="s">
        <v>1693</v>
      </c>
    </row>
    <row r="5" spans="1:23" x14ac:dyDescent="0.25">
      <c r="A5" t="s">
        <v>1321</v>
      </c>
      <c r="B5" s="9">
        <v>45950</v>
      </c>
      <c r="C5" t="s">
        <v>17</v>
      </c>
      <c r="D5" t="s">
        <v>1702</v>
      </c>
      <c r="E5" t="s">
        <v>121</v>
      </c>
      <c r="F5">
        <v>4</v>
      </c>
      <c r="G5">
        <v>0.1</v>
      </c>
      <c r="H5" t="s">
        <v>19</v>
      </c>
      <c r="I5" t="s">
        <v>20</v>
      </c>
      <c r="J5" t="s">
        <v>21</v>
      </c>
      <c r="K5">
        <v>499</v>
      </c>
      <c r="L5">
        <v>250</v>
      </c>
      <c r="M5">
        <v>1796.4</v>
      </c>
      <c r="N5">
        <v>1000</v>
      </c>
      <c r="O5">
        <v>796.40000000000009</v>
      </c>
      <c r="P5">
        <v>199.60000000000002</v>
      </c>
      <c r="Q5" t="s">
        <v>1473</v>
      </c>
      <c r="R5" t="s">
        <v>1474</v>
      </c>
      <c r="S5" t="s">
        <v>1495</v>
      </c>
      <c r="T5" t="s">
        <v>1496</v>
      </c>
      <c r="U5" t="s">
        <v>1505</v>
      </c>
      <c r="V5" t="s">
        <v>1676</v>
      </c>
      <c r="W5" t="s">
        <v>1693</v>
      </c>
    </row>
    <row r="6" spans="1:23" x14ac:dyDescent="0.25">
      <c r="A6" t="s">
        <v>1286</v>
      </c>
      <c r="B6" s="9">
        <v>45932</v>
      </c>
      <c r="C6" t="s">
        <v>295</v>
      </c>
      <c r="D6" t="s">
        <v>1702</v>
      </c>
      <c r="E6" t="s">
        <v>121</v>
      </c>
      <c r="F6">
        <v>4</v>
      </c>
      <c r="G6">
        <v>0.05</v>
      </c>
      <c r="H6" t="s">
        <v>30</v>
      </c>
      <c r="I6" t="s">
        <v>38</v>
      </c>
      <c r="J6" t="s">
        <v>42</v>
      </c>
      <c r="K6">
        <v>499</v>
      </c>
      <c r="L6">
        <v>250</v>
      </c>
      <c r="M6">
        <v>1896.2</v>
      </c>
      <c r="N6">
        <v>1000</v>
      </c>
      <c r="O6">
        <v>896.2</v>
      </c>
      <c r="P6">
        <v>99.800000000000011</v>
      </c>
      <c r="Q6" t="s">
        <v>1473</v>
      </c>
      <c r="R6" t="s">
        <v>1474</v>
      </c>
      <c r="S6" t="s">
        <v>1486</v>
      </c>
      <c r="T6" t="s">
        <v>1487</v>
      </c>
      <c r="U6" t="s">
        <v>1505</v>
      </c>
      <c r="V6" t="s">
        <v>1676</v>
      </c>
      <c r="W6" t="s">
        <v>1693</v>
      </c>
    </row>
    <row r="7" spans="1:23" x14ac:dyDescent="0.25">
      <c r="A7" t="s">
        <v>1244</v>
      </c>
      <c r="B7" s="9">
        <v>45909</v>
      </c>
      <c r="C7" t="s">
        <v>313</v>
      </c>
      <c r="D7" t="s">
        <v>1701</v>
      </c>
      <c r="E7" t="s">
        <v>121</v>
      </c>
      <c r="F7">
        <v>6</v>
      </c>
      <c r="G7">
        <v>0.1</v>
      </c>
      <c r="H7" t="s">
        <v>19</v>
      </c>
      <c r="I7" t="s">
        <v>31</v>
      </c>
      <c r="J7" t="s">
        <v>21</v>
      </c>
      <c r="K7">
        <v>499</v>
      </c>
      <c r="L7">
        <v>250</v>
      </c>
      <c r="M7">
        <v>2694.6</v>
      </c>
      <c r="N7">
        <v>1500</v>
      </c>
      <c r="O7">
        <v>1194.5999999999999</v>
      </c>
      <c r="P7">
        <v>299.40000000000003</v>
      </c>
      <c r="Q7" t="s">
        <v>1473</v>
      </c>
      <c r="R7" t="s">
        <v>1474</v>
      </c>
      <c r="S7" t="s">
        <v>1508</v>
      </c>
      <c r="T7" t="s">
        <v>1509</v>
      </c>
      <c r="U7" t="s">
        <v>1488</v>
      </c>
      <c r="V7" t="s">
        <v>1675</v>
      </c>
      <c r="W7" t="s">
        <v>1693</v>
      </c>
    </row>
    <row r="8" spans="1:23" x14ac:dyDescent="0.25">
      <c r="A8" t="s">
        <v>1231</v>
      </c>
      <c r="B8" s="9">
        <v>45902</v>
      </c>
      <c r="C8" t="s">
        <v>428</v>
      </c>
      <c r="D8" t="s">
        <v>1701</v>
      </c>
      <c r="E8" t="s">
        <v>121</v>
      </c>
      <c r="F8">
        <v>1</v>
      </c>
      <c r="G8">
        <v>0</v>
      </c>
      <c r="H8" t="s">
        <v>30</v>
      </c>
      <c r="I8" t="s">
        <v>26</v>
      </c>
      <c r="J8" t="s">
        <v>21</v>
      </c>
      <c r="K8">
        <v>499</v>
      </c>
      <c r="L8">
        <v>250</v>
      </c>
      <c r="M8">
        <v>499</v>
      </c>
      <c r="N8">
        <v>250</v>
      </c>
      <c r="O8">
        <v>249</v>
      </c>
      <c r="P8">
        <v>0</v>
      </c>
      <c r="Q8" t="s">
        <v>1473</v>
      </c>
      <c r="R8" t="s">
        <v>1474</v>
      </c>
      <c r="S8" t="s">
        <v>1495</v>
      </c>
      <c r="T8" t="s">
        <v>1496</v>
      </c>
      <c r="U8" t="s">
        <v>1488</v>
      </c>
      <c r="V8" t="s">
        <v>1675</v>
      </c>
      <c r="W8" t="s">
        <v>1693</v>
      </c>
    </row>
    <row r="9" spans="1:23" x14ac:dyDescent="0.25">
      <c r="A9" t="s">
        <v>1180</v>
      </c>
      <c r="B9" s="9">
        <v>45870</v>
      </c>
      <c r="C9" t="s">
        <v>93</v>
      </c>
      <c r="D9" t="s">
        <v>1700</v>
      </c>
      <c r="E9" t="s">
        <v>121</v>
      </c>
      <c r="F9">
        <v>10</v>
      </c>
      <c r="G9">
        <v>0</v>
      </c>
      <c r="H9" t="s">
        <v>30</v>
      </c>
      <c r="I9" t="s">
        <v>26</v>
      </c>
      <c r="J9" t="s">
        <v>21</v>
      </c>
      <c r="K9">
        <v>499</v>
      </c>
      <c r="L9">
        <v>250</v>
      </c>
      <c r="M9">
        <v>4990</v>
      </c>
      <c r="N9">
        <v>2500</v>
      </c>
      <c r="O9">
        <v>2490</v>
      </c>
      <c r="P9">
        <v>0</v>
      </c>
      <c r="Q9" t="s">
        <v>1473</v>
      </c>
      <c r="R9" t="s">
        <v>1474</v>
      </c>
      <c r="S9" t="s">
        <v>1486</v>
      </c>
      <c r="T9" t="s">
        <v>1487</v>
      </c>
      <c r="U9" t="s">
        <v>1488</v>
      </c>
      <c r="V9" t="s">
        <v>1674</v>
      </c>
      <c r="W9" t="s">
        <v>1693</v>
      </c>
    </row>
    <row r="10" spans="1:23" x14ac:dyDescent="0.25">
      <c r="A10" t="s">
        <v>1097</v>
      </c>
      <c r="B10" s="9">
        <v>45813</v>
      </c>
      <c r="C10" t="s">
        <v>322</v>
      </c>
      <c r="D10" t="s">
        <v>1699</v>
      </c>
      <c r="E10" t="s">
        <v>121</v>
      </c>
      <c r="F10">
        <v>6</v>
      </c>
      <c r="G10">
        <v>0.1</v>
      </c>
      <c r="H10" t="s">
        <v>30</v>
      </c>
      <c r="I10" t="s">
        <v>26</v>
      </c>
      <c r="J10" t="s">
        <v>94</v>
      </c>
      <c r="K10">
        <v>499</v>
      </c>
      <c r="L10">
        <v>250</v>
      </c>
      <c r="M10">
        <v>2694.6</v>
      </c>
      <c r="N10">
        <v>1500</v>
      </c>
      <c r="O10">
        <v>1194.5999999999999</v>
      </c>
      <c r="P10">
        <v>299.40000000000003</v>
      </c>
      <c r="Q10" t="s">
        <v>1473</v>
      </c>
      <c r="R10" t="s">
        <v>1474</v>
      </c>
      <c r="S10" t="s">
        <v>1504</v>
      </c>
      <c r="T10" t="s">
        <v>1492</v>
      </c>
      <c r="U10" t="s">
        <v>1488</v>
      </c>
      <c r="V10" t="s">
        <v>1672</v>
      </c>
      <c r="W10" t="s">
        <v>1693</v>
      </c>
    </row>
    <row r="11" spans="1:23" x14ac:dyDescent="0.25">
      <c r="A11" t="s">
        <v>1048</v>
      </c>
      <c r="B11" s="9">
        <v>45782</v>
      </c>
      <c r="C11" t="s">
        <v>108</v>
      </c>
      <c r="D11" t="s">
        <v>1671</v>
      </c>
      <c r="E11" t="s">
        <v>121</v>
      </c>
      <c r="F11">
        <v>1</v>
      </c>
      <c r="G11">
        <v>0</v>
      </c>
      <c r="H11" t="s">
        <v>19</v>
      </c>
      <c r="I11" t="s">
        <v>26</v>
      </c>
      <c r="J11" t="s">
        <v>21</v>
      </c>
      <c r="K11">
        <v>499</v>
      </c>
      <c r="L11">
        <v>250</v>
      </c>
      <c r="M11">
        <v>499</v>
      </c>
      <c r="N11">
        <v>250</v>
      </c>
      <c r="O11">
        <v>249</v>
      </c>
      <c r="P11">
        <v>0</v>
      </c>
      <c r="Q11" t="s">
        <v>1473</v>
      </c>
      <c r="R11" t="s">
        <v>1474</v>
      </c>
      <c r="S11" t="s">
        <v>1576</v>
      </c>
      <c r="T11" t="s">
        <v>1548</v>
      </c>
      <c r="U11" t="s">
        <v>1505</v>
      </c>
      <c r="V11" t="s">
        <v>1671</v>
      </c>
      <c r="W11" t="s">
        <v>1693</v>
      </c>
    </row>
    <row r="12" spans="1:23" x14ac:dyDescent="0.25">
      <c r="A12" t="s">
        <v>1001</v>
      </c>
      <c r="B12" s="9">
        <v>45756</v>
      </c>
      <c r="C12" t="s">
        <v>120</v>
      </c>
      <c r="D12" t="s">
        <v>1698</v>
      </c>
      <c r="E12" t="s">
        <v>121</v>
      </c>
      <c r="F12">
        <v>2</v>
      </c>
      <c r="G12">
        <v>0.2</v>
      </c>
      <c r="H12" t="s">
        <v>25</v>
      </c>
      <c r="I12" t="s">
        <v>46</v>
      </c>
      <c r="J12" t="s">
        <v>21</v>
      </c>
      <c r="K12">
        <v>499</v>
      </c>
      <c r="L12">
        <v>250</v>
      </c>
      <c r="M12">
        <v>798.4</v>
      </c>
      <c r="N12">
        <v>500</v>
      </c>
      <c r="O12">
        <v>298.39999999999998</v>
      </c>
      <c r="P12">
        <v>199.60000000000002</v>
      </c>
      <c r="Q12" t="s">
        <v>1473</v>
      </c>
      <c r="R12" t="s">
        <v>1474</v>
      </c>
      <c r="S12" t="s">
        <v>1495</v>
      </c>
      <c r="T12" t="s">
        <v>1496</v>
      </c>
      <c r="U12" t="s">
        <v>1505</v>
      </c>
      <c r="V12" t="s">
        <v>1670</v>
      </c>
      <c r="W12" t="s">
        <v>1693</v>
      </c>
    </row>
    <row r="13" spans="1:23" x14ac:dyDescent="0.25">
      <c r="A13" t="s">
        <v>988</v>
      </c>
      <c r="B13" s="9">
        <v>45751</v>
      </c>
      <c r="C13" t="s">
        <v>132</v>
      </c>
      <c r="D13" t="s">
        <v>1698</v>
      </c>
      <c r="E13" t="s">
        <v>121</v>
      </c>
      <c r="F13">
        <v>2</v>
      </c>
      <c r="G13">
        <v>0</v>
      </c>
      <c r="H13" t="s">
        <v>25</v>
      </c>
      <c r="I13" t="s">
        <v>38</v>
      </c>
      <c r="J13" t="s">
        <v>21</v>
      </c>
      <c r="K13">
        <v>499</v>
      </c>
      <c r="L13">
        <v>250</v>
      </c>
      <c r="M13">
        <v>998</v>
      </c>
      <c r="N13">
        <v>500</v>
      </c>
      <c r="O13">
        <v>498</v>
      </c>
      <c r="P13">
        <v>0</v>
      </c>
      <c r="Q13" t="s">
        <v>1473</v>
      </c>
      <c r="R13" t="s">
        <v>1474</v>
      </c>
      <c r="S13" t="s">
        <v>1495</v>
      </c>
      <c r="T13" t="s">
        <v>1496</v>
      </c>
      <c r="U13" t="s">
        <v>1488</v>
      </c>
      <c r="V13" t="s">
        <v>1670</v>
      </c>
      <c r="W13" t="s">
        <v>1693</v>
      </c>
    </row>
    <row r="14" spans="1:23" x14ac:dyDescent="0.25">
      <c r="A14" t="s">
        <v>985</v>
      </c>
      <c r="B14" s="9">
        <v>45749</v>
      </c>
      <c r="C14" t="s">
        <v>443</v>
      </c>
      <c r="D14" t="s">
        <v>1698</v>
      </c>
      <c r="E14" t="s">
        <v>121</v>
      </c>
      <c r="F14">
        <v>2</v>
      </c>
      <c r="G14">
        <v>0.1</v>
      </c>
      <c r="H14" t="s">
        <v>19</v>
      </c>
      <c r="I14" t="s">
        <v>38</v>
      </c>
      <c r="J14" t="s">
        <v>21</v>
      </c>
      <c r="K14">
        <v>499</v>
      </c>
      <c r="L14">
        <v>250</v>
      </c>
      <c r="M14">
        <v>898.2</v>
      </c>
      <c r="N14">
        <v>500</v>
      </c>
      <c r="O14">
        <v>398.20000000000005</v>
      </c>
      <c r="P14">
        <v>99.800000000000011</v>
      </c>
      <c r="Q14" t="s">
        <v>1473</v>
      </c>
      <c r="R14" t="s">
        <v>1474</v>
      </c>
      <c r="S14" t="s">
        <v>1508</v>
      </c>
      <c r="T14" t="s">
        <v>1509</v>
      </c>
      <c r="U14" t="s">
        <v>1488</v>
      </c>
      <c r="V14" t="s">
        <v>1670</v>
      </c>
      <c r="W14" t="s">
        <v>1693</v>
      </c>
    </row>
    <row r="15" spans="1:23" x14ac:dyDescent="0.25">
      <c r="A15" t="s">
        <v>904</v>
      </c>
      <c r="B15" s="9">
        <v>45709</v>
      </c>
      <c r="C15" t="s">
        <v>905</v>
      </c>
      <c r="D15" t="s">
        <v>1696</v>
      </c>
      <c r="E15" t="s">
        <v>121</v>
      </c>
      <c r="F15">
        <v>1</v>
      </c>
      <c r="G15">
        <v>0.05</v>
      </c>
      <c r="H15" t="s">
        <v>19</v>
      </c>
      <c r="I15" t="s">
        <v>31</v>
      </c>
      <c r="J15" t="s">
        <v>21</v>
      </c>
      <c r="K15">
        <v>499</v>
      </c>
      <c r="L15">
        <v>250</v>
      </c>
      <c r="M15">
        <v>474.05</v>
      </c>
      <c r="N15">
        <v>250</v>
      </c>
      <c r="O15">
        <v>224.05</v>
      </c>
      <c r="P15">
        <v>24.950000000000003</v>
      </c>
      <c r="Q15" t="s">
        <v>1473</v>
      </c>
      <c r="R15" t="s">
        <v>1474</v>
      </c>
      <c r="S15" t="s">
        <v>1504</v>
      </c>
      <c r="T15" t="s">
        <v>1492</v>
      </c>
      <c r="U15" t="s">
        <v>1488</v>
      </c>
      <c r="V15" t="s">
        <v>1668</v>
      </c>
      <c r="W15" t="s">
        <v>1693</v>
      </c>
    </row>
    <row r="16" spans="1:23" x14ac:dyDescent="0.25">
      <c r="A16" t="s">
        <v>889</v>
      </c>
      <c r="B16" s="9">
        <v>45699</v>
      </c>
      <c r="C16" t="s">
        <v>325</v>
      </c>
      <c r="D16" t="s">
        <v>1696</v>
      </c>
      <c r="E16" t="s">
        <v>121</v>
      </c>
      <c r="F16">
        <v>1</v>
      </c>
      <c r="G16">
        <v>0.15</v>
      </c>
      <c r="H16" t="s">
        <v>30</v>
      </c>
      <c r="I16" t="s">
        <v>20</v>
      </c>
      <c r="J16" t="s">
        <v>79</v>
      </c>
      <c r="K16">
        <v>499</v>
      </c>
      <c r="L16">
        <v>250</v>
      </c>
      <c r="M16">
        <v>424.15</v>
      </c>
      <c r="N16">
        <v>250</v>
      </c>
      <c r="O16">
        <v>174.14999999999998</v>
      </c>
      <c r="P16">
        <v>74.849999999999994</v>
      </c>
      <c r="Q16" t="s">
        <v>1473</v>
      </c>
      <c r="R16" t="s">
        <v>1474</v>
      </c>
      <c r="S16" t="s">
        <v>1501</v>
      </c>
      <c r="T16" t="s">
        <v>1487</v>
      </c>
      <c r="U16" t="s">
        <v>1505</v>
      </c>
      <c r="V16" t="s">
        <v>1668</v>
      </c>
      <c r="W16" t="s">
        <v>1693</v>
      </c>
    </row>
    <row r="17" spans="1:23" x14ac:dyDescent="0.25">
      <c r="A17" t="s">
        <v>853</v>
      </c>
      <c r="B17" s="9">
        <v>45675</v>
      </c>
      <c r="C17" t="s">
        <v>115</v>
      </c>
      <c r="D17" t="s">
        <v>1695</v>
      </c>
      <c r="E17" t="s">
        <v>121</v>
      </c>
      <c r="F17">
        <v>1</v>
      </c>
      <c r="G17">
        <v>0</v>
      </c>
      <c r="H17" t="s">
        <v>19</v>
      </c>
      <c r="I17" t="s">
        <v>38</v>
      </c>
      <c r="J17" t="s">
        <v>21</v>
      </c>
      <c r="K17">
        <v>499</v>
      </c>
      <c r="L17">
        <v>250</v>
      </c>
      <c r="M17">
        <v>499</v>
      </c>
      <c r="N17">
        <v>250</v>
      </c>
      <c r="O17">
        <v>249</v>
      </c>
      <c r="P17">
        <v>0</v>
      </c>
      <c r="Q17" t="s">
        <v>1473</v>
      </c>
      <c r="R17" t="s">
        <v>1474</v>
      </c>
      <c r="S17" t="s">
        <v>1547</v>
      </c>
      <c r="T17" t="s">
        <v>1548</v>
      </c>
      <c r="U17" t="s">
        <v>1488</v>
      </c>
      <c r="V17" t="s">
        <v>1667</v>
      </c>
      <c r="W17" t="s">
        <v>1693</v>
      </c>
    </row>
    <row r="18" spans="1:23" x14ac:dyDescent="0.25">
      <c r="A18" t="s">
        <v>837</v>
      </c>
      <c r="B18" s="9">
        <v>45666</v>
      </c>
      <c r="C18" t="s">
        <v>676</v>
      </c>
      <c r="D18" t="s">
        <v>1695</v>
      </c>
      <c r="E18" t="s">
        <v>121</v>
      </c>
      <c r="F18">
        <v>6</v>
      </c>
      <c r="G18">
        <v>0.1</v>
      </c>
      <c r="H18" t="s">
        <v>30</v>
      </c>
      <c r="I18" t="s">
        <v>38</v>
      </c>
      <c r="J18" t="s">
        <v>21</v>
      </c>
      <c r="K18">
        <v>499</v>
      </c>
      <c r="L18">
        <v>250</v>
      </c>
      <c r="M18">
        <v>2694.6</v>
      </c>
      <c r="N18">
        <v>1500</v>
      </c>
      <c r="O18">
        <v>1194.5999999999999</v>
      </c>
      <c r="P18">
        <v>299.40000000000003</v>
      </c>
      <c r="Q18" t="s">
        <v>1473</v>
      </c>
      <c r="R18" t="s">
        <v>1474</v>
      </c>
      <c r="S18" t="s">
        <v>1516</v>
      </c>
      <c r="T18" t="s">
        <v>1509</v>
      </c>
      <c r="U18" t="s">
        <v>1488</v>
      </c>
      <c r="V18" t="s">
        <v>1667</v>
      </c>
      <c r="W18" t="s">
        <v>1693</v>
      </c>
    </row>
    <row r="19" spans="1:23" x14ac:dyDescent="0.25">
      <c r="A19" t="s">
        <v>823</v>
      </c>
      <c r="B19" s="9">
        <v>45659</v>
      </c>
      <c r="C19" t="s">
        <v>582</v>
      </c>
      <c r="D19" t="s">
        <v>1695</v>
      </c>
      <c r="E19" t="s">
        <v>121</v>
      </c>
      <c r="F19">
        <v>5</v>
      </c>
      <c r="G19">
        <v>0.05</v>
      </c>
      <c r="H19" t="s">
        <v>30</v>
      </c>
      <c r="I19" t="s">
        <v>20</v>
      </c>
      <c r="J19" t="s">
        <v>21</v>
      </c>
      <c r="K19">
        <v>499</v>
      </c>
      <c r="L19">
        <v>250</v>
      </c>
      <c r="M19">
        <v>2370.25</v>
      </c>
      <c r="N19">
        <v>1250</v>
      </c>
      <c r="O19">
        <v>1120.25</v>
      </c>
      <c r="P19">
        <v>124.75</v>
      </c>
      <c r="Q19" t="s">
        <v>1473</v>
      </c>
      <c r="R19" t="s">
        <v>1474</v>
      </c>
      <c r="S19" t="s">
        <v>1547</v>
      </c>
      <c r="T19" t="s">
        <v>1548</v>
      </c>
      <c r="U19" t="s">
        <v>1505</v>
      </c>
      <c r="V19" t="s">
        <v>1667</v>
      </c>
      <c r="W19" t="s">
        <v>1693</v>
      </c>
    </row>
    <row r="20" spans="1:23" x14ac:dyDescent="0.25">
      <c r="A20" t="s">
        <v>785</v>
      </c>
      <c r="B20" s="9">
        <v>45636</v>
      </c>
      <c r="C20" t="s">
        <v>239</v>
      </c>
      <c r="D20" t="s">
        <v>1704</v>
      </c>
      <c r="E20" t="s">
        <v>121</v>
      </c>
      <c r="F20">
        <v>6</v>
      </c>
      <c r="G20">
        <v>0.1</v>
      </c>
      <c r="H20" t="s">
        <v>25</v>
      </c>
      <c r="I20" t="s">
        <v>31</v>
      </c>
      <c r="J20" t="s">
        <v>21</v>
      </c>
      <c r="K20">
        <v>499</v>
      </c>
      <c r="L20">
        <v>250</v>
      </c>
      <c r="M20">
        <v>2694.6</v>
      </c>
      <c r="N20">
        <v>1500</v>
      </c>
      <c r="O20">
        <v>1194.5999999999999</v>
      </c>
      <c r="P20">
        <v>299.40000000000003</v>
      </c>
      <c r="Q20" t="s">
        <v>1473</v>
      </c>
      <c r="R20" t="s">
        <v>1474</v>
      </c>
      <c r="S20" t="s">
        <v>1513</v>
      </c>
      <c r="T20" t="s">
        <v>1509</v>
      </c>
      <c r="U20" t="s">
        <v>1488</v>
      </c>
      <c r="V20" t="s">
        <v>1678</v>
      </c>
      <c r="W20" t="s">
        <v>1692</v>
      </c>
    </row>
    <row r="21" spans="1:23" x14ac:dyDescent="0.25">
      <c r="A21" t="s">
        <v>721</v>
      </c>
      <c r="B21" s="9">
        <v>45602</v>
      </c>
      <c r="C21" t="s">
        <v>226</v>
      </c>
      <c r="D21" t="s">
        <v>1703</v>
      </c>
      <c r="E21" t="s">
        <v>121</v>
      </c>
      <c r="F21">
        <v>1</v>
      </c>
      <c r="G21">
        <v>0.05</v>
      </c>
      <c r="H21" t="s">
        <v>30</v>
      </c>
      <c r="I21" t="s">
        <v>26</v>
      </c>
      <c r="J21" t="s">
        <v>42</v>
      </c>
      <c r="K21">
        <v>499</v>
      </c>
      <c r="L21">
        <v>250</v>
      </c>
      <c r="M21">
        <v>474.05</v>
      </c>
      <c r="N21">
        <v>250</v>
      </c>
      <c r="O21">
        <v>224.05</v>
      </c>
      <c r="P21">
        <v>24.950000000000003</v>
      </c>
      <c r="Q21" t="s">
        <v>1473</v>
      </c>
      <c r="R21" t="s">
        <v>1474</v>
      </c>
      <c r="S21" t="s">
        <v>1486</v>
      </c>
      <c r="T21" t="s">
        <v>1487</v>
      </c>
      <c r="U21" t="s">
        <v>1488</v>
      </c>
      <c r="V21" t="s">
        <v>1677</v>
      </c>
      <c r="W21" t="s">
        <v>1692</v>
      </c>
    </row>
    <row r="22" spans="1:23" x14ac:dyDescent="0.25">
      <c r="A22" t="s">
        <v>708</v>
      </c>
      <c r="B22" s="9">
        <v>45595</v>
      </c>
      <c r="C22" t="s">
        <v>108</v>
      </c>
      <c r="D22" t="s">
        <v>1702</v>
      </c>
      <c r="E22" t="s">
        <v>121</v>
      </c>
      <c r="F22">
        <v>4</v>
      </c>
      <c r="G22">
        <v>0</v>
      </c>
      <c r="H22" t="s">
        <v>25</v>
      </c>
      <c r="I22" t="s">
        <v>38</v>
      </c>
      <c r="J22" t="s">
        <v>21</v>
      </c>
      <c r="K22">
        <v>499</v>
      </c>
      <c r="L22">
        <v>250</v>
      </c>
      <c r="M22">
        <v>1996</v>
      </c>
      <c r="N22">
        <v>1000</v>
      </c>
      <c r="O22">
        <v>996</v>
      </c>
      <c r="P22">
        <v>0</v>
      </c>
      <c r="Q22" t="s">
        <v>1473</v>
      </c>
      <c r="R22" t="s">
        <v>1474</v>
      </c>
      <c r="S22" t="s">
        <v>1576</v>
      </c>
      <c r="T22" t="s">
        <v>1548</v>
      </c>
      <c r="U22" t="s">
        <v>1505</v>
      </c>
      <c r="V22" t="s">
        <v>1676</v>
      </c>
      <c r="W22" t="s">
        <v>1692</v>
      </c>
    </row>
    <row r="23" spans="1:23" x14ac:dyDescent="0.25">
      <c r="A23" t="s">
        <v>611</v>
      </c>
      <c r="B23" s="9">
        <v>45539</v>
      </c>
      <c r="C23" t="s">
        <v>567</v>
      </c>
      <c r="D23" t="s">
        <v>1701</v>
      </c>
      <c r="E23" t="s">
        <v>121</v>
      </c>
      <c r="F23">
        <v>1</v>
      </c>
      <c r="G23">
        <v>0</v>
      </c>
      <c r="H23" t="s">
        <v>30</v>
      </c>
      <c r="I23" t="s">
        <v>31</v>
      </c>
      <c r="J23" t="s">
        <v>21</v>
      </c>
      <c r="K23">
        <v>499</v>
      </c>
      <c r="L23">
        <v>250</v>
      </c>
      <c r="M23">
        <v>499</v>
      </c>
      <c r="N23">
        <v>250</v>
      </c>
      <c r="O23">
        <v>249</v>
      </c>
      <c r="P23">
        <v>0</v>
      </c>
      <c r="Q23" t="s">
        <v>1473</v>
      </c>
      <c r="R23" t="s">
        <v>1474</v>
      </c>
      <c r="S23" t="s">
        <v>1486</v>
      </c>
      <c r="T23" t="s">
        <v>1487</v>
      </c>
      <c r="U23" t="s">
        <v>1488</v>
      </c>
      <c r="V23" t="s">
        <v>1675</v>
      </c>
      <c r="W23" t="s">
        <v>1692</v>
      </c>
    </row>
    <row r="24" spans="1:23" x14ac:dyDescent="0.25">
      <c r="A24" t="s">
        <v>609</v>
      </c>
      <c r="B24" s="9">
        <v>45538</v>
      </c>
      <c r="C24" t="s">
        <v>256</v>
      </c>
      <c r="D24" t="s">
        <v>1701</v>
      </c>
      <c r="E24" t="s">
        <v>121</v>
      </c>
      <c r="F24">
        <v>1</v>
      </c>
      <c r="G24">
        <v>0</v>
      </c>
      <c r="H24" t="s">
        <v>25</v>
      </c>
      <c r="I24" t="s">
        <v>26</v>
      </c>
      <c r="J24" t="s">
        <v>79</v>
      </c>
      <c r="K24">
        <v>499</v>
      </c>
      <c r="L24">
        <v>250</v>
      </c>
      <c r="M24">
        <v>499</v>
      </c>
      <c r="N24">
        <v>250</v>
      </c>
      <c r="O24">
        <v>249</v>
      </c>
      <c r="P24">
        <v>0</v>
      </c>
      <c r="Q24" t="s">
        <v>1473</v>
      </c>
      <c r="R24" t="s">
        <v>1474</v>
      </c>
      <c r="S24" t="s">
        <v>1486</v>
      </c>
      <c r="T24" t="s">
        <v>1487</v>
      </c>
      <c r="U24" t="s">
        <v>1488</v>
      </c>
      <c r="V24" t="s">
        <v>1675</v>
      </c>
      <c r="W24" t="s">
        <v>1692</v>
      </c>
    </row>
    <row r="25" spans="1:23" x14ac:dyDescent="0.25">
      <c r="A25" t="s">
        <v>576</v>
      </c>
      <c r="B25" s="9">
        <v>45524</v>
      </c>
      <c r="C25" t="s">
        <v>577</v>
      </c>
      <c r="D25" t="s">
        <v>1700</v>
      </c>
      <c r="E25" t="s">
        <v>121</v>
      </c>
      <c r="F25">
        <v>4</v>
      </c>
      <c r="G25">
        <v>0.1</v>
      </c>
      <c r="H25" t="s">
        <v>30</v>
      </c>
      <c r="I25" t="s">
        <v>20</v>
      </c>
      <c r="J25" t="s">
        <v>21</v>
      </c>
      <c r="K25">
        <v>499</v>
      </c>
      <c r="L25">
        <v>250</v>
      </c>
      <c r="M25">
        <v>1796.4</v>
      </c>
      <c r="N25">
        <v>1000</v>
      </c>
      <c r="O25">
        <v>796.40000000000009</v>
      </c>
      <c r="P25">
        <v>199.60000000000002</v>
      </c>
      <c r="Q25" t="s">
        <v>1473</v>
      </c>
      <c r="R25" t="s">
        <v>1474</v>
      </c>
      <c r="S25" t="s">
        <v>1501</v>
      </c>
      <c r="T25" t="s">
        <v>1487</v>
      </c>
      <c r="U25" t="s">
        <v>1505</v>
      </c>
      <c r="V25" t="s">
        <v>1674</v>
      </c>
      <c r="W25" t="s">
        <v>1692</v>
      </c>
    </row>
    <row r="26" spans="1:23" x14ac:dyDescent="0.25">
      <c r="A26" t="s">
        <v>492</v>
      </c>
      <c r="B26" s="9">
        <v>45464</v>
      </c>
      <c r="C26" t="s">
        <v>68</v>
      </c>
      <c r="D26" t="s">
        <v>1699</v>
      </c>
      <c r="E26" t="s">
        <v>121</v>
      </c>
      <c r="F26">
        <v>5</v>
      </c>
      <c r="G26">
        <v>0</v>
      </c>
      <c r="H26" t="s">
        <v>25</v>
      </c>
      <c r="I26" t="s">
        <v>31</v>
      </c>
      <c r="J26" t="s">
        <v>21</v>
      </c>
      <c r="K26">
        <v>499</v>
      </c>
      <c r="L26">
        <v>250</v>
      </c>
      <c r="M26">
        <v>2495</v>
      </c>
      <c r="N26">
        <v>1250</v>
      </c>
      <c r="O26">
        <v>1245</v>
      </c>
      <c r="P26">
        <v>0</v>
      </c>
      <c r="Q26" t="s">
        <v>1473</v>
      </c>
      <c r="R26" t="s">
        <v>1474</v>
      </c>
      <c r="S26" t="s">
        <v>1504</v>
      </c>
      <c r="T26" t="s">
        <v>1492</v>
      </c>
      <c r="U26" t="s">
        <v>1488</v>
      </c>
      <c r="V26" t="s">
        <v>1672</v>
      </c>
      <c r="W26" t="s">
        <v>1692</v>
      </c>
    </row>
    <row r="27" spans="1:23" x14ac:dyDescent="0.25">
      <c r="A27" t="s">
        <v>483</v>
      </c>
      <c r="B27" s="9">
        <v>45456</v>
      </c>
      <c r="C27" t="s">
        <v>421</v>
      </c>
      <c r="D27" t="s">
        <v>1699</v>
      </c>
      <c r="E27" t="s">
        <v>121</v>
      </c>
      <c r="F27">
        <v>6</v>
      </c>
      <c r="G27">
        <v>0.05</v>
      </c>
      <c r="H27" t="s">
        <v>19</v>
      </c>
      <c r="I27" t="s">
        <v>38</v>
      </c>
      <c r="J27" t="s">
        <v>21</v>
      </c>
      <c r="K27">
        <v>499</v>
      </c>
      <c r="L27">
        <v>250</v>
      </c>
      <c r="M27">
        <v>2844.3</v>
      </c>
      <c r="N27">
        <v>1500</v>
      </c>
      <c r="O27">
        <v>1344.3000000000002</v>
      </c>
      <c r="P27">
        <v>149.70000000000002</v>
      </c>
      <c r="Q27" t="s">
        <v>1473</v>
      </c>
      <c r="R27" t="s">
        <v>1474</v>
      </c>
      <c r="S27" t="s">
        <v>1495</v>
      </c>
      <c r="T27" t="s">
        <v>1496</v>
      </c>
      <c r="U27" t="s">
        <v>1488</v>
      </c>
      <c r="V27" t="s">
        <v>1672</v>
      </c>
      <c r="W27" t="s">
        <v>1692</v>
      </c>
    </row>
    <row r="28" spans="1:23" x14ac:dyDescent="0.25">
      <c r="A28" t="s">
        <v>472</v>
      </c>
      <c r="B28" s="9">
        <v>45450</v>
      </c>
      <c r="C28" t="s">
        <v>108</v>
      </c>
      <c r="D28" t="s">
        <v>1699</v>
      </c>
      <c r="E28" t="s">
        <v>121</v>
      </c>
      <c r="F28">
        <v>10</v>
      </c>
      <c r="G28">
        <v>0</v>
      </c>
      <c r="H28" t="s">
        <v>30</v>
      </c>
      <c r="I28" t="s">
        <v>38</v>
      </c>
      <c r="J28" t="s">
        <v>21</v>
      </c>
      <c r="K28">
        <v>499</v>
      </c>
      <c r="L28">
        <v>250</v>
      </c>
      <c r="M28">
        <v>4990</v>
      </c>
      <c r="N28">
        <v>2500</v>
      </c>
      <c r="O28">
        <v>2490</v>
      </c>
      <c r="P28">
        <v>0</v>
      </c>
      <c r="Q28" t="s">
        <v>1473</v>
      </c>
      <c r="R28" t="s">
        <v>1474</v>
      </c>
      <c r="S28" t="s">
        <v>1576</v>
      </c>
      <c r="T28" t="s">
        <v>1548</v>
      </c>
      <c r="U28" t="s">
        <v>1505</v>
      </c>
      <c r="V28" t="s">
        <v>1672</v>
      </c>
      <c r="W28" t="s">
        <v>1692</v>
      </c>
    </row>
    <row r="29" spans="1:23" x14ac:dyDescent="0.25">
      <c r="A29" t="s">
        <v>436</v>
      </c>
      <c r="B29" s="9">
        <v>45439</v>
      </c>
      <c r="C29" t="s">
        <v>437</v>
      </c>
      <c r="D29" t="s">
        <v>1671</v>
      </c>
      <c r="E29" t="s">
        <v>121</v>
      </c>
      <c r="F29">
        <v>4</v>
      </c>
      <c r="G29">
        <v>0.15</v>
      </c>
      <c r="H29" t="s">
        <v>19</v>
      </c>
      <c r="I29" t="s">
        <v>26</v>
      </c>
      <c r="J29" t="s">
        <v>21</v>
      </c>
      <c r="K29">
        <v>499</v>
      </c>
      <c r="L29">
        <v>250</v>
      </c>
      <c r="M29">
        <v>1696.6</v>
      </c>
      <c r="N29">
        <v>1000</v>
      </c>
      <c r="O29">
        <v>696.59999999999991</v>
      </c>
      <c r="P29">
        <v>299.39999999999998</v>
      </c>
      <c r="Q29" t="s">
        <v>1473</v>
      </c>
      <c r="R29" t="s">
        <v>1474</v>
      </c>
      <c r="S29" t="s">
        <v>1501</v>
      </c>
      <c r="T29" t="s">
        <v>1496</v>
      </c>
      <c r="U29" t="s">
        <v>1488</v>
      </c>
      <c r="V29" t="s">
        <v>1671</v>
      </c>
      <c r="W29" t="s">
        <v>1692</v>
      </c>
    </row>
    <row r="30" spans="1:23" x14ac:dyDescent="0.25">
      <c r="A30" t="s">
        <v>409</v>
      </c>
      <c r="B30" s="9">
        <v>45426</v>
      </c>
      <c r="C30" t="s">
        <v>68</v>
      </c>
      <c r="D30" t="s">
        <v>1671</v>
      </c>
      <c r="E30" t="s">
        <v>121</v>
      </c>
      <c r="F30">
        <v>1</v>
      </c>
      <c r="G30">
        <v>0.2</v>
      </c>
      <c r="H30" t="s">
        <v>25</v>
      </c>
      <c r="I30" t="s">
        <v>20</v>
      </c>
      <c r="J30" t="s">
        <v>21</v>
      </c>
      <c r="K30">
        <v>499</v>
      </c>
      <c r="L30">
        <v>250</v>
      </c>
      <c r="M30">
        <v>399.2</v>
      </c>
      <c r="N30">
        <v>250</v>
      </c>
      <c r="O30">
        <v>149.19999999999999</v>
      </c>
      <c r="P30">
        <v>99.800000000000011</v>
      </c>
      <c r="Q30" t="s">
        <v>1473</v>
      </c>
      <c r="R30" t="s">
        <v>1474</v>
      </c>
      <c r="S30" t="s">
        <v>1504</v>
      </c>
      <c r="T30" t="s">
        <v>1492</v>
      </c>
      <c r="U30" t="s">
        <v>1488</v>
      </c>
      <c r="V30" t="s">
        <v>1671</v>
      </c>
      <c r="W30" t="s">
        <v>1692</v>
      </c>
    </row>
    <row r="31" spans="1:23" x14ac:dyDescent="0.25">
      <c r="A31" t="s">
        <v>408</v>
      </c>
      <c r="B31" s="9">
        <v>45425</v>
      </c>
      <c r="C31" t="s">
        <v>228</v>
      </c>
      <c r="D31" t="s">
        <v>1671</v>
      </c>
      <c r="E31" t="s">
        <v>121</v>
      </c>
      <c r="F31">
        <v>2</v>
      </c>
      <c r="G31">
        <v>0</v>
      </c>
      <c r="H31" t="s">
        <v>30</v>
      </c>
      <c r="I31" t="s">
        <v>46</v>
      </c>
      <c r="J31" t="s">
        <v>94</v>
      </c>
      <c r="K31">
        <v>499</v>
      </c>
      <c r="L31">
        <v>250</v>
      </c>
      <c r="M31">
        <v>998</v>
      </c>
      <c r="N31">
        <v>500</v>
      </c>
      <c r="O31">
        <v>498</v>
      </c>
      <c r="P31">
        <v>0</v>
      </c>
      <c r="Q31" t="s">
        <v>1473</v>
      </c>
      <c r="R31" t="s">
        <v>1474</v>
      </c>
      <c r="S31" t="s">
        <v>1558</v>
      </c>
      <c r="T31" t="s">
        <v>1548</v>
      </c>
      <c r="U31" t="s">
        <v>1488</v>
      </c>
      <c r="V31" t="s">
        <v>1671</v>
      </c>
      <c r="W31" t="s">
        <v>1692</v>
      </c>
    </row>
    <row r="32" spans="1:23" x14ac:dyDescent="0.25">
      <c r="A32" t="s">
        <v>342</v>
      </c>
      <c r="B32" s="9">
        <v>45398</v>
      </c>
      <c r="C32" t="s">
        <v>56</v>
      </c>
      <c r="D32" t="s">
        <v>1698</v>
      </c>
      <c r="E32" t="s">
        <v>121</v>
      </c>
      <c r="F32">
        <v>10</v>
      </c>
      <c r="G32">
        <v>0</v>
      </c>
      <c r="H32" t="s">
        <v>19</v>
      </c>
      <c r="I32" t="s">
        <v>26</v>
      </c>
      <c r="J32" t="s">
        <v>42</v>
      </c>
      <c r="K32">
        <v>499</v>
      </c>
      <c r="L32">
        <v>250</v>
      </c>
      <c r="M32">
        <v>4990</v>
      </c>
      <c r="N32">
        <v>2500</v>
      </c>
      <c r="O32">
        <v>2490</v>
      </c>
      <c r="P32">
        <v>0</v>
      </c>
      <c r="Q32" t="s">
        <v>1473</v>
      </c>
      <c r="R32" t="s">
        <v>1474</v>
      </c>
      <c r="S32" t="s">
        <v>1501</v>
      </c>
      <c r="T32" t="s">
        <v>1487</v>
      </c>
      <c r="U32" t="s">
        <v>1488</v>
      </c>
      <c r="V32" t="s">
        <v>1670</v>
      </c>
      <c r="W32" t="s">
        <v>1692</v>
      </c>
    </row>
    <row r="33" spans="1:23" x14ac:dyDescent="0.25">
      <c r="A33" t="s">
        <v>332</v>
      </c>
      <c r="B33" s="9">
        <v>45397</v>
      </c>
      <c r="C33" t="s">
        <v>333</v>
      </c>
      <c r="D33" t="s">
        <v>1698</v>
      </c>
      <c r="E33" t="s">
        <v>121</v>
      </c>
      <c r="F33">
        <v>1</v>
      </c>
      <c r="G33">
        <v>0.1</v>
      </c>
      <c r="H33" t="s">
        <v>30</v>
      </c>
      <c r="I33" t="s">
        <v>20</v>
      </c>
      <c r="J33" t="s">
        <v>21</v>
      </c>
      <c r="K33">
        <v>499</v>
      </c>
      <c r="L33">
        <v>250</v>
      </c>
      <c r="M33">
        <v>449.1</v>
      </c>
      <c r="N33">
        <v>250</v>
      </c>
      <c r="O33">
        <v>199.10000000000002</v>
      </c>
      <c r="P33">
        <v>49.900000000000006</v>
      </c>
      <c r="Q33" t="s">
        <v>1473</v>
      </c>
      <c r="R33" t="s">
        <v>1474</v>
      </c>
      <c r="S33" t="s">
        <v>1491</v>
      </c>
      <c r="T33" t="s">
        <v>1492</v>
      </c>
      <c r="U33" t="s">
        <v>1505</v>
      </c>
      <c r="V33" t="s">
        <v>1670</v>
      </c>
      <c r="W33" t="s">
        <v>1692</v>
      </c>
    </row>
    <row r="34" spans="1:23" x14ac:dyDescent="0.25">
      <c r="A34" t="s">
        <v>323</v>
      </c>
      <c r="B34" s="9">
        <v>45393</v>
      </c>
      <c r="C34" t="s">
        <v>310</v>
      </c>
      <c r="D34" t="s">
        <v>1698</v>
      </c>
      <c r="E34" t="s">
        <v>121</v>
      </c>
      <c r="F34">
        <v>6</v>
      </c>
      <c r="G34">
        <v>0</v>
      </c>
      <c r="H34" t="s">
        <v>19</v>
      </c>
      <c r="I34" t="s">
        <v>31</v>
      </c>
      <c r="J34" t="s">
        <v>21</v>
      </c>
      <c r="K34">
        <v>499</v>
      </c>
      <c r="L34">
        <v>250</v>
      </c>
      <c r="M34">
        <v>2994</v>
      </c>
      <c r="N34">
        <v>1500</v>
      </c>
      <c r="O34">
        <v>1494</v>
      </c>
      <c r="P34">
        <v>0</v>
      </c>
      <c r="Q34" t="s">
        <v>1473</v>
      </c>
      <c r="R34" t="s">
        <v>1474</v>
      </c>
      <c r="S34" t="s">
        <v>1558</v>
      </c>
      <c r="T34" t="s">
        <v>1548</v>
      </c>
      <c r="U34" t="s">
        <v>1488</v>
      </c>
      <c r="V34" t="s">
        <v>1670</v>
      </c>
      <c r="W34" t="s">
        <v>1692</v>
      </c>
    </row>
    <row r="35" spans="1:23" x14ac:dyDescent="0.25">
      <c r="A35" t="s">
        <v>302</v>
      </c>
      <c r="B35" s="9">
        <v>45385</v>
      </c>
      <c r="C35" t="s">
        <v>90</v>
      </c>
      <c r="D35" t="s">
        <v>1698</v>
      </c>
      <c r="E35" t="s">
        <v>121</v>
      </c>
      <c r="F35">
        <v>2</v>
      </c>
      <c r="G35">
        <v>0.05</v>
      </c>
      <c r="H35" t="s">
        <v>25</v>
      </c>
      <c r="I35" t="s">
        <v>31</v>
      </c>
      <c r="J35" t="s">
        <v>21</v>
      </c>
      <c r="K35">
        <v>499</v>
      </c>
      <c r="L35">
        <v>250</v>
      </c>
      <c r="M35">
        <v>948.1</v>
      </c>
      <c r="N35">
        <v>500</v>
      </c>
      <c r="O35">
        <v>448.1</v>
      </c>
      <c r="P35">
        <v>49.900000000000006</v>
      </c>
      <c r="Q35" t="s">
        <v>1473</v>
      </c>
      <c r="R35" t="s">
        <v>1474</v>
      </c>
      <c r="S35" t="s">
        <v>1508</v>
      </c>
      <c r="T35" t="s">
        <v>1509</v>
      </c>
      <c r="U35" t="s">
        <v>1505</v>
      </c>
      <c r="V35" t="s">
        <v>1670</v>
      </c>
      <c r="W35" t="s">
        <v>1692</v>
      </c>
    </row>
    <row r="36" spans="1:23" x14ac:dyDescent="0.25">
      <c r="A36" t="s">
        <v>296</v>
      </c>
      <c r="B36" s="9">
        <v>45385</v>
      </c>
      <c r="C36" t="s">
        <v>297</v>
      </c>
      <c r="D36" t="s">
        <v>1698</v>
      </c>
      <c r="E36" t="s">
        <v>121</v>
      </c>
      <c r="F36">
        <v>5</v>
      </c>
      <c r="G36">
        <v>0.05</v>
      </c>
      <c r="H36" t="s">
        <v>19</v>
      </c>
      <c r="I36" t="s">
        <v>31</v>
      </c>
      <c r="J36" t="s">
        <v>21</v>
      </c>
      <c r="K36">
        <v>499</v>
      </c>
      <c r="L36">
        <v>250</v>
      </c>
      <c r="M36">
        <v>2370.25</v>
      </c>
      <c r="N36">
        <v>1250</v>
      </c>
      <c r="O36">
        <v>1120.25</v>
      </c>
      <c r="P36">
        <v>124.75</v>
      </c>
      <c r="Q36" t="s">
        <v>1473</v>
      </c>
      <c r="R36" t="s">
        <v>1474</v>
      </c>
      <c r="S36" t="s">
        <v>1501</v>
      </c>
      <c r="T36" t="s">
        <v>1487</v>
      </c>
      <c r="U36" t="s">
        <v>1488</v>
      </c>
      <c r="V36" t="s">
        <v>1670</v>
      </c>
      <c r="W36" t="s">
        <v>1692</v>
      </c>
    </row>
    <row r="37" spans="1:23" x14ac:dyDescent="0.25">
      <c r="A37" t="s">
        <v>244</v>
      </c>
      <c r="B37" s="9">
        <v>45365</v>
      </c>
      <c r="C37" t="s">
        <v>98</v>
      </c>
      <c r="D37" t="s">
        <v>1697</v>
      </c>
      <c r="E37" t="s">
        <v>121</v>
      </c>
      <c r="F37">
        <v>1</v>
      </c>
      <c r="G37">
        <v>0.05</v>
      </c>
      <c r="H37" t="s">
        <v>30</v>
      </c>
      <c r="I37" t="s">
        <v>38</v>
      </c>
      <c r="J37" t="s">
        <v>21</v>
      </c>
      <c r="K37">
        <v>499</v>
      </c>
      <c r="L37">
        <v>250</v>
      </c>
      <c r="M37">
        <v>474.05</v>
      </c>
      <c r="N37">
        <v>250</v>
      </c>
      <c r="O37">
        <v>224.05</v>
      </c>
      <c r="P37">
        <v>24.950000000000003</v>
      </c>
      <c r="Q37" t="s">
        <v>1473</v>
      </c>
      <c r="R37" t="s">
        <v>1474</v>
      </c>
      <c r="S37" t="s">
        <v>1516</v>
      </c>
      <c r="T37" t="s">
        <v>1509</v>
      </c>
      <c r="U37" t="s">
        <v>1488</v>
      </c>
      <c r="V37" t="s">
        <v>1669</v>
      </c>
      <c r="W37" t="s">
        <v>1692</v>
      </c>
    </row>
    <row r="38" spans="1:23" x14ac:dyDescent="0.25">
      <c r="A38" t="s">
        <v>240</v>
      </c>
      <c r="B38" s="9">
        <v>45364</v>
      </c>
      <c r="C38" t="s">
        <v>241</v>
      </c>
      <c r="D38" t="s">
        <v>1697</v>
      </c>
      <c r="E38" t="s">
        <v>121</v>
      </c>
      <c r="F38">
        <v>4</v>
      </c>
      <c r="G38">
        <v>0</v>
      </c>
      <c r="H38" t="s">
        <v>25</v>
      </c>
      <c r="I38" t="s">
        <v>20</v>
      </c>
      <c r="J38" t="s">
        <v>21</v>
      </c>
      <c r="K38">
        <v>499</v>
      </c>
      <c r="L38">
        <v>250</v>
      </c>
      <c r="M38">
        <v>1996</v>
      </c>
      <c r="N38">
        <v>1000</v>
      </c>
      <c r="O38">
        <v>996</v>
      </c>
      <c r="P38">
        <v>0</v>
      </c>
      <c r="Q38" t="s">
        <v>1473</v>
      </c>
      <c r="R38" t="s">
        <v>1474</v>
      </c>
      <c r="S38" t="s">
        <v>1558</v>
      </c>
      <c r="T38" t="s">
        <v>1548</v>
      </c>
      <c r="U38" t="s">
        <v>1551</v>
      </c>
      <c r="V38" t="s">
        <v>1669</v>
      </c>
      <c r="W38" t="s">
        <v>1692</v>
      </c>
    </row>
    <row r="39" spans="1:23" x14ac:dyDescent="0.25">
      <c r="A39" t="s">
        <v>222</v>
      </c>
      <c r="B39" s="9">
        <v>45358</v>
      </c>
      <c r="C39" t="s">
        <v>76</v>
      </c>
      <c r="D39" t="s">
        <v>1697</v>
      </c>
      <c r="E39" t="s">
        <v>121</v>
      </c>
      <c r="F39">
        <v>5</v>
      </c>
      <c r="G39">
        <v>0.05</v>
      </c>
      <c r="H39" t="s">
        <v>30</v>
      </c>
      <c r="I39" t="s">
        <v>26</v>
      </c>
      <c r="J39" t="s">
        <v>21</v>
      </c>
      <c r="K39">
        <v>499</v>
      </c>
      <c r="L39">
        <v>250</v>
      </c>
      <c r="M39">
        <v>2370.25</v>
      </c>
      <c r="N39">
        <v>1250</v>
      </c>
      <c r="O39">
        <v>1120.25</v>
      </c>
      <c r="P39">
        <v>124.75</v>
      </c>
      <c r="Q39" t="s">
        <v>1473</v>
      </c>
      <c r="R39" t="s">
        <v>1474</v>
      </c>
      <c r="S39" t="s">
        <v>1576</v>
      </c>
      <c r="T39" t="s">
        <v>1548</v>
      </c>
      <c r="U39" t="s">
        <v>1505</v>
      </c>
      <c r="V39" t="s">
        <v>1669</v>
      </c>
      <c r="W39" t="s">
        <v>1692</v>
      </c>
    </row>
    <row r="40" spans="1:23" x14ac:dyDescent="0.25">
      <c r="A40" t="s">
        <v>119</v>
      </c>
      <c r="B40" s="9">
        <v>45323</v>
      </c>
      <c r="C40" t="s">
        <v>120</v>
      </c>
      <c r="D40" t="s">
        <v>1696</v>
      </c>
      <c r="E40" t="s">
        <v>121</v>
      </c>
      <c r="F40">
        <v>1</v>
      </c>
      <c r="G40">
        <v>0</v>
      </c>
      <c r="H40" t="s">
        <v>25</v>
      </c>
      <c r="I40" t="s">
        <v>26</v>
      </c>
      <c r="J40" t="s">
        <v>21</v>
      </c>
      <c r="K40">
        <v>499</v>
      </c>
      <c r="L40">
        <v>250</v>
      </c>
      <c r="M40">
        <v>499</v>
      </c>
      <c r="N40">
        <v>250</v>
      </c>
      <c r="O40">
        <v>249</v>
      </c>
      <c r="P40">
        <v>0</v>
      </c>
      <c r="Q40" t="s">
        <v>1473</v>
      </c>
      <c r="R40" t="s">
        <v>1474</v>
      </c>
      <c r="S40" t="s">
        <v>1495</v>
      </c>
      <c r="T40" t="s">
        <v>1496</v>
      </c>
      <c r="U40" t="s">
        <v>1505</v>
      </c>
      <c r="V40" t="s">
        <v>1668</v>
      </c>
      <c r="W40" t="s">
        <v>1692</v>
      </c>
    </row>
    <row r="41" spans="1:23" x14ac:dyDescent="0.25">
      <c r="A41" t="s">
        <v>202</v>
      </c>
      <c r="B41" s="9">
        <v>45349</v>
      </c>
      <c r="C41" t="s">
        <v>203</v>
      </c>
      <c r="D41" t="s">
        <v>1696</v>
      </c>
      <c r="E41" t="s">
        <v>121</v>
      </c>
      <c r="F41">
        <v>10</v>
      </c>
      <c r="G41">
        <v>0</v>
      </c>
      <c r="H41" t="s">
        <v>30</v>
      </c>
      <c r="I41" t="s">
        <v>38</v>
      </c>
      <c r="J41" t="s">
        <v>42</v>
      </c>
      <c r="K41">
        <v>499</v>
      </c>
      <c r="L41">
        <v>250</v>
      </c>
      <c r="M41">
        <v>4990</v>
      </c>
      <c r="N41">
        <v>2500</v>
      </c>
      <c r="O41">
        <v>2490</v>
      </c>
      <c r="P41">
        <v>0</v>
      </c>
      <c r="Q41" t="s">
        <v>1473</v>
      </c>
      <c r="R41" t="s">
        <v>1474</v>
      </c>
      <c r="S41" t="s">
        <v>1508</v>
      </c>
      <c r="T41" t="s">
        <v>1509</v>
      </c>
      <c r="U41" t="s">
        <v>1505</v>
      </c>
      <c r="V41" t="s">
        <v>1668</v>
      </c>
      <c r="W41" t="s">
        <v>1692</v>
      </c>
    </row>
    <row r="42" spans="1:23" x14ac:dyDescent="0.25">
      <c r="A42" t="s">
        <v>124</v>
      </c>
      <c r="B42" s="9">
        <v>45325</v>
      </c>
      <c r="C42" t="s">
        <v>117</v>
      </c>
      <c r="D42" t="s">
        <v>1696</v>
      </c>
      <c r="E42" t="s">
        <v>121</v>
      </c>
      <c r="F42">
        <v>2</v>
      </c>
      <c r="G42">
        <v>0</v>
      </c>
      <c r="H42" t="s">
        <v>25</v>
      </c>
      <c r="I42" t="s">
        <v>38</v>
      </c>
      <c r="J42" t="s">
        <v>21</v>
      </c>
      <c r="K42">
        <v>499</v>
      </c>
      <c r="L42">
        <v>250</v>
      </c>
      <c r="M42">
        <v>998</v>
      </c>
      <c r="N42">
        <v>500</v>
      </c>
      <c r="O42">
        <v>498</v>
      </c>
      <c r="P42">
        <v>0</v>
      </c>
      <c r="Q42" t="s">
        <v>1473</v>
      </c>
      <c r="R42" t="s">
        <v>1474</v>
      </c>
      <c r="S42" t="s">
        <v>1486</v>
      </c>
      <c r="T42" t="s">
        <v>1487</v>
      </c>
      <c r="U42" t="s">
        <v>1488</v>
      </c>
      <c r="V42" t="s">
        <v>1668</v>
      </c>
      <c r="W42" t="s">
        <v>1692</v>
      </c>
    </row>
    <row r="43" spans="1:23" x14ac:dyDescent="0.25">
      <c r="A43" t="s">
        <v>167</v>
      </c>
      <c r="B43" s="9">
        <v>45338</v>
      </c>
      <c r="C43" t="s">
        <v>168</v>
      </c>
      <c r="D43" t="s">
        <v>1696</v>
      </c>
      <c r="E43" t="s">
        <v>121</v>
      </c>
      <c r="F43">
        <v>1</v>
      </c>
      <c r="G43">
        <v>0.15</v>
      </c>
      <c r="H43" t="s">
        <v>30</v>
      </c>
      <c r="I43" t="s">
        <v>38</v>
      </c>
      <c r="J43" t="s">
        <v>21</v>
      </c>
      <c r="K43">
        <v>499</v>
      </c>
      <c r="L43">
        <v>250</v>
      </c>
      <c r="M43">
        <v>424.15</v>
      </c>
      <c r="N43">
        <v>250</v>
      </c>
      <c r="O43">
        <v>174.14999999999998</v>
      </c>
      <c r="P43">
        <v>74.849999999999994</v>
      </c>
      <c r="Q43" t="s">
        <v>1473</v>
      </c>
      <c r="R43" t="s">
        <v>1474</v>
      </c>
      <c r="S43" t="s">
        <v>1559</v>
      </c>
      <c r="T43" t="s">
        <v>1492</v>
      </c>
      <c r="U43" t="s">
        <v>1505</v>
      </c>
      <c r="V43" t="s">
        <v>1668</v>
      </c>
      <c r="W43" t="s">
        <v>1692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A8CDA-4C08-450F-8127-EEB7AC6BDD63}">
  <dimension ref="A1:M67"/>
  <sheetViews>
    <sheetView workbookViewId="0">
      <selection activeCell="L21" sqref="L21"/>
    </sheetView>
  </sheetViews>
  <sheetFormatPr defaultRowHeight="15" x14ac:dyDescent="0.25"/>
  <cols>
    <col min="1" max="1" width="14.5703125" bestFit="1" customWidth="1"/>
    <col min="2" max="2" width="12.5703125" bestFit="1" customWidth="1"/>
    <col min="3" max="3" width="16.140625" bestFit="1" customWidth="1"/>
    <col min="4" max="4" width="22" bestFit="1" customWidth="1"/>
    <col min="5" max="5" width="12.5703125" bestFit="1" customWidth="1"/>
    <col min="6" max="6" width="16.140625" bestFit="1" customWidth="1"/>
    <col min="7" max="7" width="16.5703125" bestFit="1" customWidth="1"/>
    <col min="8" max="8" width="12.5703125" bestFit="1" customWidth="1"/>
    <col min="9" max="9" width="13.140625" bestFit="1" customWidth="1"/>
    <col min="10" max="10" width="12.5703125" bestFit="1" customWidth="1"/>
    <col min="12" max="12" width="12.5703125" bestFit="1" customWidth="1"/>
    <col min="13" max="14" width="16.140625" bestFit="1" customWidth="1"/>
  </cols>
  <sheetData>
    <row r="1" spans="1:13" x14ac:dyDescent="0.25">
      <c r="A1" s="7" t="s">
        <v>1688</v>
      </c>
      <c r="B1" t="s">
        <v>1690</v>
      </c>
      <c r="C1" t="s">
        <v>1705</v>
      </c>
      <c r="D1" s="7" t="s">
        <v>1688</v>
      </c>
      <c r="E1" t="s">
        <v>1694</v>
      </c>
      <c r="G1" s="7" t="s">
        <v>1688</v>
      </c>
      <c r="H1" t="s">
        <v>1690</v>
      </c>
      <c r="I1" s="7" t="s">
        <v>1688</v>
      </c>
      <c r="J1" t="s">
        <v>1694</v>
      </c>
      <c r="L1" s="7" t="s">
        <v>1688</v>
      </c>
      <c r="M1" t="s">
        <v>1694</v>
      </c>
    </row>
    <row r="2" spans="1:13" x14ac:dyDescent="0.25">
      <c r="A2" s="8" t="s">
        <v>1667</v>
      </c>
      <c r="B2" s="10">
        <v>217851.55</v>
      </c>
      <c r="C2" s="10">
        <v>595921.55000000005</v>
      </c>
      <c r="D2" s="8" t="s">
        <v>20</v>
      </c>
      <c r="E2" s="10">
        <v>242</v>
      </c>
      <c r="G2" s="8" t="s">
        <v>1488</v>
      </c>
      <c r="H2" s="10">
        <v>1614174.7500000019</v>
      </c>
      <c r="I2" s="8" t="s">
        <v>94</v>
      </c>
      <c r="J2" s="10">
        <v>67</v>
      </c>
      <c r="L2" s="8" t="s">
        <v>1526</v>
      </c>
      <c r="M2" s="10">
        <v>37</v>
      </c>
    </row>
    <row r="3" spans="1:13" x14ac:dyDescent="0.25">
      <c r="A3" s="8" t="s">
        <v>1668</v>
      </c>
      <c r="B3" s="10">
        <v>141957.55000000002</v>
      </c>
      <c r="C3" s="10">
        <v>406277.54999999993</v>
      </c>
      <c r="D3" s="8" t="s">
        <v>46</v>
      </c>
      <c r="E3" s="10">
        <v>219</v>
      </c>
      <c r="G3" s="8" t="s">
        <v>1505</v>
      </c>
      <c r="H3" s="10">
        <v>754055.74999999965</v>
      </c>
      <c r="I3" s="8" t="s">
        <v>21</v>
      </c>
      <c r="J3" s="10">
        <v>1001</v>
      </c>
      <c r="L3" s="8" t="s">
        <v>1513</v>
      </c>
      <c r="M3" s="10">
        <v>38</v>
      </c>
    </row>
    <row r="4" spans="1:13" x14ac:dyDescent="0.25">
      <c r="A4" s="8" t="s">
        <v>1669</v>
      </c>
      <c r="B4" s="10">
        <v>279373.34999999998</v>
      </c>
      <c r="C4" s="10">
        <v>750483.34999999986</v>
      </c>
      <c r="D4" s="8" t="s">
        <v>26</v>
      </c>
      <c r="E4" s="10">
        <v>246</v>
      </c>
      <c r="G4" s="8" t="s">
        <v>1551</v>
      </c>
      <c r="H4" s="10">
        <v>349799.19999999995</v>
      </c>
      <c r="I4" s="8" t="s">
        <v>42</v>
      </c>
      <c r="J4" s="10">
        <v>49</v>
      </c>
      <c r="L4" s="8" t="s">
        <v>1558</v>
      </c>
      <c r="M4" s="10">
        <v>57</v>
      </c>
    </row>
    <row r="5" spans="1:13" x14ac:dyDescent="0.25">
      <c r="A5" s="8" t="s">
        <v>1670</v>
      </c>
      <c r="B5" s="10">
        <v>222276.60000000003</v>
      </c>
      <c r="C5" s="10">
        <v>626176.60000000009</v>
      </c>
      <c r="D5" s="8" t="s">
        <v>31</v>
      </c>
      <c r="E5" s="10">
        <v>241</v>
      </c>
      <c r="G5" s="8" t="s">
        <v>1689</v>
      </c>
      <c r="H5" s="10">
        <v>2718029.7000000011</v>
      </c>
      <c r="I5" s="8" t="s">
        <v>79</v>
      </c>
      <c r="J5" s="10">
        <v>83</v>
      </c>
      <c r="L5" s="8" t="s">
        <v>1491</v>
      </c>
      <c r="M5" s="10">
        <v>57</v>
      </c>
    </row>
    <row r="6" spans="1:13" x14ac:dyDescent="0.25">
      <c r="A6" s="8" t="s">
        <v>1671</v>
      </c>
      <c r="B6" s="10">
        <v>252334.44999999998</v>
      </c>
      <c r="C6" s="10">
        <v>716064.45000000007</v>
      </c>
      <c r="D6" s="8" t="s">
        <v>38</v>
      </c>
      <c r="E6" s="10">
        <v>252</v>
      </c>
      <c r="I6" s="8" t="s">
        <v>1689</v>
      </c>
      <c r="J6" s="10">
        <v>1200</v>
      </c>
      <c r="L6" s="8" t="s">
        <v>1547</v>
      </c>
      <c r="M6" s="10">
        <v>62</v>
      </c>
    </row>
    <row r="7" spans="1:13" x14ac:dyDescent="0.25">
      <c r="A7" s="8" t="s">
        <v>1672</v>
      </c>
      <c r="B7" s="10">
        <v>160152.49999999997</v>
      </c>
      <c r="C7" s="10">
        <v>437662.49999999994</v>
      </c>
      <c r="D7" s="8" t="s">
        <v>1689</v>
      </c>
      <c r="E7" s="10">
        <v>1200</v>
      </c>
      <c r="G7" t="s">
        <v>1694</v>
      </c>
      <c r="L7" s="8" t="s">
        <v>1516</v>
      </c>
      <c r="M7" s="10">
        <v>63</v>
      </c>
    </row>
    <row r="8" spans="1:13" x14ac:dyDescent="0.25">
      <c r="A8" s="8" t="s">
        <v>1673</v>
      </c>
      <c r="B8" s="10">
        <v>184184.90000000005</v>
      </c>
      <c r="C8" s="10">
        <v>522634.89999999997</v>
      </c>
      <c r="G8" s="10">
        <v>1200</v>
      </c>
      <c r="L8" s="8" t="s">
        <v>1576</v>
      </c>
      <c r="M8" s="10">
        <v>64</v>
      </c>
    </row>
    <row r="9" spans="1:13" x14ac:dyDescent="0.25">
      <c r="A9" s="8" t="s">
        <v>1674</v>
      </c>
      <c r="B9" s="10">
        <v>180688.30000000002</v>
      </c>
      <c r="C9" s="10">
        <v>512178.29999999981</v>
      </c>
      <c r="D9" s="7" t="s">
        <v>1688</v>
      </c>
      <c r="E9" t="s">
        <v>1690</v>
      </c>
      <c r="F9" t="s">
        <v>1705</v>
      </c>
      <c r="G9" s="7" t="s">
        <v>1688</v>
      </c>
      <c r="H9" t="s">
        <v>1690</v>
      </c>
      <c r="I9" t="s">
        <v>1705</v>
      </c>
      <c r="L9" s="8" t="s">
        <v>1508</v>
      </c>
      <c r="M9" s="10">
        <v>67</v>
      </c>
    </row>
    <row r="10" spans="1:13" x14ac:dyDescent="0.25">
      <c r="A10" s="8" t="s">
        <v>1675</v>
      </c>
      <c r="B10" s="10">
        <v>204758.65000000005</v>
      </c>
      <c r="C10" s="10">
        <v>607238.64999999979</v>
      </c>
      <c r="D10" s="8" t="s">
        <v>1466</v>
      </c>
      <c r="E10" s="10">
        <v>16136</v>
      </c>
      <c r="F10" s="10">
        <v>59696</v>
      </c>
      <c r="G10" s="8" t="s">
        <v>1547</v>
      </c>
      <c r="H10" s="10">
        <v>117282.75</v>
      </c>
      <c r="I10" s="10">
        <v>305792.75</v>
      </c>
      <c r="L10" s="8" t="s">
        <v>1521</v>
      </c>
      <c r="M10" s="10">
        <v>71</v>
      </c>
    </row>
    <row r="11" spans="1:13" x14ac:dyDescent="0.25">
      <c r="A11" s="8" t="s">
        <v>1676</v>
      </c>
      <c r="B11" s="10">
        <v>267305.55000000005</v>
      </c>
      <c r="C11" s="10">
        <v>764125.54999999993</v>
      </c>
      <c r="D11" s="8" t="s">
        <v>1455</v>
      </c>
      <c r="E11" s="10">
        <v>109449.20000000001</v>
      </c>
      <c r="F11" s="10">
        <v>301449.2</v>
      </c>
      <c r="G11" s="8" t="s">
        <v>1504</v>
      </c>
      <c r="H11" s="10">
        <v>152129.95000000001</v>
      </c>
      <c r="I11" s="10">
        <v>419519.94999999995</v>
      </c>
      <c r="L11" s="8" t="s">
        <v>1504</v>
      </c>
      <c r="M11" s="10">
        <v>77</v>
      </c>
    </row>
    <row r="12" spans="1:13" x14ac:dyDescent="0.25">
      <c r="A12" s="8" t="s">
        <v>1677</v>
      </c>
      <c r="B12" s="10">
        <v>307084</v>
      </c>
      <c r="C12" s="10">
        <v>877913.99999999988</v>
      </c>
      <c r="D12" s="8" t="s">
        <v>1463</v>
      </c>
      <c r="E12" s="10">
        <v>225478.14999999997</v>
      </c>
      <c r="F12" s="10">
        <v>760278.15000000026</v>
      </c>
      <c r="G12" s="8" t="s">
        <v>1559</v>
      </c>
      <c r="H12" s="10">
        <v>205561.24999999997</v>
      </c>
      <c r="I12" s="10">
        <v>586581.25</v>
      </c>
      <c r="L12" s="8" t="s">
        <v>1559</v>
      </c>
      <c r="M12" s="10">
        <v>82</v>
      </c>
    </row>
    <row r="13" spans="1:13" x14ac:dyDescent="0.25">
      <c r="A13" s="8" t="s">
        <v>1678</v>
      </c>
      <c r="B13" s="10">
        <v>300062.3000000001</v>
      </c>
      <c r="C13" s="10">
        <v>908992.2999999997</v>
      </c>
      <c r="D13" s="8" t="s">
        <v>1473</v>
      </c>
      <c r="E13" s="10">
        <v>35450.300000000003</v>
      </c>
      <c r="F13" s="10">
        <v>74700.299999999988</v>
      </c>
      <c r="G13" s="8" t="s">
        <v>1486</v>
      </c>
      <c r="H13" s="10">
        <v>565493.79999999981</v>
      </c>
      <c r="I13" s="10">
        <v>1636443.8000000007</v>
      </c>
      <c r="L13" s="8" t="s">
        <v>1501</v>
      </c>
      <c r="M13" s="10">
        <v>142</v>
      </c>
    </row>
    <row r="14" spans="1:13" x14ac:dyDescent="0.25">
      <c r="A14" s="8" t="s">
        <v>1689</v>
      </c>
      <c r="B14" s="10">
        <v>2718029.7000000007</v>
      </c>
      <c r="C14" s="10">
        <v>7725669.6999999983</v>
      </c>
      <c r="D14" s="8" t="s">
        <v>1476</v>
      </c>
      <c r="E14" s="10">
        <v>174206.60000000003</v>
      </c>
      <c r="F14" s="10">
        <v>383906.60000000003</v>
      </c>
      <c r="G14" s="8" t="s">
        <v>1513</v>
      </c>
      <c r="H14" s="10">
        <v>90663.799999999974</v>
      </c>
      <c r="I14" s="10">
        <v>306053.80000000005</v>
      </c>
      <c r="L14" s="8" t="s">
        <v>1495</v>
      </c>
      <c r="M14" s="10">
        <v>148</v>
      </c>
    </row>
    <row r="15" spans="1:13" x14ac:dyDescent="0.25">
      <c r="D15" s="8" t="s">
        <v>1472</v>
      </c>
      <c r="E15" s="10">
        <v>58419.89999999998</v>
      </c>
      <c r="F15" s="10">
        <v>150459.90000000002</v>
      </c>
      <c r="G15" s="8" t="s">
        <v>1508</v>
      </c>
      <c r="H15" s="10">
        <v>137398.70000000001</v>
      </c>
      <c r="I15" s="10">
        <v>379428.7</v>
      </c>
      <c r="L15" s="8" t="s">
        <v>1486</v>
      </c>
      <c r="M15" s="10">
        <v>235</v>
      </c>
    </row>
    <row r="16" spans="1:13" x14ac:dyDescent="0.25">
      <c r="D16" s="8" t="s">
        <v>1464</v>
      </c>
      <c r="E16" s="10">
        <v>345615.90000000008</v>
      </c>
      <c r="F16" s="10">
        <v>1122615.8999999997</v>
      </c>
      <c r="G16" s="8" t="s">
        <v>1495</v>
      </c>
      <c r="H16" s="10">
        <v>351407.35</v>
      </c>
      <c r="I16" s="10">
        <v>993437.35000000009</v>
      </c>
      <c r="L16" s="8" t="s">
        <v>1689</v>
      </c>
      <c r="M16" s="10">
        <v>1200</v>
      </c>
    </row>
    <row r="17" spans="1:13" x14ac:dyDescent="0.25">
      <c r="A17" s="7" t="s">
        <v>1688</v>
      </c>
      <c r="B17" t="s">
        <v>1690</v>
      </c>
      <c r="D17" s="8" t="s">
        <v>1475</v>
      </c>
      <c r="E17" s="10">
        <v>149728.5</v>
      </c>
      <c r="F17" s="10">
        <v>325528.50000000012</v>
      </c>
      <c r="G17" s="8" t="s">
        <v>1501</v>
      </c>
      <c r="H17" s="10">
        <v>308615.24999999988</v>
      </c>
      <c r="I17" s="10">
        <v>922835.25</v>
      </c>
    </row>
    <row r="18" spans="1:13" x14ac:dyDescent="0.25">
      <c r="A18" s="8" t="s">
        <v>1474</v>
      </c>
      <c r="B18" s="10">
        <v>605436.7999999997</v>
      </c>
      <c r="D18" s="8" t="s">
        <v>1468</v>
      </c>
      <c r="E18" s="10">
        <v>9382.5</v>
      </c>
      <c r="F18" s="10">
        <v>25852.5</v>
      </c>
      <c r="G18" s="8" t="s">
        <v>1558</v>
      </c>
      <c r="H18" s="10">
        <v>155017.79999999999</v>
      </c>
      <c r="I18" s="10">
        <v>418357.8000000001</v>
      </c>
    </row>
    <row r="19" spans="1:13" x14ac:dyDescent="0.25">
      <c r="A19" s="8" t="s">
        <v>1454</v>
      </c>
      <c r="B19" s="10">
        <v>587290.89999999956</v>
      </c>
      <c r="D19" s="8" t="s">
        <v>1457</v>
      </c>
      <c r="E19" s="10">
        <v>164537.25000000003</v>
      </c>
      <c r="F19" s="10">
        <v>420137.24999999994</v>
      </c>
      <c r="G19" s="8" t="s">
        <v>1491</v>
      </c>
      <c r="H19" s="10">
        <v>139437.35</v>
      </c>
      <c r="I19" s="10">
        <v>382367.35</v>
      </c>
    </row>
    <row r="20" spans="1:13" x14ac:dyDescent="0.25">
      <c r="A20" s="8" t="s">
        <v>1461</v>
      </c>
      <c r="B20" s="10">
        <v>1380015.7500000002</v>
      </c>
      <c r="D20" s="8" t="s">
        <v>1477</v>
      </c>
      <c r="E20" s="10">
        <v>139251.85</v>
      </c>
      <c r="F20" s="10">
        <v>300851.84999999998</v>
      </c>
      <c r="G20" s="8" t="s">
        <v>1516</v>
      </c>
      <c r="H20" s="10">
        <v>153041.1</v>
      </c>
      <c r="I20" s="10">
        <v>438531.10000000015</v>
      </c>
      <c r="L20" t="s">
        <v>1690</v>
      </c>
      <c r="M20" t="s">
        <v>1705</v>
      </c>
    </row>
    <row r="21" spans="1:13" x14ac:dyDescent="0.25">
      <c r="A21" s="8" t="s">
        <v>1467</v>
      </c>
      <c r="B21" s="10">
        <v>145286.25000000003</v>
      </c>
      <c r="D21" s="8" t="s">
        <v>1465</v>
      </c>
      <c r="E21" s="10">
        <v>75238.950000000026</v>
      </c>
      <c r="F21" s="10">
        <v>185238.94999999998</v>
      </c>
      <c r="G21" s="8" t="s">
        <v>1521</v>
      </c>
      <c r="H21" s="10">
        <v>156655.40000000005</v>
      </c>
      <c r="I21" s="10">
        <v>428675.39999999991</v>
      </c>
      <c r="L21" s="10">
        <v>2718029.7000000053</v>
      </c>
      <c r="M21" s="10">
        <v>7725669.6999999881</v>
      </c>
    </row>
    <row r="22" spans="1:13" x14ac:dyDescent="0.25">
      <c r="A22" s="8" t="s">
        <v>1689</v>
      </c>
      <c r="B22" s="10">
        <v>2718029.6999999993</v>
      </c>
      <c r="D22" s="8" t="s">
        <v>1470</v>
      </c>
      <c r="E22" s="10">
        <v>25852.849999999991</v>
      </c>
      <c r="F22" s="10">
        <v>69412.849999999991</v>
      </c>
      <c r="G22" s="8" t="s">
        <v>1526</v>
      </c>
      <c r="H22" s="10">
        <v>54039.15</v>
      </c>
      <c r="I22" s="10">
        <v>141969.15000000002</v>
      </c>
      <c r="L22" t="s">
        <v>1708</v>
      </c>
    </row>
    <row r="23" spans="1:13" x14ac:dyDescent="0.25">
      <c r="D23" s="8" t="s">
        <v>1460</v>
      </c>
      <c r="E23" s="10">
        <v>395291.45</v>
      </c>
      <c r="F23" s="10">
        <v>1284291.4500000002</v>
      </c>
      <c r="G23" s="8" t="s">
        <v>1576</v>
      </c>
      <c r="H23" s="10">
        <v>131286.05000000002</v>
      </c>
      <c r="I23" s="10">
        <v>365676.04999999987</v>
      </c>
      <c r="L23" s="10">
        <v>6438.0580833333233</v>
      </c>
    </row>
    <row r="24" spans="1:13" x14ac:dyDescent="0.25">
      <c r="D24" s="8" t="s">
        <v>1458</v>
      </c>
      <c r="E24" s="10">
        <v>104349.40000000004</v>
      </c>
      <c r="F24" s="10">
        <v>299549.39999999991</v>
      </c>
      <c r="G24" s="8" t="s">
        <v>1689</v>
      </c>
      <c r="H24" s="10">
        <v>2718029.6999999993</v>
      </c>
      <c r="I24" s="10">
        <v>7725669.700000002</v>
      </c>
    </row>
    <row r="25" spans="1:13" x14ac:dyDescent="0.25">
      <c r="D25" s="8" t="s">
        <v>1469</v>
      </c>
      <c r="E25" s="10">
        <v>15331</v>
      </c>
      <c r="F25" s="10">
        <v>36091</v>
      </c>
    </row>
    <row r="26" spans="1:13" x14ac:dyDescent="0.25">
      <c r="D26" s="8" t="s">
        <v>1462</v>
      </c>
      <c r="E26" s="10">
        <v>338391.30000000005</v>
      </c>
      <c r="F26" s="10">
        <v>1031391.2999999999</v>
      </c>
    </row>
    <row r="27" spans="1:13" x14ac:dyDescent="0.25">
      <c r="D27" s="8" t="s">
        <v>1478</v>
      </c>
      <c r="E27" s="10">
        <v>106799.55000000003</v>
      </c>
      <c r="F27" s="10">
        <v>229649.55000000005</v>
      </c>
      <c r="I27" s="7" t="s">
        <v>1688</v>
      </c>
      <c r="J27" t="s">
        <v>1690</v>
      </c>
    </row>
    <row r="28" spans="1:13" x14ac:dyDescent="0.25">
      <c r="D28" s="8" t="s">
        <v>1456</v>
      </c>
      <c r="E28" s="10">
        <v>41308.85</v>
      </c>
      <c r="F28" s="10">
        <v>108508.85000000002</v>
      </c>
      <c r="I28" s="8" t="s">
        <v>1496</v>
      </c>
      <c r="J28" s="10">
        <v>447798.49999999988</v>
      </c>
    </row>
    <row r="29" spans="1:13" x14ac:dyDescent="0.25">
      <c r="D29" s="8" t="s">
        <v>1459</v>
      </c>
      <c r="E29" s="10">
        <v>116351.20000000001</v>
      </c>
      <c r="F29" s="10">
        <v>339651.2</v>
      </c>
      <c r="I29" s="8" t="s">
        <v>1548</v>
      </c>
      <c r="J29" s="10">
        <v>403586.59999999992</v>
      </c>
    </row>
    <row r="30" spans="1:13" x14ac:dyDescent="0.25">
      <c r="D30" s="8" t="s">
        <v>1471</v>
      </c>
      <c r="E30" s="10">
        <v>20164</v>
      </c>
      <c r="F30" s="10">
        <v>53064</v>
      </c>
      <c r="I30" s="8" t="s">
        <v>1492</v>
      </c>
      <c r="J30" s="10">
        <v>551167.69999999972</v>
      </c>
    </row>
    <row r="31" spans="1:13" x14ac:dyDescent="0.25">
      <c r="D31" s="8" t="s">
        <v>1453</v>
      </c>
      <c r="E31" s="10">
        <v>51295</v>
      </c>
      <c r="F31" s="10">
        <v>163345</v>
      </c>
      <c r="I31" s="8" t="s">
        <v>1509</v>
      </c>
      <c r="J31" s="10">
        <v>537759</v>
      </c>
    </row>
    <row r="32" spans="1:13" x14ac:dyDescent="0.25">
      <c r="D32" s="8" t="s">
        <v>1689</v>
      </c>
      <c r="E32" s="10">
        <v>2718029.7000000007</v>
      </c>
      <c r="F32" s="10">
        <v>7725669.7000000002</v>
      </c>
      <c r="I32" s="8" t="s">
        <v>1487</v>
      </c>
      <c r="J32" s="10">
        <v>777717.89999999944</v>
      </c>
    </row>
    <row r="33" spans="9:10" x14ac:dyDescent="0.25">
      <c r="I33" s="8" t="s">
        <v>1689</v>
      </c>
      <c r="J33" s="10">
        <v>2718029.6999999993</v>
      </c>
    </row>
    <row r="51" spans="1:6" x14ac:dyDescent="0.25">
      <c r="A51" s="7" t="s">
        <v>1694</v>
      </c>
      <c r="B51" s="7" t="s">
        <v>1706</v>
      </c>
    </row>
    <row r="52" spans="1:6" x14ac:dyDescent="0.25">
      <c r="A52" s="7" t="s">
        <v>1688</v>
      </c>
      <c r="B52" t="s">
        <v>94</v>
      </c>
      <c r="C52" t="s">
        <v>21</v>
      </c>
      <c r="D52" t="s">
        <v>42</v>
      </c>
      <c r="E52" t="s">
        <v>79</v>
      </c>
      <c r="F52" t="s">
        <v>1689</v>
      </c>
    </row>
    <row r="53" spans="1:6" x14ac:dyDescent="0.25">
      <c r="A53" s="8" t="s">
        <v>1547</v>
      </c>
      <c r="B53" s="10">
        <v>4</v>
      </c>
      <c r="C53" s="10">
        <v>48</v>
      </c>
      <c r="D53" s="10">
        <v>3</v>
      </c>
      <c r="E53" s="10">
        <v>7</v>
      </c>
      <c r="F53" s="10">
        <v>62</v>
      </c>
    </row>
    <row r="54" spans="1:6" x14ac:dyDescent="0.25">
      <c r="A54" s="8" t="s">
        <v>1504</v>
      </c>
      <c r="B54" s="10">
        <v>6</v>
      </c>
      <c r="C54" s="10">
        <v>65</v>
      </c>
      <c r="D54" s="10">
        <v>2</v>
      </c>
      <c r="E54" s="10">
        <v>4</v>
      </c>
      <c r="F54" s="10">
        <v>77</v>
      </c>
    </row>
    <row r="55" spans="1:6" x14ac:dyDescent="0.25">
      <c r="A55" s="8" t="s">
        <v>1559</v>
      </c>
      <c r="B55" s="10">
        <v>7</v>
      </c>
      <c r="C55" s="10">
        <v>65</v>
      </c>
      <c r="D55" s="10">
        <v>3</v>
      </c>
      <c r="E55" s="10">
        <v>7</v>
      </c>
      <c r="F55" s="10">
        <v>82</v>
      </c>
    </row>
    <row r="56" spans="1:6" x14ac:dyDescent="0.25">
      <c r="A56" s="8" t="s">
        <v>1486</v>
      </c>
      <c r="B56" s="10">
        <v>15</v>
      </c>
      <c r="C56" s="10">
        <v>202</v>
      </c>
      <c r="D56" s="10">
        <v>5</v>
      </c>
      <c r="E56" s="10">
        <v>13</v>
      </c>
      <c r="F56" s="10">
        <v>235</v>
      </c>
    </row>
    <row r="57" spans="1:6" x14ac:dyDescent="0.25">
      <c r="A57" s="8" t="s">
        <v>1513</v>
      </c>
      <c r="B57" s="10">
        <v>2</v>
      </c>
      <c r="C57" s="10">
        <v>36</v>
      </c>
      <c r="D57" s="10"/>
      <c r="E57" s="10"/>
      <c r="F57" s="10">
        <v>38</v>
      </c>
    </row>
    <row r="58" spans="1:6" x14ac:dyDescent="0.25">
      <c r="A58" s="8" t="s">
        <v>1508</v>
      </c>
      <c r="B58" s="10">
        <v>2</v>
      </c>
      <c r="C58" s="10">
        <v>55</v>
      </c>
      <c r="D58" s="10">
        <v>4</v>
      </c>
      <c r="E58" s="10">
        <v>6</v>
      </c>
      <c r="F58" s="10">
        <v>67</v>
      </c>
    </row>
    <row r="59" spans="1:6" x14ac:dyDescent="0.25">
      <c r="A59" s="8" t="s">
        <v>1495</v>
      </c>
      <c r="B59" s="10">
        <v>8</v>
      </c>
      <c r="C59" s="10">
        <v>118</v>
      </c>
      <c r="D59" s="10">
        <v>10</v>
      </c>
      <c r="E59" s="10">
        <v>12</v>
      </c>
      <c r="F59" s="10">
        <v>148</v>
      </c>
    </row>
    <row r="60" spans="1:6" x14ac:dyDescent="0.25">
      <c r="A60" s="8" t="s">
        <v>1501</v>
      </c>
      <c r="B60" s="10">
        <v>9</v>
      </c>
      <c r="C60" s="10">
        <v>111</v>
      </c>
      <c r="D60" s="10">
        <v>7</v>
      </c>
      <c r="E60" s="10">
        <v>15</v>
      </c>
      <c r="F60" s="10">
        <v>142</v>
      </c>
    </row>
    <row r="61" spans="1:6" x14ac:dyDescent="0.25">
      <c r="A61" s="8" t="s">
        <v>1558</v>
      </c>
      <c r="B61" s="10">
        <v>4</v>
      </c>
      <c r="C61" s="10">
        <v>50</v>
      </c>
      <c r="D61" s="10">
        <v>1</v>
      </c>
      <c r="E61" s="10">
        <v>2</v>
      </c>
      <c r="F61" s="10">
        <v>57</v>
      </c>
    </row>
    <row r="62" spans="1:6" x14ac:dyDescent="0.25">
      <c r="A62" s="8" t="s">
        <v>1491</v>
      </c>
      <c r="B62" s="10">
        <v>1</v>
      </c>
      <c r="C62" s="10">
        <v>48</v>
      </c>
      <c r="D62" s="10">
        <v>5</v>
      </c>
      <c r="E62" s="10">
        <v>3</v>
      </c>
      <c r="F62" s="10">
        <v>57</v>
      </c>
    </row>
    <row r="63" spans="1:6" x14ac:dyDescent="0.25">
      <c r="A63" s="8" t="s">
        <v>1516</v>
      </c>
      <c r="B63" s="10">
        <v>2</v>
      </c>
      <c r="C63" s="10">
        <v>55</v>
      </c>
      <c r="D63" s="10">
        <v>3</v>
      </c>
      <c r="E63" s="10">
        <v>3</v>
      </c>
      <c r="F63" s="10">
        <v>63</v>
      </c>
    </row>
    <row r="64" spans="1:6" x14ac:dyDescent="0.25">
      <c r="A64" s="8" t="s">
        <v>1521</v>
      </c>
      <c r="B64" s="10">
        <v>4</v>
      </c>
      <c r="C64" s="10">
        <v>62</v>
      </c>
      <c r="D64" s="10">
        <v>4</v>
      </c>
      <c r="E64" s="10">
        <v>1</v>
      </c>
      <c r="F64" s="10">
        <v>71</v>
      </c>
    </row>
    <row r="65" spans="1:6" x14ac:dyDescent="0.25">
      <c r="A65" s="8" t="s">
        <v>1526</v>
      </c>
      <c r="B65" s="10">
        <v>1</v>
      </c>
      <c r="C65" s="10">
        <v>30</v>
      </c>
      <c r="D65" s="10">
        <v>2</v>
      </c>
      <c r="E65" s="10">
        <v>4</v>
      </c>
      <c r="F65" s="10">
        <v>37</v>
      </c>
    </row>
    <row r="66" spans="1:6" x14ac:dyDescent="0.25">
      <c r="A66" s="8" t="s">
        <v>1576</v>
      </c>
      <c r="B66" s="10">
        <v>2</v>
      </c>
      <c r="C66" s="10">
        <v>56</v>
      </c>
      <c r="D66" s="10"/>
      <c r="E66" s="10">
        <v>6</v>
      </c>
      <c r="F66" s="10">
        <v>64</v>
      </c>
    </row>
    <row r="67" spans="1:6" x14ac:dyDescent="0.25">
      <c r="A67" s="8" t="s">
        <v>1689</v>
      </c>
      <c r="B67" s="10">
        <v>67</v>
      </c>
      <c r="C67" s="10">
        <v>1001</v>
      </c>
      <c r="D67" s="10">
        <v>49</v>
      </c>
      <c r="E67" s="10">
        <v>83</v>
      </c>
      <c r="F67" s="10">
        <v>1200</v>
      </c>
    </row>
  </sheetData>
  <pageMargins left="0.7" right="0.7" top="0.75" bottom="0.75" header="0.3" footer="0.3"/>
  <pageSetup orientation="portrait" r:id="rId1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3B25B-B9BC-44A9-BBD1-51F58FA44382}">
  <dimension ref="AC7"/>
  <sheetViews>
    <sheetView showGridLines="0" tabSelected="1" zoomScale="70" zoomScaleNormal="70" workbookViewId="0">
      <selection activeCell="AG30" activeCellId="1" sqref="AD8 AG30"/>
    </sheetView>
  </sheetViews>
  <sheetFormatPr defaultRowHeight="15" x14ac:dyDescent="0.25"/>
  <sheetData>
    <row r="7" spans="29:29" x14ac:dyDescent="0.25">
      <c r="AC7" t="s">
        <v>1707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
  <sheetViews>
    <sheetView workbookViewId="0">
      <pane ySplit="1" topLeftCell="A2" activePane="bottomLeft" state="frozen"/>
      <selection pane="bottomLeft" activeCell="F11" sqref="F11"/>
    </sheetView>
  </sheetViews>
  <sheetFormatPr defaultRowHeight="15" x14ac:dyDescent="0.25"/>
  <cols>
    <col min="1" max="13" width="12" customWidth="1"/>
  </cols>
  <sheetData>
    <row r="1" spans="1:13" x14ac:dyDescent="0.25">
      <c r="A1" s="3" t="s">
        <v>1482</v>
      </c>
      <c r="B1" s="3" t="s">
        <v>1667</v>
      </c>
      <c r="C1" s="3" t="s">
        <v>1668</v>
      </c>
      <c r="D1" s="3" t="s">
        <v>1669</v>
      </c>
      <c r="E1" s="3" t="s">
        <v>1670</v>
      </c>
      <c r="F1" s="3" t="s">
        <v>1671</v>
      </c>
      <c r="G1" s="3" t="s">
        <v>1672</v>
      </c>
      <c r="H1" s="3" t="s">
        <v>1673</v>
      </c>
      <c r="I1" s="3" t="s">
        <v>1674</v>
      </c>
      <c r="J1" s="3" t="s">
        <v>1675</v>
      </c>
      <c r="K1" s="3" t="s">
        <v>1676</v>
      </c>
      <c r="L1" s="3" t="s">
        <v>1677</v>
      </c>
      <c r="M1" s="3" t="s">
        <v>1678</v>
      </c>
    </row>
    <row r="2" spans="1:13" x14ac:dyDescent="0.25">
      <c r="A2" s="2" t="s">
        <v>1487</v>
      </c>
      <c r="B2" s="2">
        <v>150000</v>
      </c>
      <c r="C2" s="2">
        <v>260000</v>
      </c>
      <c r="D2" s="2">
        <v>375000</v>
      </c>
      <c r="E2" s="2">
        <v>210000</v>
      </c>
      <c r="F2" s="2">
        <v>185000</v>
      </c>
      <c r="G2" s="2">
        <v>210000</v>
      </c>
      <c r="H2" s="2">
        <v>240000</v>
      </c>
      <c r="I2" s="2">
        <v>160000</v>
      </c>
      <c r="J2" s="2">
        <v>190000</v>
      </c>
      <c r="K2" s="2">
        <v>275000</v>
      </c>
      <c r="L2" s="2">
        <v>280000</v>
      </c>
      <c r="M2" s="2">
        <v>385000</v>
      </c>
    </row>
    <row r="3" spans="1:13" x14ac:dyDescent="0.25">
      <c r="A3" s="2" t="s">
        <v>1492</v>
      </c>
      <c r="B3" s="2">
        <v>255000</v>
      </c>
      <c r="C3" s="2">
        <v>160000</v>
      </c>
      <c r="D3" s="2">
        <v>200000</v>
      </c>
      <c r="E3" s="2">
        <v>360000</v>
      </c>
      <c r="F3" s="2">
        <v>210000</v>
      </c>
      <c r="G3" s="2">
        <v>300000</v>
      </c>
      <c r="H3" s="2">
        <v>360000</v>
      </c>
      <c r="I3" s="2">
        <v>235000</v>
      </c>
      <c r="J3" s="2">
        <v>185000</v>
      </c>
      <c r="K3" s="2">
        <v>280000</v>
      </c>
      <c r="L3" s="2">
        <v>305000</v>
      </c>
      <c r="M3" s="2">
        <v>325000</v>
      </c>
    </row>
    <row r="4" spans="1:13" x14ac:dyDescent="0.25">
      <c r="A4" s="2" t="s">
        <v>1509</v>
      </c>
      <c r="B4" s="2">
        <v>305000</v>
      </c>
      <c r="C4" s="2">
        <v>365000</v>
      </c>
      <c r="D4" s="2">
        <v>375000</v>
      </c>
      <c r="E4" s="2">
        <v>190000</v>
      </c>
      <c r="F4" s="2">
        <v>250000</v>
      </c>
      <c r="G4" s="2">
        <v>390000</v>
      </c>
      <c r="H4" s="2">
        <v>390000</v>
      </c>
      <c r="I4" s="2">
        <v>395000</v>
      </c>
      <c r="J4" s="2">
        <v>275000</v>
      </c>
      <c r="K4" s="2">
        <v>310000</v>
      </c>
      <c r="L4" s="2">
        <v>380000</v>
      </c>
      <c r="M4" s="2">
        <v>385000</v>
      </c>
    </row>
    <row r="5" spans="1:13" x14ac:dyDescent="0.25">
      <c r="A5" s="2" t="s">
        <v>1548</v>
      </c>
      <c r="B5" s="2">
        <v>270000</v>
      </c>
      <c r="C5" s="2">
        <v>190000</v>
      </c>
      <c r="D5" s="2">
        <v>185000</v>
      </c>
      <c r="E5" s="2">
        <v>180000</v>
      </c>
      <c r="F5" s="2">
        <v>155000</v>
      </c>
      <c r="G5" s="2">
        <v>190000</v>
      </c>
      <c r="H5" s="2">
        <v>195000</v>
      </c>
      <c r="I5" s="2">
        <v>260000</v>
      </c>
      <c r="J5" s="2">
        <v>310000</v>
      </c>
      <c r="K5" s="2">
        <v>150000</v>
      </c>
      <c r="L5" s="2">
        <v>395000</v>
      </c>
      <c r="M5" s="2">
        <v>365000</v>
      </c>
    </row>
    <row r="6" spans="1:13" x14ac:dyDescent="0.25">
      <c r="A6" s="2" t="s">
        <v>1496</v>
      </c>
      <c r="B6" s="2">
        <v>225000</v>
      </c>
      <c r="C6" s="2">
        <v>165000</v>
      </c>
      <c r="D6" s="2">
        <v>365000</v>
      </c>
      <c r="E6" s="2">
        <v>255000</v>
      </c>
      <c r="F6" s="2">
        <v>285000</v>
      </c>
      <c r="G6" s="2">
        <v>340000</v>
      </c>
      <c r="H6" s="2">
        <v>385000</v>
      </c>
      <c r="I6" s="2">
        <v>150000</v>
      </c>
      <c r="J6" s="2">
        <v>285000</v>
      </c>
      <c r="K6" s="2">
        <v>300000</v>
      </c>
      <c r="L6" s="2">
        <v>240000</v>
      </c>
      <c r="M6" s="2">
        <v>240000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Orders</vt:lpstr>
      <vt:lpstr>Products</vt:lpstr>
      <vt:lpstr>Customers</vt:lpstr>
      <vt:lpstr>Sheet3</vt:lpstr>
      <vt:lpstr>pivot_table</vt:lpstr>
      <vt:lpstr>Dashboard</vt:lpstr>
      <vt:lpstr>Monthly_Targets_2025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ASDC16</cp:lastModifiedBy>
  <dcterms:created xsi:type="dcterms:W3CDTF">2026-10-21T09:51:39Z</dcterms:created>
  <dcterms:modified xsi:type="dcterms:W3CDTF">2026-10-29T06:11:41Z</dcterms:modified>
</cp:coreProperties>
</file>